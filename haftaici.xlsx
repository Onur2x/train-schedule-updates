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53222"/>
  <mc:AlternateContent xmlns:mc="http://schemas.openxmlformats.org/markup-compatibility/2006">
    <mc:Choice Requires="x15">
      <x15ac:absPath xmlns:x15ac="http://schemas.microsoft.com/office/spreadsheetml/2010/11/ac" url="\\mpstorage\M8_Kumanda_Merkezi\2 TRAFIK\TIME-TABLE\1- GECE_12_YE_KADAR (Aktif Kullanılan Tarifeler)\Kış Tarifeleri\"/>
    </mc:Choice>
  </mc:AlternateContent>
  <bookViews>
    <workbookView xWindow="0" yWindow="0" windowWidth="28800" windowHeight="12195" activeTab="2"/>
  </bookViews>
  <sheets>
    <sheet name="ANAHAT" sheetId="1" r:id="rId1"/>
    <sheet name="SABAH 7+2" sheetId="5" r:id="rId2"/>
    <sheet name="AKŞAM 6+4" sheetId="10" r:id="rId3"/>
    <sheet name="SIRALI" sheetId="15" r:id="rId4"/>
    <sheet name="HAFTAICI 2000" sheetId="18" r:id="rId5"/>
  </sheets>
  <definedNames>
    <definedName name="_xlnm._FilterDatabase" localSheetId="0" hidden="1">ANAHAT!$A$14:$AB$136</definedName>
    <definedName name="_xlnm._FilterDatabase" localSheetId="4" hidden="1">'HAFTAICI 2000'!$A$1:$K$6311</definedName>
    <definedName name="CEK_BILGILER">ANAHAT!$Z$14:$AC$360</definedName>
    <definedName name="USK_BILGILER">ANAHAT!$U$14:$X$360</definedName>
    <definedName name="_xlnm.Print_Area" localSheetId="2">'AKŞAM 6+4'!$B$1:$AB$56</definedName>
    <definedName name="_xlnm.Print_Area" localSheetId="0">ANAHAT!$A$1:$J$119</definedName>
    <definedName name="_xlnm.Print_Area" localSheetId="1">'SABAH 7+2'!$B$1:$AB$56</definedName>
  </definedNames>
  <calcPr calcId="162913"/>
  <extLst>
    <ext xmlns:x14="http://schemas.microsoft.com/office/spreadsheetml/2009/9/main" uri="{79F54976-1DA5-4618-B147-4CDE4B953A38}">
      <x14:workbookPr discardImageEditData="1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5" l="1"/>
  <c r="M27" i="1" l="1"/>
  <c r="Q6" i="1"/>
  <c r="Q7" i="1"/>
  <c r="Q5" i="1"/>
  <c r="Q35" i="1" l="1"/>
  <c r="S35" i="1"/>
  <c r="Q34" i="1"/>
  <c r="S34" i="1"/>
  <c r="L18" i="1" l="1"/>
  <c r="Q58" i="1" l="1"/>
  <c r="O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R44" i="1" l="1"/>
  <c r="R46" i="1"/>
  <c r="P58" i="1"/>
  <c r="R49" i="1"/>
  <c r="R48" i="1"/>
  <c r="R47" i="1"/>
  <c r="O58" i="1"/>
  <c r="R40" i="1"/>
  <c r="R43" i="1"/>
  <c r="R50" i="1"/>
  <c r="R54" i="1"/>
  <c r="R42" i="1"/>
  <c r="R41" i="1"/>
  <c r="R52" i="1"/>
  <c r="R57" i="1"/>
  <c r="R45" i="1"/>
  <c r="R56" i="1"/>
  <c r="R55" i="1"/>
  <c r="R53" i="1"/>
  <c r="R51" i="1"/>
  <c r="R39" i="1"/>
  <c r="R58" i="1" l="1"/>
  <c r="S33" i="1" l="1"/>
  <c r="Q33" i="1"/>
  <c r="O33" i="1"/>
  <c r="M33" i="1"/>
  <c r="S32" i="1"/>
  <c r="Q32" i="1"/>
  <c r="O32" i="1"/>
  <c r="M32" i="1"/>
  <c r="S31" i="1"/>
  <c r="Q31" i="1"/>
  <c r="O31" i="1"/>
  <c r="M31" i="1"/>
  <c r="S30" i="1"/>
  <c r="Q30" i="1"/>
  <c r="O30" i="1"/>
  <c r="M30" i="1"/>
  <c r="S29" i="1"/>
  <c r="Q29" i="1"/>
  <c r="O29" i="1"/>
  <c r="M29" i="1"/>
  <c r="S28" i="1"/>
  <c r="Q28" i="1"/>
  <c r="O28" i="1"/>
  <c r="M28" i="1"/>
  <c r="S27" i="1"/>
  <c r="Q27" i="1"/>
  <c r="O27" i="1"/>
  <c r="S26" i="1"/>
  <c r="Q26" i="1"/>
  <c r="O26" i="1"/>
  <c r="M26" i="1"/>
  <c r="S25" i="1"/>
  <c r="Q25" i="1"/>
  <c r="O25" i="1"/>
  <c r="M25" i="1"/>
  <c r="S24" i="1"/>
  <c r="Q24" i="1"/>
  <c r="O24" i="1"/>
  <c r="M24" i="1"/>
  <c r="S23" i="1"/>
  <c r="Q23" i="1"/>
  <c r="O23" i="1"/>
  <c r="M23" i="1"/>
  <c r="S22" i="1"/>
  <c r="Q22" i="1"/>
  <c r="O22" i="1"/>
  <c r="M22" i="1"/>
  <c r="E22" i="1"/>
  <c r="I22" i="1"/>
  <c r="E32" i="1"/>
  <c r="I32" i="1"/>
  <c r="E42" i="1"/>
  <c r="I42" i="1"/>
  <c r="E52" i="1"/>
  <c r="I52" i="1"/>
  <c r="E61" i="1"/>
  <c r="I61" i="1"/>
  <c r="E19" i="1"/>
  <c r="I19" i="1"/>
  <c r="E29" i="1"/>
  <c r="I29" i="1"/>
  <c r="E39" i="1"/>
  <c r="I39" i="1"/>
  <c r="E49" i="1"/>
  <c r="I49" i="1"/>
  <c r="E58" i="1"/>
  <c r="I58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0" i="1"/>
  <c r="I59" i="1"/>
  <c r="I57" i="1"/>
  <c r="I56" i="1"/>
  <c r="I55" i="1"/>
  <c r="I54" i="1"/>
  <c r="I53" i="1"/>
  <c r="I51" i="1"/>
  <c r="I50" i="1"/>
  <c r="I48" i="1"/>
  <c r="I47" i="1"/>
  <c r="I46" i="1"/>
  <c r="I45" i="1"/>
  <c r="I44" i="1"/>
  <c r="I43" i="1"/>
  <c r="I41" i="1"/>
  <c r="I40" i="1"/>
  <c r="I38" i="1"/>
  <c r="I37" i="1"/>
  <c r="I36" i="1"/>
  <c r="I35" i="1"/>
  <c r="I34" i="1"/>
  <c r="I33" i="1"/>
  <c r="I31" i="1"/>
  <c r="I30" i="1"/>
  <c r="I28" i="1"/>
  <c r="I27" i="1"/>
  <c r="I26" i="1"/>
  <c r="I25" i="1"/>
  <c r="I24" i="1"/>
  <c r="I23" i="1"/>
  <c r="I21" i="1"/>
  <c r="I20" i="1"/>
  <c r="I18" i="1"/>
  <c r="I17" i="1"/>
  <c r="I16" i="1"/>
  <c r="I15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0" i="1"/>
  <c r="E59" i="1"/>
  <c r="E57" i="1"/>
  <c r="E56" i="1"/>
  <c r="E55" i="1"/>
  <c r="E54" i="1"/>
  <c r="E53" i="1"/>
  <c r="E51" i="1"/>
  <c r="E50" i="1"/>
  <c r="E48" i="1"/>
  <c r="E47" i="1"/>
  <c r="E46" i="1"/>
  <c r="E45" i="1"/>
  <c r="E44" i="1"/>
  <c r="E43" i="1"/>
  <c r="E41" i="1"/>
  <c r="E40" i="1"/>
  <c r="E38" i="1"/>
  <c r="E37" i="1"/>
  <c r="E36" i="1"/>
  <c r="E35" i="1"/>
  <c r="E34" i="1"/>
  <c r="E33" i="1"/>
  <c r="E31" i="1"/>
  <c r="E30" i="1"/>
  <c r="E28" i="1"/>
  <c r="E27" i="1"/>
  <c r="E26" i="1"/>
  <c r="E25" i="1"/>
  <c r="E24" i="1"/>
  <c r="E23" i="1"/>
  <c r="E21" i="1"/>
  <c r="E20" i="1"/>
  <c r="E18" i="1"/>
  <c r="O122" i="1" l="1"/>
  <c r="O121" i="1"/>
  <c r="W14" i="1" l="1"/>
  <c r="W15" i="1"/>
  <c r="V15" i="1" s="1"/>
  <c r="U15" i="1" s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A136" i="1" l="1"/>
  <c r="Z136" i="1" s="1"/>
  <c r="AA133" i="1"/>
  <c r="Z133" i="1" s="1"/>
  <c r="V136" i="1"/>
  <c r="U136" i="1" s="1"/>
  <c r="V135" i="1"/>
  <c r="U135" i="1" s="1"/>
  <c r="AA135" i="1"/>
  <c r="Z135" i="1" s="1"/>
  <c r="AA134" i="1"/>
  <c r="Z134" i="1" s="1"/>
  <c r="V134" i="1"/>
  <c r="U134" i="1" s="1"/>
  <c r="AA130" i="1"/>
  <c r="Z130" i="1" s="1"/>
  <c r="V133" i="1"/>
  <c r="U133" i="1" s="1"/>
  <c r="V132" i="1"/>
  <c r="U132" i="1" s="1"/>
  <c r="AA132" i="1"/>
  <c r="Z132" i="1" s="1"/>
  <c r="AA131" i="1"/>
  <c r="Z131" i="1" s="1"/>
  <c r="V123" i="1"/>
  <c r="U123" i="1" s="1"/>
  <c r="AA129" i="1"/>
  <c r="Z129" i="1" s="1"/>
  <c r="AA128" i="1"/>
  <c r="Z128" i="1" s="1"/>
  <c r="V131" i="1"/>
  <c r="U131" i="1" s="1"/>
  <c r="V130" i="1"/>
  <c r="U130" i="1" s="1"/>
  <c r="AA126" i="1"/>
  <c r="Z126" i="1" s="1"/>
  <c r="V129" i="1"/>
  <c r="U129" i="1" s="1"/>
  <c r="AA127" i="1"/>
  <c r="Z127" i="1" s="1"/>
  <c r="AA125" i="1"/>
  <c r="Z125" i="1" s="1"/>
  <c r="V128" i="1"/>
  <c r="U128" i="1" s="1"/>
  <c r="V127" i="1"/>
  <c r="U127" i="1" s="1"/>
  <c r="AA124" i="1"/>
  <c r="Z124" i="1" s="1"/>
  <c r="AA123" i="1"/>
  <c r="Z123" i="1" s="1"/>
  <c r="V126" i="1"/>
  <c r="U126" i="1" s="1"/>
  <c r="AA122" i="1"/>
  <c r="Z122" i="1" s="1"/>
  <c r="V125" i="1"/>
  <c r="U125" i="1" s="1"/>
  <c r="V124" i="1"/>
  <c r="U124" i="1" s="1"/>
  <c r="V122" i="1"/>
  <c r="U122" i="1" s="1"/>
  <c r="V121" i="1"/>
  <c r="U121" i="1" s="1"/>
  <c r="AA118" i="1"/>
  <c r="Z118" i="1" s="1"/>
  <c r="AA121" i="1"/>
  <c r="Z121" i="1" s="1"/>
  <c r="V120" i="1"/>
  <c r="U120" i="1" s="1"/>
  <c r="V117" i="1"/>
  <c r="U117" i="1" s="1"/>
  <c r="V115" i="1"/>
  <c r="U115" i="1" s="1"/>
  <c r="AA117" i="1"/>
  <c r="Z117" i="1" s="1"/>
  <c r="AA116" i="1"/>
  <c r="Z116" i="1" s="1"/>
  <c r="AA115" i="1"/>
  <c r="Z115" i="1" s="1"/>
  <c r="AA120" i="1"/>
  <c r="Z120" i="1" s="1"/>
  <c r="AA119" i="1"/>
  <c r="Z119" i="1" s="1"/>
  <c r="V119" i="1"/>
  <c r="U119" i="1" s="1"/>
  <c r="V118" i="1"/>
  <c r="U118" i="1" s="1"/>
  <c r="V116" i="1"/>
  <c r="U116" i="1" s="1"/>
  <c r="V14" i="1"/>
  <c r="U14" i="1" s="1"/>
  <c r="V114" i="1"/>
  <c r="U114" i="1" s="1"/>
  <c r="V106" i="1"/>
  <c r="U106" i="1" s="1"/>
  <c r="V108" i="1"/>
  <c r="U108" i="1" s="1"/>
  <c r="V112" i="1"/>
  <c r="U112" i="1" s="1"/>
  <c r="V110" i="1"/>
  <c r="U110" i="1" s="1"/>
  <c r="V104" i="1"/>
  <c r="U104" i="1" s="1"/>
  <c r="V113" i="1"/>
  <c r="U113" i="1" s="1"/>
  <c r="V111" i="1"/>
  <c r="U111" i="1" s="1"/>
  <c r="V107" i="1"/>
  <c r="U107" i="1" s="1"/>
  <c r="V109" i="1"/>
  <c r="U109" i="1" s="1"/>
  <c r="V105" i="1"/>
  <c r="U105" i="1" s="1"/>
  <c r="V19" i="1"/>
  <c r="U19" i="1" s="1"/>
  <c r="V18" i="1"/>
  <c r="U18" i="1" s="1"/>
  <c r="V17" i="1"/>
  <c r="U17" i="1" s="1"/>
  <c r="V16" i="1"/>
  <c r="U16" i="1" s="1"/>
  <c r="V20" i="1"/>
  <c r="U20" i="1" s="1"/>
  <c r="V21" i="1"/>
  <c r="U21" i="1" s="1"/>
  <c r="V93" i="1"/>
  <c r="U93" i="1" s="1"/>
  <c r="V23" i="1"/>
  <c r="U23" i="1" s="1"/>
  <c r="V81" i="1"/>
  <c r="U81" i="1" s="1"/>
  <c r="V69" i="1"/>
  <c r="U69" i="1" s="1"/>
  <c r="V57" i="1"/>
  <c r="U57" i="1" s="1"/>
  <c r="V45" i="1"/>
  <c r="U45" i="1" s="1"/>
  <c r="V33" i="1"/>
  <c r="U33" i="1" s="1"/>
  <c r="V94" i="1"/>
  <c r="U94" i="1" s="1"/>
  <c r="V82" i="1"/>
  <c r="U82" i="1" s="1"/>
  <c r="V70" i="1"/>
  <c r="U70" i="1" s="1"/>
  <c r="V58" i="1"/>
  <c r="U58" i="1" s="1"/>
  <c r="V46" i="1"/>
  <c r="U46" i="1" s="1"/>
  <c r="V34" i="1"/>
  <c r="U34" i="1" s="1"/>
  <c r="V22" i="1"/>
  <c r="U22" i="1" s="1"/>
  <c r="V92" i="1"/>
  <c r="U92" i="1" s="1"/>
  <c r="V80" i="1"/>
  <c r="U80" i="1" s="1"/>
  <c r="V68" i="1"/>
  <c r="U68" i="1" s="1"/>
  <c r="V56" i="1"/>
  <c r="U56" i="1" s="1"/>
  <c r="V44" i="1"/>
  <c r="U44" i="1" s="1"/>
  <c r="V32" i="1"/>
  <c r="U32" i="1" s="1"/>
  <c r="V103" i="1"/>
  <c r="U103" i="1" s="1"/>
  <c r="V91" i="1"/>
  <c r="U91" i="1" s="1"/>
  <c r="V79" i="1"/>
  <c r="U79" i="1" s="1"/>
  <c r="V67" i="1"/>
  <c r="U67" i="1" s="1"/>
  <c r="V55" i="1"/>
  <c r="U55" i="1" s="1"/>
  <c r="V43" i="1"/>
  <c r="U43" i="1" s="1"/>
  <c r="V31" i="1"/>
  <c r="U31" i="1" s="1"/>
  <c r="V102" i="1"/>
  <c r="U102" i="1" s="1"/>
  <c r="V90" i="1"/>
  <c r="U90" i="1" s="1"/>
  <c r="V78" i="1"/>
  <c r="U78" i="1" s="1"/>
  <c r="V66" i="1"/>
  <c r="U66" i="1" s="1"/>
  <c r="V54" i="1"/>
  <c r="U54" i="1" s="1"/>
  <c r="V42" i="1"/>
  <c r="U42" i="1" s="1"/>
  <c r="V30" i="1"/>
  <c r="U30" i="1" s="1"/>
  <c r="V101" i="1"/>
  <c r="U101" i="1" s="1"/>
  <c r="V89" i="1"/>
  <c r="U89" i="1" s="1"/>
  <c r="V77" i="1"/>
  <c r="U77" i="1" s="1"/>
  <c r="V65" i="1"/>
  <c r="U65" i="1" s="1"/>
  <c r="V53" i="1"/>
  <c r="U53" i="1" s="1"/>
  <c r="V41" i="1"/>
  <c r="U41" i="1" s="1"/>
  <c r="V29" i="1"/>
  <c r="U29" i="1" s="1"/>
  <c r="V100" i="1"/>
  <c r="U100" i="1" s="1"/>
  <c r="V88" i="1"/>
  <c r="U88" i="1" s="1"/>
  <c r="V76" i="1"/>
  <c r="U76" i="1" s="1"/>
  <c r="V64" i="1"/>
  <c r="U64" i="1" s="1"/>
  <c r="V52" i="1"/>
  <c r="U52" i="1" s="1"/>
  <c r="V40" i="1"/>
  <c r="U40" i="1" s="1"/>
  <c r="V28" i="1"/>
  <c r="U28" i="1" s="1"/>
  <c r="V99" i="1"/>
  <c r="U99" i="1" s="1"/>
  <c r="V87" i="1"/>
  <c r="U87" i="1" s="1"/>
  <c r="V75" i="1"/>
  <c r="U75" i="1" s="1"/>
  <c r="V63" i="1"/>
  <c r="U63" i="1" s="1"/>
  <c r="V51" i="1"/>
  <c r="U51" i="1" s="1"/>
  <c r="V39" i="1"/>
  <c r="U39" i="1" s="1"/>
  <c r="V27" i="1"/>
  <c r="U27" i="1" s="1"/>
  <c r="V98" i="1"/>
  <c r="U98" i="1" s="1"/>
  <c r="V86" i="1"/>
  <c r="U86" i="1" s="1"/>
  <c r="V74" i="1"/>
  <c r="U74" i="1" s="1"/>
  <c r="V62" i="1"/>
  <c r="U62" i="1" s="1"/>
  <c r="V50" i="1"/>
  <c r="U50" i="1" s="1"/>
  <c r="V38" i="1"/>
  <c r="U38" i="1" s="1"/>
  <c r="V26" i="1"/>
  <c r="U26" i="1" s="1"/>
  <c r="V97" i="1"/>
  <c r="U97" i="1" s="1"/>
  <c r="V85" i="1"/>
  <c r="U85" i="1" s="1"/>
  <c r="V73" i="1"/>
  <c r="U73" i="1" s="1"/>
  <c r="V61" i="1"/>
  <c r="U61" i="1" s="1"/>
  <c r="V49" i="1"/>
  <c r="U49" i="1" s="1"/>
  <c r="V37" i="1"/>
  <c r="U37" i="1" s="1"/>
  <c r="V25" i="1"/>
  <c r="U25" i="1" s="1"/>
  <c r="V96" i="1"/>
  <c r="U96" i="1" s="1"/>
  <c r="V84" i="1"/>
  <c r="U84" i="1" s="1"/>
  <c r="V72" i="1"/>
  <c r="U72" i="1" s="1"/>
  <c r="V60" i="1"/>
  <c r="U60" i="1" s="1"/>
  <c r="V48" i="1"/>
  <c r="U48" i="1" s="1"/>
  <c r="V36" i="1"/>
  <c r="U36" i="1" s="1"/>
  <c r="V24" i="1"/>
  <c r="U24" i="1" s="1"/>
  <c r="V95" i="1"/>
  <c r="U95" i="1" s="1"/>
  <c r="V83" i="1"/>
  <c r="U83" i="1" s="1"/>
  <c r="V71" i="1"/>
  <c r="U71" i="1" s="1"/>
  <c r="V59" i="1"/>
  <c r="U59" i="1" s="1"/>
  <c r="V47" i="1"/>
  <c r="U47" i="1" s="1"/>
  <c r="V35" i="1"/>
  <c r="U35" i="1" s="1"/>
  <c r="O120" i="1" l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 l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35" i="1"/>
  <c r="O34" i="1"/>
  <c r="AA110" i="1" l="1"/>
  <c r="Z110" i="1" s="1"/>
  <c r="AA109" i="1"/>
  <c r="Z109" i="1" s="1"/>
  <c r="AA106" i="1"/>
  <c r="Z106" i="1" s="1"/>
  <c r="AA104" i="1"/>
  <c r="Z104" i="1" s="1"/>
  <c r="AA103" i="1"/>
  <c r="Z103" i="1" s="1"/>
  <c r="AA105" i="1"/>
  <c r="Z105" i="1" s="1"/>
  <c r="AA108" i="1"/>
  <c r="Z108" i="1" s="1"/>
  <c r="AA102" i="1"/>
  <c r="Z102" i="1" s="1"/>
  <c r="AA107" i="1"/>
  <c r="Z107" i="1" s="1"/>
  <c r="AA101" i="1"/>
  <c r="Z101" i="1" s="1"/>
  <c r="AA113" i="1"/>
  <c r="Z113" i="1" s="1"/>
  <c r="AA111" i="1"/>
  <c r="Z111" i="1" s="1"/>
  <c r="AA114" i="1"/>
  <c r="Z114" i="1" s="1"/>
  <c r="AA112" i="1"/>
  <c r="Z112" i="1" s="1"/>
  <c r="AA14" i="1"/>
  <c r="Z14" i="1" s="1"/>
  <c r="AA49" i="1"/>
  <c r="Z49" i="1" s="1"/>
  <c r="AA43" i="1"/>
  <c r="Z43" i="1" s="1"/>
  <c r="AA23" i="1"/>
  <c r="Z23" i="1" s="1"/>
  <c r="AA16" i="1"/>
  <c r="Z16" i="1" s="1"/>
  <c r="AA27" i="1"/>
  <c r="Z27" i="1" s="1"/>
  <c r="AA84" i="1"/>
  <c r="Z84" i="1" s="1"/>
  <c r="AA94" i="1"/>
  <c r="Z94" i="1" s="1"/>
  <c r="AA67" i="1"/>
  <c r="Z67" i="1" s="1"/>
  <c r="AA55" i="1"/>
  <c r="Z55" i="1" s="1"/>
  <c r="AA19" i="1"/>
  <c r="Z19" i="1" s="1"/>
  <c r="AA58" i="1"/>
  <c r="Z58" i="1" s="1"/>
  <c r="AA93" i="1"/>
  <c r="Z93" i="1" s="1"/>
  <c r="AA21" i="1"/>
  <c r="Z21" i="1" s="1"/>
  <c r="AA15" i="1"/>
  <c r="Z15" i="1" s="1"/>
  <c r="AA72" i="1"/>
  <c r="Z72" i="1" s="1"/>
  <c r="AA82" i="1"/>
  <c r="Z82" i="1" s="1"/>
  <c r="AA45" i="1"/>
  <c r="Z45" i="1" s="1"/>
  <c r="AA61" i="1"/>
  <c r="Z61" i="1" s="1"/>
  <c r="AA65" i="1"/>
  <c r="Z65" i="1" s="1"/>
  <c r="AA46" i="1"/>
  <c r="Z46" i="1" s="1"/>
  <c r="AA78" i="1"/>
  <c r="Z78" i="1" s="1"/>
  <c r="AA66" i="1"/>
  <c r="Z66" i="1" s="1"/>
  <c r="AA34" i="1"/>
  <c r="Z34" i="1" s="1"/>
  <c r="AA30" i="1"/>
  <c r="Z30" i="1" s="1"/>
  <c r="AA36" i="1"/>
  <c r="Z36" i="1" s="1"/>
  <c r="AA98" i="1"/>
  <c r="Z98" i="1" s="1"/>
  <c r="AA73" i="1"/>
  <c r="Z73" i="1" s="1"/>
  <c r="AA95" i="1"/>
  <c r="Z95" i="1" s="1"/>
  <c r="AA92" i="1"/>
  <c r="Z92" i="1" s="1"/>
  <c r="AA89" i="1"/>
  <c r="Z89" i="1" s="1"/>
  <c r="AA24" i="1"/>
  <c r="Z24" i="1" s="1"/>
  <c r="AA50" i="1"/>
  <c r="Z50" i="1" s="1"/>
  <c r="AA57" i="1"/>
  <c r="Z57" i="1" s="1"/>
  <c r="AA63" i="1"/>
  <c r="Z63" i="1" s="1"/>
  <c r="AA32" i="1"/>
  <c r="Z32" i="1" s="1"/>
  <c r="AA52" i="1"/>
  <c r="Z52" i="1" s="1"/>
  <c r="AA35" i="1"/>
  <c r="Z35" i="1" s="1"/>
  <c r="AA81" i="1"/>
  <c r="Z81" i="1" s="1"/>
  <c r="AA79" i="1"/>
  <c r="Z79" i="1" s="1"/>
  <c r="AA42" i="1"/>
  <c r="Z42" i="1" s="1"/>
  <c r="AA18" i="1"/>
  <c r="Z18" i="1" s="1"/>
  <c r="AA60" i="1"/>
  <c r="Z60" i="1" s="1"/>
  <c r="AA100" i="1"/>
  <c r="Z100" i="1" s="1"/>
  <c r="AA99" i="1"/>
  <c r="Z99" i="1" s="1"/>
  <c r="AA86" i="1"/>
  <c r="Z86" i="1" s="1"/>
  <c r="AA37" i="1"/>
  <c r="Z37" i="1" s="1"/>
  <c r="AA83" i="1"/>
  <c r="Z83" i="1" s="1"/>
  <c r="AA80" i="1"/>
  <c r="Z80" i="1" s="1"/>
  <c r="AA77" i="1"/>
  <c r="Z77" i="1" s="1"/>
  <c r="AA53" i="1"/>
  <c r="Z53" i="1" s="1"/>
  <c r="AA76" i="1"/>
  <c r="Z76" i="1" s="1"/>
  <c r="AA44" i="1"/>
  <c r="Z44" i="1" s="1"/>
  <c r="AA59" i="1"/>
  <c r="Z59" i="1" s="1"/>
  <c r="AA64" i="1"/>
  <c r="Z64" i="1" s="1"/>
  <c r="AA38" i="1"/>
  <c r="Z38" i="1" s="1"/>
  <c r="AA47" i="1"/>
  <c r="Z47" i="1" s="1"/>
  <c r="AA26" i="1"/>
  <c r="Z26" i="1" s="1"/>
  <c r="AA20" i="1"/>
  <c r="Z20" i="1" s="1"/>
  <c r="AA96" i="1"/>
  <c r="Z96" i="1" s="1"/>
  <c r="AA70" i="1"/>
  <c r="Z70" i="1" s="1"/>
  <c r="AA54" i="1"/>
  <c r="Z54" i="1" s="1"/>
  <c r="AA97" i="1"/>
  <c r="Z97" i="1" s="1"/>
  <c r="AA62" i="1"/>
  <c r="Z62" i="1" s="1"/>
  <c r="AA31" i="1"/>
  <c r="Z31" i="1" s="1"/>
  <c r="AA48" i="1"/>
  <c r="Z48" i="1" s="1"/>
  <c r="AA88" i="1"/>
  <c r="Z88" i="1" s="1"/>
  <c r="AA87" i="1"/>
  <c r="Z87" i="1" s="1"/>
  <c r="AA74" i="1"/>
  <c r="Z74" i="1" s="1"/>
  <c r="AA25" i="1"/>
  <c r="Z25" i="1" s="1"/>
  <c r="AA71" i="1"/>
  <c r="Z71" i="1" s="1"/>
  <c r="AA68" i="1"/>
  <c r="Z68" i="1" s="1"/>
  <c r="AA56" i="1"/>
  <c r="Z56" i="1" s="1"/>
  <c r="AA75" i="1"/>
  <c r="Z75" i="1" s="1"/>
  <c r="AA41" i="1"/>
  <c r="Z41" i="1" s="1"/>
  <c r="AA33" i="1"/>
  <c r="Z33" i="1" s="1"/>
  <c r="AA29" i="1"/>
  <c r="Z29" i="1" s="1"/>
  <c r="AA51" i="1"/>
  <c r="Z51" i="1" s="1"/>
  <c r="AA91" i="1"/>
  <c r="Z91" i="1" s="1"/>
  <c r="AA17" i="1"/>
  <c r="Z17" i="1" s="1"/>
  <c r="AA40" i="1"/>
  <c r="Z40" i="1" s="1"/>
  <c r="AA39" i="1"/>
  <c r="Z39" i="1" s="1"/>
  <c r="AA90" i="1"/>
  <c r="Z90" i="1" s="1"/>
  <c r="AA28" i="1"/>
  <c r="Z28" i="1" s="1"/>
  <c r="AA69" i="1"/>
  <c r="Z69" i="1" s="1"/>
  <c r="AA22" i="1"/>
  <c r="Z22" i="1" s="1"/>
  <c r="AA85" i="1"/>
  <c r="Z85" i="1" s="1"/>
  <c r="AA20" i="10" l="1"/>
  <c r="T20" i="10"/>
  <c r="AA19" i="10"/>
  <c r="R20" i="10" l="1"/>
  <c r="P20" i="10" s="1"/>
  <c r="Z19" i="10"/>
  <c r="Y19" i="10"/>
  <c r="X19" i="10" s="1"/>
  <c r="Z20" i="10"/>
  <c r="Y20" i="10"/>
  <c r="AB20" i="10" s="1"/>
  <c r="AB19" i="10" l="1"/>
  <c r="X20" i="10"/>
  <c r="W20" i="10"/>
  <c r="T20" i="5" l="1"/>
  <c r="AA18" i="5"/>
  <c r="AA16" i="5"/>
  <c r="AA19" i="5"/>
  <c r="AA15" i="5"/>
  <c r="Y15" i="5" s="1"/>
  <c r="AA17" i="5"/>
  <c r="AA14" i="10"/>
  <c r="Y14" i="10" s="1"/>
  <c r="AB14" i="10" s="1"/>
  <c r="AA20" i="5"/>
  <c r="AA10" i="10"/>
  <c r="Y10" i="10" s="1"/>
  <c r="F48" i="10"/>
  <c r="F44" i="10"/>
  <c r="F37" i="10"/>
  <c r="AA47" i="10"/>
  <c r="AA40" i="10"/>
  <c r="AA36" i="10"/>
  <c r="AA17" i="10"/>
  <c r="Y17" i="10" s="1"/>
  <c r="M50" i="10"/>
  <c r="M39" i="10"/>
  <c r="T48" i="10"/>
  <c r="T40" i="10"/>
  <c r="M49" i="10"/>
  <c r="M34" i="10"/>
  <c r="T50" i="10"/>
  <c r="AA48" i="5"/>
  <c r="T44" i="5"/>
  <c r="AA49" i="5"/>
  <c r="T47" i="5"/>
  <c r="M49" i="5"/>
  <c r="AA40" i="5"/>
  <c r="F37" i="5"/>
  <c r="F48" i="5"/>
  <c r="F35" i="5"/>
  <c r="AA35" i="5"/>
  <c r="AA24" i="5"/>
  <c r="F44" i="5"/>
  <c r="AA29" i="5"/>
  <c r="F39" i="5"/>
  <c r="AA39" i="5"/>
  <c r="AA27" i="5"/>
  <c r="AA15" i="10"/>
  <c r="F47" i="10"/>
  <c r="F40" i="10"/>
  <c r="F36" i="10"/>
  <c r="AA16" i="10"/>
  <c r="Y16" i="10" s="1"/>
  <c r="AA50" i="10"/>
  <c r="AA46" i="10"/>
  <c r="AA39" i="10"/>
  <c r="AA35" i="10"/>
  <c r="AA18" i="10"/>
  <c r="M48" i="10"/>
  <c r="M37" i="10"/>
  <c r="M45" i="10"/>
  <c r="T44" i="10"/>
  <c r="T49" i="10"/>
  <c r="T38" i="10"/>
  <c r="M47" i="10"/>
  <c r="T46" i="10"/>
  <c r="T45" i="5"/>
  <c r="AA47" i="5"/>
  <c r="T46" i="5"/>
  <c r="AA44" i="5"/>
  <c r="F46" i="5"/>
  <c r="F34" i="5"/>
  <c r="AA38" i="5"/>
  <c r="AA26" i="5"/>
  <c r="M46" i="5"/>
  <c r="AA37" i="5"/>
  <c r="M44" i="5"/>
  <c r="AA30" i="5"/>
  <c r="T40" i="5"/>
  <c r="F50" i="10"/>
  <c r="F46" i="10"/>
  <c r="F39" i="10"/>
  <c r="F35" i="10"/>
  <c r="AA49" i="10"/>
  <c r="AA45" i="10"/>
  <c r="AA38" i="10"/>
  <c r="AA34" i="10"/>
  <c r="M46" i="10"/>
  <c r="M35" i="10"/>
  <c r="M36" i="10"/>
  <c r="T35" i="10"/>
  <c r="T47" i="10"/>
  <c r="T36" i="10"/>
  <c r="M40" i="10"/>
  <c r="T39" i="10"/>
  <c r="T49" i="5"/>
  <c r="T48" i="5"/>
  <c r="T50" i="5"/>
  <c r="F50" i="5"/>
  <c r="T34" i="5"/>
  <c r="AA28" i="5"/>
  <c r="M34" i="5"/>
  <c r="M50" i="5"/>
  <c r="AA34" i="5"/>
  <c r="F38" i="5"/>
  <c r="M48" i="5"/>
  <c r="F38" i="10"/>
  <c r="AA44" i="10"/>
  <c r="M44" i="10"/>
  <c r="T34" i="10"/>
  <c r="AA45" i="5"/>
  <c r="M40" i="5"/>
  <c r="F36" i="5"/>
  <c r="F34" i="10"/>
  <c r="AA37" i="10"/>
  <c r="T37" i="10"/>
  <c r="AA46" i="5"/>
  <c r="M47" i="5"/>
  <c r="F45" i="5"/>
  <c r="F47" i="5"/>
  <c r="F30" i="5"/>
  <c r="F45" i="10"/>
  <c r="AA48" i="10"/>
  <c r="F49" i="10"/>
  <c r="M45" i="5"/>
  <c r="F40" i="5"/>
  <c r="AA36" i="5"/>
  <c r="AA25" i="5"/>
  <c r="T45" i="10"/>
  <c r="AA50" i="5"/>
  <c r="M38" i="10"/>
  <c r="F49" i="5"/>
  <c r="Y18" i="10" l="1"/>
  <c r="AB18" i="10" s="1"/>
  <c r="W19" i="10"/>
  <c r="Y15" i="10"/>
  <c r="W15" i="10" s="1"/>
  <c r="W17" i="10"/>
  <c r="AB17" i="10"/>
  <c r="AB15" i="5"/>
  <c r="W16" i="10"/>
  <c r="AB16" i="10"/>
  <c r="E40" i="5"/>
  <c r="D40" i="5"/>
  <c r="G40" i="5" s="1"/>
  <c r="E49" i="10"/>
  <c r="D49" i="10"/>
  <c r="G49" i="10" s="1"/>
  <c r="Z20" i="5"/>
  <c r="Y20" i="5"/>
  <c r="E36" i="5"/>
  <c r="D36" i="5"/>
  <c r="G36" i="5" s="1"/>
  <c r="Z19" i="5"/>
  <c r="Y19" i="5"/>
  <c r="L40" i="10"/>
  <c r="K40" i="10"/>
  <c r="N40" i="10" s="1"/>
  <c r="Z26" i="5"/>
  <c r="Y26" i="5"/>
  <c r="W26" i="5" s="1"/>
  <c r="Z15" i="5"/>
  <c r="S45" i="5"/>
  <c r="R45" i="5"/>
  <c r="U45" i="5" s="1"/>
  <c r="S49" i="10"/>
  <c r="R49" i="10"/>
  <c r="U49" i="10" s="1"/>
  <c r="Z18" i="10"/>
  <c r="S20" i="5"/>
  <c r="R20" i="5"/>
  <c r="Z40" i="5"/>
  <c r="Y40" i="5"/>
  <c r="AB40" i="5" s="1"/>
  <c r="S44" i="5"/>
  <c r="R44" i="5"/>
  <c r="U44" i="5" s="1"/>
  <c r="L34" i="10"/>
  <c r="K34" i="10"/>
  <c r="S40" i="10"/>
  <c r="R40" i="10"/>
  <c r="U40" i="10" s="1"/>
  <c r="L50" i="10"/>
  <c r="K50" i="10"/>
  <c r="N50" i="10" s="1"/>
  <c r="Z47" i="10"/>
  <c r="Y47" i="10"/>
  <c r="AB47" i="10" s="1"/>
  <c r="E44" i="10"/>
  <c r="D44" i="10"/>
  <c r="G44" i="10" s="1"/>
  <c r="Z50" i="5"/>
  <c r="Y50" i="5"/>
  <c r="AB50" i="5" s="1"/>
  <c r="Z25" i="5"/>
  <c r="Y25" i="5"/>
  <c r="W25" i="5" s="1"/>
  <c r="E45" i="10"/>
  <c r="D45" i="10"/>
  <c r="G45" i="10" s="1"/>
  <c r="E47" i="5"/>
  <c r="D47" i="5"/>
  <c r="G47" i="5" s="1"/>
  <c r="Z46" i="5"/>
  <c r="Y46" i="5"/>
  <c r="AB46" i="5" s="1"/>
  <c r="E34" i="10"/>
  <c r="D34" i="10"/>
  <c r="G34" i="10" s="1"/>
  <c r="L40" i="5"/>
  <c r="N40" i="5"/>
  <c r="D20" i="10"/>
  <c r="L48" i="5"/>
  <c r="K48" i="5"/>
  <c r="E38" i="5"/>
  <c r="D38" i="5"/>
  <c r="G38" i="5" s="1"/>
  <c r="Z34" i="10"/>
  <c r="Y34" i="10"/>
  <c r="E50" i="10"/>
  <c r="D50" i="10"/>
  <c r="G50" i="10" s="1"/>
  <c r="Z37" i="5"/>
  <c r="Y37" i="5"/>
  <c r="Z38" i="5"/>
  <c r="Y38" i="5"/>
  <c r="AB38" i="5" s="1"/>
  <c r="Z44" i="5"/>
  <c r="Y44" i="5"/>
  <c r="Z14" i="10"/>
  <c r="Z35" i="10"/>
  <c r="Y35" i="10"/>
  <c r="AB35" i="10" s="1"/>
  <c r="Z24" i="5"/>
  <c r="Y24" i="5"/>
  <c r="AB24" i="5" s="1"/>
  <c r="E35" i="5"/>
  <c r="D35" i="5"/>
  <c r="G35" i="5" s="1"/>
  <c r="L49" i="5"/>
  <c r="K49" i="5"/>
  <c r="N49" i="5" s="1"/>
  <c r="Z48" i="5"/>
  <c r="Y48" i="5"/>
  <c r="AB48" i="5" s="1"/>
  <c r="L49" i="10"/>
  <c r="K49" i="10"/>
  <c r="N49" i="10" s="1"/>
  <c r="E48" i="10"/>
  <c r="D48" i="10"/>
  <c r="G48" i="10" s="1"/>
  <c r="E49" i="5"/>
  <c r="D49" i="5"/>
  <c r="Z18" i="5"/>
  <c r="Y18" i="5"/>
  <c r="Z44" i="10"/>
  <c r="Y44" i="10"/>
  <c r="AB44" i="10" s="1"/>
  <c r="E50" i="5"/>
  <c r="D50" i="5"/>
  <c r="S47" i="10"/>
  <c r="R47" i="10"/>
  <c r="U47" i="10" s="1"/>
  <c r="E46" i="10"/>
  <c r="D46" i="10"/>
  <c r="G46" i="10" s="1"/>
  <c r="E46" i="5"/>
  <c r="D46" i="5"/>
  <c r="G46" i="5" s="1"/>
  <c r="L47" i="10"/>
  <c r="K47" i="10"/>
  <c r="N47" i="10" s="1"/>
  <c r="L45" i="10"/>
  <c r="K45" i="10"/>
  <c r="N45" i="10" s="1"/>
  <c r="Z50" i="10"/>
  <c r="Y50" i="10"/>
  <c r="Z39" i="5"/>
  <c r="Y39" i="5"/>
  <c r="AB39" i="5" s="1"/>
  <c r="L38" i="10"/>
  <c r="K38" i="10"/>
  <c r="N38" i="10" s="1"/>
  <c r="Z36" i="5"/>
  <c r="Y36" i="5"/>
  <c r="AB36" i="5" s="1"/>
  <c r="E30" i="5"/>
  <c r="D30" i="5"/>
  <c r="E45" i="5"/>
  <c r="D45" i="5"/>
  <c r="G45" i="5" s="1"/>
  <c r="S37" i="10"/>
  <c r="R37" i="10"/>
  <c r="L44" i="10"/>
  <c r="K44" i="10"/>
  <c r="N44" i="10" s="1"/>
  <c r="E38" i="10"/>
  <c r="D38" i="10"/>
  <c r="G38" i="10" s="1"/>
  <c r="Z34" i="5"/>
  <c r="Y34" i="5"/>
  <c r="AB34" i="5" s="1"/>
  <c r="L34" i="5"/>
  <c r="K34" i="5"/>
  <c r="Z28" i="5"/>
  <c r="Y28" i="5"/>
  <c r="W28" i="5" s="1"/>
  <c r="S50" i="5"/>
  <c r="R50" i="5"/>
  <c r="U50" i="5" s="1"/>
  <c r="S39" i="10"/>
  <c r="R39" i="10"/>
  <c r="S35" i="10"/>
  <c r="R35" i="10"/>
  <c r="U35" i="10" s="1"/>
  <c r="L35" i="10"/>
  <c r="K35" i="10"/>
  <c r="N35" i="10" s="1"/>
  <c r="Z38" i="10"/>
  <c r="Y38" i="10"/>
  <c r="AB38" i="10" s="1"/>
  <c r="E35" i="10"/>
  <c r="D35" i="10"/>
  <c r="G35" i="10" s="1"/>
  <c r="Z30" i="5"/>
  <c r="Y30" i="5"/>
  <c r="AB30" i="5" s="1"/>
  <c r="L46" i="5"/>
  <c r="K46" i="5"/>
  <c r="N46" i="5" s="1"/>
  <c r="E34" i="5"/>
  <c r="D34" i="5"/>
  <c r="S46" i="5"/>
  <c r="R46" i="5"/>
  <c r="U46" i="5" s="1"/>
  <c r="S46" i="10"/>
  <c r="R46" i="10"/>
  <c r="U46" i="10" s="1"/>
  <c r="S44" i="10"/>
  <c r="R44" i="10"/>
  <c r="L37" i="10"/>
  <c r="K37" i="10"/>
  <c r="N37" i="10" s="1"/>
  <c r="Z39" i="10"/>
  <c r="Y39" i="10"/>
  <c r="AB39" i="10" s="1"/>
  <c r="Z16" i="10"/>
  <c r="E36" i="10"/>
  <c r="D36" i="10"/>
  <c r="G36" i="10" s="1"/>
  <c r="Z17" i="5"/>
  <c r="Y17" i="5"/>
  <c r="W17" i="5" s="1"/>
  <c r="E44" i="5"/>
  <c r="D44" i="5"/>
  <c r="G44" i="5" s="1"/>
  <c r="Z35" i="5"/>
  <c r="Y35" i="5"/>
  <c r="AB35" i="5" s="1"/>
  <c r="E48" i="5"/>
  <c r="D48" i="5"/>
  <c r="S47" i="5"/>
  <c r="R47" i="5"/>
  <c r="U47" i="5" s="1"/>
  <c r="Z17" i="10"/>
  <c r="Z36" i="10"/>
  <c r="Y36" i="10"/>
  <c r="Z10" i="10"/>
  <c r="S45" i="10"/>
  <c r="R45" i="10"/>
  <c r="U45" i="10" s="1"/>
  <c r="S34" i="10"/>
  <c r="R34" i="10"/>
  <c r="U34" i="10" s="1"/>
  <c r="S49" i="5"/>
  <c r="R49" i="5"/>
  <c r="U49" i="5" s="1"/>
  <c r="L36" i="10"/>
  <c r="K36" i="10"/>
  <c r="N36" i="10" s="1"/>
  <c r="Z49" i="10"/>
  <c r="Y49" i="10"/>
  <c r="AB49" i="10" s="1"/>
  <c r="K40" i="5"/>
  <c r="E47" i="10"/>
  <c r="D47" i="10"/>
  <c r="G47" i="10" s="1"/>
  <c r="Z29" i="5"/>
  <c r="Y29" i="5"/>
  <c r="W29" i="5" s="1"/>
  <c r="L45" i="5"/>
  <c r="K45" i="5"/>
  <c r="N45" i="5" s="1"/>
  <c r="Z48" i="10"/>
  <c r="Y48" i="10"/>
  <c r="AB48" i="10" s="1"/>
  <c r="L47" i="5"/>
  <c r="K47" i="5"/>
  <c r="Z37" i="10"/>
  <c r="Y37" i="10"/>
  <c r="AB37" i="10" s="1"/>
  <c r="Z45" i="5"/>
  <c r="Y45" i="5"/>
  <c r="AB45" i="5" s="1"/>
  <c r="Z16" i="5"/>
  <c r="Y16" i="5"/>
  <c r="W16" i="5" s="1"/>
  <c r="L50" i="5"/>
  <c r="K50" i="5"/>
  <c r="S34" i="5"/>
  <c r="R34" i="5"/>
  <c r="U34" i="5" s="1"/>
  <c r="S48" i="5"/>
  <c r="R48" i="5"/>
  <c r="S36" i="10"/>
  <c r="R36" i="10"/>
  <c r="U36" i="10" s="1"/>
  <c r="L46" i="10"/>
  <c r="K46" i="10"/>
  <c r="Z45" i="10"/>
  <c r="Y45" i="10"/>
  <c r="AB45" i="10" s="1"/>
  <c r="E39" i="10"/>
  <c r="D39" i="10"/>
  <c r="S40" i="5"/>
  <c r="R40" i="5"/>
  <c r="U40" i="5" s="1"/>
  <c r="L44" i="5"/>
  <c r="K44" i="5"/>
  <c r="N44" i="5" s="1"/>
  <c r="Z47" i="5"/>
  <c r="Y47" i="5"/>
  <c r="AB47" i="5" s="1"/>
  <c r="S38" i="10"/>
  <c r="R38" i="10"/>
  <c r="L48" i="10"/>
  <c r="K48" i="10"/>
  <c r="N48" i="10" s="1"/>
  <c r="Z46" i="10"/>
  <c r="Y46" i="10"/>
  <c r="E40" i="10"/>
  <c r="D40" i="10"/>
  <c r="G40" i="10" s="1"/>
  <c r="Z15" i="10"/>
  <c r="Z27" i="5"/>
  <c r="Y27" i="5"/>
  <c r="W27" i="5" s="1"/>
  <c r="E39" i="5"/>
  <c r="D39" i="5"/>
  <c r="E37" i="5"/>
  <c r="D37" i="5"/>
  <c r="G37" i="5" s="1"/>
  <c r="Z49" i="5"/>
  <c r="Y49" i="5"/>
  <c r="S50" i="10"/>
  <c r="R50" i="10"/>
  <c r="U50" i="10" s="1"/>
  <c r="S48" i="10"/>
  <c r="R48" i="10"/>
  <c r="U48" i="10" s="1"/>
  <c r="L39" i="10"/>
  <c r="K39" i="10"/>
  <c r="Z40" i="10"/>
  <c r="Y40" i="10"/>
  <c r="AB40" i="10" s="1"/>
  <c r="E37" i="10"/>
  <c r="D37" i="10"/>
  <c r="S20" i="10"/>
  <c r="AB25" i="5" l="1"/>
  <c r="AB27" i="5"/>
  <c r="AB26" i="5"/>
  <c r="AB28" i="5"/>
  <c r="AB29" i="5"/>
  <c r="AB19" i="5"/>
  <c r="W19" i="5"/>
  <c r="AB18" i="5"/>
  <c r="W18" i="5"/>
  <c r="AB20" i="5"/>
  <c r="W20" i="5"/>
  <c r="W18" i="10"/>
  <c r="AB17" i="5"/>
  <c r="AB15" i="10"/>
  <c r="AB21" i="10" s="1"/>
  <c r="Z21" i="10" s="1"/>
  <c r="B30" i="5"/>
  <c r="AB16" i="5"/>
  <c r="P20" i="5"/>
  <c r="B20" i="10"/>
  <c r="I30" i="10"/>
  <c r="W10" i="10"/>
  <c r="G51" i="10"/>
  <c r="E51" i="10" s="1"/>
  <c r="B37" i="10"/>
  <c r="C37" i="10"/>
  <c r="P38" i="10"/>
  <c r="Q38" i="10"/>
  <c r="Q48" i="5"/>
  <c r="P48" i="5"/>
  <c r="B34" i="5"/>
  <c r="C34" i="5"/>
  <c r="Q39" i="10"/>
  <c r="P39" i="10"/>
  <c r="Q37" i="10"/>
  <c r="P37" i="10"/>
  <c r="X37" i="5"/>
  <c r="W37" i="5"/>
  <c r="I48" i="5"/>
  <c r="J48" i="5"/>
  <c r="C20" i="10"/>
  <c r="I34" i="10"/>
  <c r="J34" i="10"/>
  <c r="X15" i="5"/>
  <c r="X20" i="5"/>
  <c r="W49" i="5"/>
  <c r="X49" i="5"/>
  <c r="J46" i="10"/>
  <c r="I46" i="10"/>
  <c r="C48" i="5"/>
  <c r="B48" i="5"/>
  <c r="X17" i="5"/>
  <c r="C49" i="5"/>
  <c r="B49" i="5"/>
  <c r="Q20" i="10"/>
  <c r="P50" i="10"/>
  <c r="Q50" i="10"/>
  <c r="W45" i="5"/>
  <c r="X45" i="5"/>
  <c r="P49" i="5"/>
  <c r="Q49" i="5"/>
  <c r="Q45" i="10"/>
  <c r="P45" i="10"/>
  <c r="C36" i="10"/>
  <c r="B36" i="10"/>
  <c r="J37" i="10"/>
  <c r="I37" i="10"/>
  <c r="Q46" i="5"/>
  <c r="P46" i="5"/>
  <c r="J46" i="5"/>
  <c r="I46" i="5"/>
  <c r="W38" i="10"/>
  <c r="X38" i="10"/>
  <c r="I44" i="10"/>
  <c r="J44" i="10"/>
  <c r="C30" i="5"/>
  <c r="W39" i="5"/>
  <c r="X39" i="5"/>
  <c r="C46" i="5"/>
  <c r="B46" i="5"/>
  <c r="Q47" i="10"/>
  <c r="P47" i="10"/>
  <c r="X44" i="10"/>
  <c r="W44" i="10"/>
  <c r="X18" i="5"/>
  <c r="I49" i="5"/>
  <c r="J49" i="5"/>
  <c r="X14" i="10"/>
  <c r="B34" i="10"/>
  <c r="C34" i="10"/>
  <c r="C45" i="10"/>
  <c r="B45" i="10"/>
  <c r="W47" i="10"/>
  <c r="X47" i="10"/>
  <c r="P40" i="10"/>
  <c r="Q40" i="10"/>
  <c r="Q20" i="5"/>
  <c r="P45" i="5"/>
  <c r="Q45" i="5"/>
  <c r="X19" i="5"/>
  <c r="B36" i="5"/>
  <c r="C36" i="5"/>
  <c r="I39" i="10"/>
  <c r="J39" i="10"/>
  <c r="W46" i="10"/>
  <c r="X46" i="10"/>
  <c r="J50" i="5"/>
  <c r="I50" i="5"/>
  <c r="X29" i="5"/>
  <c r="X16" i="10"/>
  <c r="W50" i="10"/>
  <c r="X50" i="10"/>
  <c r="W44" i="5"/>
  <c r="X44" i="5"/>
  <c r="X34" i="10"/>
  <c r="W34" i="10"/>
  <c r="J48" i="10"/>
  <c r="I48" i="10"/>
  <c r="Q40" i="5"/>
  <c r="P40" i="5"/>
  <c r="P36" i="10"/>
  <c r="Q36" i="10"/>
  <c r="X37" i="10"/>
  <c r="W37" i="10"/>
  <c r="X48" i="10"/>
  <c r="W48" i="10"/>
  <c r="I36" i="10"/>
  <c r="J36" i="10"/>
  <c r="Q34" i="10"/>
  <c r="P34" i="10"/>
  <c r="P47" i="5"/>
  <c r="Q47" i="5"/>
  <c r="B44" i="5"/>
  <c r="C44" i="5"/>
  <c r="P46" i="10"/>
  <c r="Q46" i="10"/>
  <c r="Q35" i="10"/>
  <c r="P35" i="10"/>
  <c r="X28" i="5"/>
  <c r="B38" i="10"/>
  <c r="C38" i="10"/>
  <c r="J38" i="10"/>
  <c r="I38" i="10"/>
  <c r="J47" i="10"/>
  <c r="I47" i="10"/>
  <c r="C48" i="10"/>
  <c r="B48" i="10"/>
  <c r="W48" i="5"/>
  <c r="X48" i="5"/>
  <c r="X24" i="5"/>
  <c r="W35" i="10"/>
  <c r="X35" i="10"/>
  <c r="X38" i="5"/>
  <c r="W38" i="5"/>
  <c r="B38" i="5"/>
  <c r="C38" i="5"/>
  <c r="I40" i="5"/>
  <c r="C47" i="5"/>
  <c r="B47" i="5"/>
  <c r="X50" i="5"/>
  <c r="W50" i="5"/>
  <c r="X40" i="5"/>
  <c r="W40" i="5"/>
  <c r="Q49" i="10"/>
  <c r="P49" i="10"/>
  <c r="J40" i="10"/>
  <c r="I40" i="10"/>
  <c r="C40" i="5"/>
  <c r="B40" i="5"/>
  <c r="X27" i="5"/>
  <c r="C39" i="10"/>
  <c r="B39" i="10"/>
  <c r="J47" i="5"/>
  <c r="I47" i="5"/>
  <c r="X36" i="10"/>
  <c r="W36" i="10"/>
  <c r="Q44" i="10"/>
  <c r="P44" i="10"/>
  <c r="I34" i="5"/>
  <c r="J34" i="5"/>
  <c r="B50" i="5"/>
  <c r="C50" i="5"/>
  <c r="G39" i="5"/>
  <c r="B39" i="5"/>
  <c r="C39" i="5"/>
  <c r="W40" i="10"/>
  <c r="X40" i="10"/>
  <c r="C40" i="10"/>
  <c r="B40" i="10"/>
  <c r="W47" i="5"/>
  <c r="X47" i="5"/>
  <c r="X45" i="10"/>
  <c r="W45" i="10"/>
  <c r="G37" i="10"/>
  <c r="N39" i="10"/>
  <c r="P48" i="10"/>
  <c r="Q48" i="10"/>
  <c r="AB49" i="5"/>
  <c r="B37" i="5"/>
  <c r="C37" i="5"/>
  <c r="X15" i="10"/>
  <c r="AB46" i="10"/>
  <c r="U38" i="10"/>
  <c r="J44" i="5"/>
  <c r="I44" i="5"/>
  <c r="G39" i="10"/>
  <c r="N46" i="10"/>
  <c r="N51" i="10" s="1"/>
  <c r="L51" i="10" s="1"/>
  <c r="U48" i="5"/>
  <c r="U51" i="5" s="1"/>
  <c r="S51" i="5" s="1"/>
  <c r="Q34" i="5"/>
  <c r="P34" i="5"/>
  <c r="N50" i="5"/>
  <c r="X16" i="5"/>
  <c r="N47" i="5"/>
  <c r="I45" i="5"/>
  <c r="J45" i="5"/>
  <c r="C47" i="10"/>
  <c r="B47" i="10"/>
  <c r="X49" i="10"/>
  <c r="W49" i="10"/>
  <c r="J20" i="10"/>
  <c r="X10" i="10"/>
  <c r="AB36" i="10"/>
  <c r="X17" i="10"/>
  <c r="G48" i="5"/>
  <c r="X35" i="5"/>
  <c r="W35" i="5"/>
  <c r="X39" i="10"/>
  <c r="W39" i="10"/>
  <c r="U44" i="10"/>
  <c r="U51" i="10" s="1"/>
  <c r="S51" i="10" s="1"/>
  <c r="G34" i="5"/>
  <c r="X30" i="5"/>
  <c r="W30" i="5"/>
  <c r="C35" i="10"/>
  <c r="B35" i="10"/>
  <c r="I35" i="10"/>
  <c r="J35" i="10"/>
  <c r="U39" i="10"/>
  <c r="Q50" i="5"/>
  <c r="P50" i="5"/>
  <c r="N34" i="5"/>
  <c r="W34" i="5"/>
  <c r="X34" i="5"/>
  <c r="U37" i="10"/>
  <c r="C45" i="5"/>
  <c r="B45" i="5"/>
  <c r="X36" i="5"/>
  <c r="W36" i="5"/>
  <c r="AB50" i="10"/>
  <c r="I45" i="10"/>
  <c r="J45" i="10"/>
  <c r="B46" i="10"/>
  <c r="C46" i="10"/>
  <c r="G50" i="5"/>
  <c r="G49" i="5"/>
  <c r="I49" i="10"/>
  <c r="J49" i="10"/>
  <c r="C35" i="5"/>
  <c r="B35" i="5"/>
  <c r="AB44" i="5"/>
  <c r="AB37" i="5"/>
  <c r="AB41" i="5" s="1"/>
  <c r="Z41" i="5" s="1"/>
  <c r="C50" i="10"/>
  <c r="B50" i="10"/>
  <c r="AB34" i="10"/>
  <c r="U41" i="5"/>
  <c r="S41" i="5" s="1"/>
  <c r="N48" i="5"/>
  <c r="X46" i="5"/>
  <c r="W46" i="5"/>
  <c r="X25" i="5"/>
  <c r="B44" i="10"/>
  <c r="C44" i="10"/>
  <c r="I50" i="10"/>
  <c r="J50" i="10"/>
  <c r="N34" i="10"/>
  <c r="P44" i="5"/>
  <c r="Q44" i="5"/>
  <c r="X18" i="10"/>
  <c r="X26" i="5"/>
  <c r="B49" i="10"/>
  <c r="C49" i="10"/>
  <c r="G11" i="10" l="1"/>
  <c r="E11" i="10" s="1"/>
  <c r="N31" i="10"/>
  <c r="L31" i="10" s="1"/>
  <c r="N11" i="10"/>
  <c r="L11" i="10" s="1"/>
  <c r="AB11" i="5"/>
  <c r="Z11" i="5" s="1"/>
  <c r="N21" i="10"/>
  <c r="L21" i="10" s="1"/>
  <c r="N11" i="5"/>
  <c r="L11" i="5" s="1"/>
  <c r="G21" i="10"/>
  <c r="E21" i="10" s="1"/>
  <c r="E11" i="5"/>
  <c r="U11" i="10"/>
  <c r="S11" i="10" s="1"/>
  <c r="U11" i="5"/>
  <c r="S11" i="5" s="1"/>
  <c r="N31" i="5"/>
  <c r="L31" i="5" s="1"/>
  <c r="AB11" i="10"/>
  <c r="Z11" i="10" s="1"/>
  <c r="G21" i="5"/>
  <c r="E21" i="5" s="1"/>
  <c r="G41" i="5"/>
  <c r="E41" i="5" s="1"/>
  <c r="N21" i="5"/>
  <c r="L21" i="5" s="1"/>
  <c r="AB31" i="10"/>
  <c r="Z31" i="10" s="1"/>
  <c r="N41" i="10"/>
  <c r="L41" i="10" s="1"/>
  <c r="N51" i="5"/>
  <c r="L51" i="5" s="1"/>
  <c r="AB41" i="10"/>
  <c r="Z41" i="10" s="1"/>
  <c r="U41" i="10"/>
  <c r="S41" i="10" s="1"/>
  <c r="G41" i="10"/>
  <c r="E41" i="10" s="1"/>
  <c r="AB31" i="5"/>
  <c r="Z31" i="5" s="1"/>
  <c r="G51" i="5"/>
  <c r="E51" i="5" s="1"/>
  <c r="AB51" i="10"/>
  <c r="Z51" i="10" s="1"/>
  <c r="U31" i="10"/>
  <c r="S31" i="10" s="1"/>
  <c r="N41" i="5"/>
  <c r="L41" i="5" s="1"/>
  <c r="U21" i="10"/>
  <c r="S21" i="10" s="1"/>
  <c r="AB51" i="5"/>
  <c r="Z51" i="5" s="1"/>
  <c r="G31" i="10"/>
  <c r="E31" i="10" s="1"/>
  <c r="G31" i="5"/>
  <c r="E31" i="5" s="1"/>
  <c r="AB21" i="5"/>
  <c r="Z21" i="5" s="1"/>
  <c r="U21" i="5" l="1"/>
  <c r="S21" i="5" s="1"/>
</calcChain>
</file>

<file path=xl/sharedStrings.xml><?xml version="1.0" encoding="utf-8"?>
<sst xmlns="http://schemas.openxmlformats.org/spreadsheetml/2006/main" count="19550" uniqueCount="311">
  <si>
    <t>RUN NO</t>
  </si>
  <si>
    <t>Çıkış Saati</t>
  </si>
  <si>
    <t>Çıkış saati</t>
  </si>
  <si>
    <t>Açıklama</t>
  </si>
  <si>
    <t>Ç.ORANI</t>
  </si>
  <si>
    <t>TOPLAM</t>
  </si>
  <si>
    <t>G.NO</t>
  </si>
  <si>
    <t>TUR</t>
  </si>
  <si>
    <t>Parktan</t>
  </si>
  <si>
    <t>No</t>
  </si>
  <si>
    <t>UÇ İSTASYONLAR</t>
  </si>
  <si>
    <t>SERVİS DIŞI ARAÇLAR</t>
  </si>
  <si>
    <t>SADECE SEFER NUMARALARI VE SERVİS, SERVİS DIŞI SAATLERİ ELLE GİRİLEBİLİR</t>
  </si>
  <si>
    <t>NA 
başlama saati</t>
  </si>
  <si>
    <t>A 
başlama saati</t>
  </si>
  <si>
    <t>BOS1</t>
  </si>
  <si>
    <t>PAR2</t>
  </si>
  <si>
    <t>BOSTANCI</t>
  </si>
  <si>
    <t>PARSELLER</t>
  </si>
  <si>
    <t>SERVİSE GİREN ARAÇLAR</t>
  </si>
  <si>
    <t>PARSELLER P2</t>
  </si>
  <si>
    <t>Tam tur süresi dk</t>
  </si>
  <si>
    <t>S 
başlama saati</t>
  </si>
  <si>
    <t>NS
başlama saati</t>
  </si>
  <si>
    <t>GRUP SORUMLUSU</t>
  </si>
  <si>
    <t>Sefer</t>
  </si>
  <si>
    <t>Yolculuk</t>
  </si>
  <si>
    <t>Ana Rota</t>
  </si>
  <si>
    <t>Olay Tipi</t>
  </si>
  <si>
    <t>Peron</t>
  </si>
  <si>
    <t>Sonraki Delta</t>
  </si>
  <si>
    <t>BOS1RP-PAR2P (LA7-M)</t>
  </si>
  <si>
    <t>DepartFromStation</t>
  </si>
  <si>
    <t>341: S04-1</t>
  </si>
  <si>
    <t>392: S09-2</t>
  </si>
  <si>
    <t>ArriveAtStation</t>
  </si>
  <si>
    <t>351: S05-1</t>
  </si>
  <si>
    <t>391: S09-1</t>
  </si>
  <si>
    <t>382: S08-2</t>
  </si>
  <si>
    <t>342: S04-2</t>
  </si>
  <si>
    <t>311: S01-1</t>
  </si>
  <si>
    <t>3122: S12-2</t>
  </si>
  <si>
    <t>3101: S10-1</t>
  </si>
  <si>
    <t>361: S06-1</t>
  </si>
  <si>
    <t>321: S02-1</t>
  </si>
  <si>
    <t>372: S07-2</t>
  </si>
  <si>
    <t>332: S03-2</t>
  </si>
  <si>
    <t>3112: S11-2</t>
  </si>
  <si>
    <t>3111: S11-1</t>
  </si>
  <si>
    <t>331: S03-1</t>
  </si>
  <si>
    <t>371: S07-1</t>
  </si>
  <si>
    <t>322: S02-2</t>
  </si>
  <si>
    <t>362: S06-2</t>
  </si>
  <si>
    <t>3102: S10-2</t>
  </si>
  <si>
    <t>3121: S12-1</t>
  </si>
  <si>
    <t>312: S01-2</t>
  </si>
  <si>
    <t>381: S08-1</t>
  </si>
  <si>
    <t>352: S05-2</t>
  </si>
  <si>
    <t>3200: PS-3200</t>
  </si>
  <si>
    <t>İMES P1</t>
  </si>
  <si>
    <t>BOSTANCI P1</t>
  </si>
  <si>
    <t>KOZYATAĞI P1</t>
  </si>
  <si>
    <t>İMES P2</t>
  </si>
  <si>
    <t>KOZYATAĞI P2</t>
  </si>
  <si>
    <t>İMES 1</t>
  </si>
  <si>
    <t>KOZYATAĞI 1</t>
  </si>
  <si>
    <t>BOSTANCI 1</t>
  </si>
  <si>
    <t>KOZYATAĞI 2</t>
  </si>
  <si>
    <t>KOZ1</t>
  </si>
  <si>
    <t>KOZ2</t>
  </si>
  <si>
    <t>VARDİYA</t>
  </si>
  <si>
    <t>SAAT</t>
  </si>
  <si>
    <t>YÖN</t>
  </si>
  <si>
    <t>MAKİNİST</t>
  </si>
  <si>
    <t>SABAH</t>
  </si>
  <si>
    <t>ODA1</t>
  </si>
  <si>
    <t>NS</t>
  </si>
  <si>
    <t>NA</t>
  </si>
  <si>
    <t>AKŞAM</t>
  </si>
  <si>
    <t>VARDİYA SORUMLUSU</t>
  </si>
  <si>
    <t>ÇALIŞMA SAATLERİ</t>
  </si>
  <si>
    <t>NOT:</t>
  </si>
  <si>
    <t xml:space="preserve">S </t>
  </si>
  <si>
    <t>A</t>
  </si>
  <si>
    <t>İMES1</t>
  </si>
  <si>
    <t>BOST1</t>
  </si>
  <si>
    <t>İMES2</t>
  </si>
  <si>
    <t>MANEVRA</t>
  </si>
  <si>
    <t>HAFTA İÇİ AKŞAM TARİFESİ (7+4)</t>
  </si>
  <si>
    <t>07:00-16:00</t>
  </si>
  <si>
    <t>HAFTA İÇİ SABAH  TARİFESİ (7+3)</t>
  </si>
  <si>
    <t>FORMÜLLER VAR BOZMAYIN</t>
  </si>
  <si>
    <t>3131: S13-1</t>
  </si>
  <si>
    <t>06:00:00</t>
  </si>
  <si>
    <t>Seyahat AdÄ±</t>
  </si>
  <si>
    <t>Olay ZamanÄ±</t>
  </si>
  <si>
    <t>Ã–nceki Delta</t>
  </si>
  <si>
    <t>Ã–nceki Sefer aralÄ±ÄŸÄ±</t>
  </si>
  <si>
    <t>Sonraki Sefer AralÄ±ÄŸÄ±</t>
  </si>
  <si>
    <t>06:09:48</t>
  </si>
  <si>
    <t>06:18:28</t>
  </si>
  <si>
    <t>PAR</t>
  </si>
  <si>
    <t>06:16:58</t>
  </si>
  <si>
    <t>BOS</t>
  </si>
  <si>
    <t>06:43:43</t>
  </si>
  <si>
    <t>07:29:40</t>
  </si>
  <si>
    <t>07:56:25</t>
  </si>
  <si>
    <t>08:45:15</t>
  </si>
  <si>
    <t>09:12:00</t>
  </si>
  <si>
    <t>10:27:05</t>
  </si>
  <si>
    <t>10:53:50</t>
  </si>
  <si>
    <t>12:19:06</t>
  </si>
  <si>
    <t>12:45:51</t>
  </si>
  <si>
    <t>06:25:27</t>
  </si>
  <si>
    <t>06:52:12</t>
  </si>
  <si>
    <t>07:44:12</t>
  </si>
  <si>
    <t>08:10:57</t>
  </si>
  <si>
    <t>09:05:37</t>
  </si>
  <si>
    <t>09:32:22</t>
  </si>
  <si>
    <t>10:47:27</t>
  </si>
  <si>
    <t>11:14:12</t>
  </si>
  <si>
    <t>12:39:28</t>
  </si>
  <si>
    <t>13:06:13</t>
  </si>
  <si>
    <t>06:33:56</t>
  </si>
  <si>
    <t>07:00:41</t>
  </si>
  <si>
    <t>07:51:28</t>
  </si>
  <si>
    <t>08:18:13</t>
  </si>
  <si>
    <t>09:15:48</t>
  </si>
  <si>
    <t>09:42:33</t>
  </si>
  <si>
    <t>10:57:38</t>
  </si>
  <si>
    <t>11:24:23</t>
  </si>
  <si>
    <t>12:49:39</t>
  </si>
  <si>
    <t>13:16:24</t>
  </si>
  <si>
    <t>06:42:25</t>
  </si>
  <si>
    <t>07:09:10</t>
  </si>
  <si>
    <t>07:58:44</t>
  </si>
  <si>
    <t>08:25:29</t>
  </si>
  <si>
    <t>09:25:59</t>
  </si>
  <si>
    <t>09:52:44</t>
  </si>
  <si>
    <t>11:07:49</t>
  </si>
  <si>
    <t>11:34:34</t>
  </si>
  <si>
    <t>06:50:54</t>
  </si>
  <si>
    <t>07:17:39</t>
  </si>
  <si>
    <t>08:06:00</t>
  </si>
  <si>
    <t>08:32:45</t>
  </si>
  <si>
    <t>09:36:10</t>
  </si>
  <si>
    <t>10:02:55</t>
  </si>
  <si>
    <t>11:28:11</t>
  </si>
  <si>
    <t>11:54:56</t>
  </si>
  <si>
    <t>06:26:45</t>
  </si>
  <si>
    <t>06:59:23</t>
  </si>
  <si>
    <t>07:26:08</t>
  </si>
  <si>
    <t>08:13:16</t>
  </si>
  <si>
    <t>08:40:01</t>
  </si>
  <si>
    <t>09:46:21</t>
  </si>
  <si>
    <t>10:13:06</t>
  </si>
  <si>
    <t>11:38:22</t>
  </si>
  <si>
    <t>12:05:07</t>
  </si>
  <si>
    <t>06:08:29</t>
  </si>
  <si>
    <t>06:35:14</t>
  </si>
  <si>
    <t>07:07:52</t>
  </si>
  <si>
    <t>07:34:37</t>
  </si>
  <si>
    <t>08:20:32</t>
  </si>
  <si>
    <t>08:47:17</t>
  </si>
  <si>
    <t>09:56:32</t>
  </si>
  <si>
    <t>10:23:17</t>
  </si>
  <si>
    <t>11:58:44</t>
  </si>
  <si>
    <t>12:25:29</t>
  </si>
  <si>
    <t>PARSELLER 1</t>
  </si>
  <si>
    <t>07:15:08</t>
  </si>
  <si>
    <t>07:41:53</t>
  </si>
  <si>
    <t>08:27:48</t>
  </si>
  <si>
    <t>08:54:33</t>
  </si>
  <si>
    <t>10:06:43</t>
  </si>
  <si>
    <t>10:33:28</t>
  </si>
  <si>
    <t>11:48:33</t>
  </si>
  <si>
    <t>12:15:18</t>
  </si>
  <si>
    <t>13:20:12</t>
  </si>
  <si>
    <t>13:46:57</t>
  </si>
  <si>
    <t>14:41:40</t>
  </si>
  <si>
    <t>15:08:25</t>
  </si>
  <si>
    <t>07:22:24</t>
  </si>
  <si>
    <t>07:49:09</t>
  </si>
  <si>
    <t>08:35:04</t>
  </si>
  <si>
    <t>09:01:49</t>
  </si>
  <si>
    <t>10:16:54</t>
  </si>
  <si>
    <t>10:43:39</t>
  </si>
  <si>
    <t>12:08:55</t>
  </si>
  <si>
    <t>12:35:40</t>
  </si>
  <si>
    <t>13:50:45</t>
  </si>
  <si>
    <t>14:17:30</t>
  </si>
  <si>
    <t>15:02:02</t>
  </si>
  <si>
    <t>15:28:47</t>
  </si>
  <si>
    <t>07:36:56</t>
  </si>
  <si>
    <t>08:03:41</t>
  </si>
  <si>
    <t>08:55:26</t>
  </si>
  <si>
    <t>09:22:11</t>
  </si>
  <si>
    <t>10:37:16</t>
  </si>
  <si>
    <t>11:04:01</t>
  </si>
  <si>
    <t>12:29:17</t>
  </si>
  <si>
    <t>12:56:02</t>
  </si>
  <si>
    <t>14:11:07</t>
  </si>
  <si>
    <t>14:37:52</t>
  </si>
  <si>
    <t>15:32:35</t>
  </si>
  <si>
    <t>15:59:20</t>
  </si>
  <si>
    <t>13:30:23</t>
  </si>
  <si>
    <t>13:57:08</t>
  </si>
  <si>
    <t>14:51:51</t>
  </si>
  <si>
    <t>15:18:36</t>
  </si>
  <si>
    <t>16:10:24</t>
  </si>
  <si>
    <t>16:37:09</t>
  </si>
  <si>
    <t>17:37:36</t>
  </si>
  <si>
    <t>18:04:21</t>
  </si>
  <si>
    <t>19:04:48</t>
  </si>
  <si>
    <t>19:31:33</t>
  </si>
  <si>
    <t>20:42:14</t>
  </si>
  <si>
    <t>13:40:34</t>
  </si>
  <si>
    <t>14:07:19</t>
  </si>
  <si>
    <t>15:12:13</t>
  </si>
  <si>
    <t>15:38:58</t>
  </si>
  <si>
    <t>16:24:56</t>
  </si>
  <si>
    <t>16:51:41</t>
  </si>
  <si>
    <t>17:52:08</t>
  </si>
  <si>
    <t>18:18:53</t>
  </si>
  <si>
    <t>19:12:04</t>
  </si>
  <si>
    <t>19:38:49</t>
  </si>
  <si>
    <t>14:00:56</t>
  </si>
  <si>
    <t>14:27:41</t>
  </si>
  <si>
    <t>15:22:24</t>
  </si>
  <si>
    <t>15:49:09</t>
  </si>
  <si>
    <t>16:39:28</t>
  </si>
  <si>
    <t>17:06:13</t>
  </si>
  <si>
    <t>18:06:40</t>
  </si>
  <si>
    <t>18:33:25</t>
  </si>
  <si>
    <t>19:33:52</t>
  </si>
  <si>
    <t>20:00:37</t>
  </si>
  <si>
    <t>14:21:18</t>
  </si>
  <si>
    <t>14:48:03</t>
  </si>
  <si>
    <t>15:42:46</t>
  </si>
  <si>
    <t>16:09:31</t>
  </si>
  <si>
    <t>17:08:32</t>
  </si>
  <si>
    <t>17:35:17</t>
  </si>
  <si>
    <t>18:35:44</t>
  </si>
  <si>
    <t>19:02:29</t>
  </si>
  <si>
    <t>20:11:41</t>
  </si>
  <si>
    <t>20:38:26</t>
  </si>
  <si>
    <t>16:03:08</t>
  </si>
  <si>
    <t>16:29:53</t>
  </si>
  <si>
    <t>17:30:20</t>
  </si>
  <si>
    <t>17:57:05</t>
  </si>
  <si>
    <t>18:57:32</t>
  </si>
  <si>
    <t>19:24:17</t>
  </si>
  <si>
    <t>20:32:03</t>
  </si>
  <si>
    <t>20:58:48</t>
  </si>
  <si>
    <t>16:17:40</t>
  </si>
  <si>
    <t>16:44:25</t>
  </si>
  <si>
    <t>17:44:52</t>
  </si>
  <si>
    <t>18:11:37</t>
  </si>
  <si>
    <t>19:19:20</t>
  </si>
  <si>
    <t>19:46:05</t>
  </si>
  <si>
    <t>20:52:25</t>
  </si>
  <si>
    <t>16:32:12</t>
  </si>
  <si>
    <t>16:58:57</t>
  </si>
  <si>
    <t>17:59:24</t>
  </si>
  <si>
    <t>18:26:09</t>
  </si>
  <si>
    <t>19:26:36</t>
  </si>
  <si>
    <t>19:53:21</t>
  </si>
  <si>
    <t>21:02:36</t>
  </si>
  <si>
    <t>16:46:44</t>
  </si>
  <si>
    <t>17:13:29</t>
  </si>
  <si>
    <t>18:13:56</t>
  </si>
  <si>
    <t>18:40:41</t>
  </si>
  <si>
    <t>19:41:08</t>
  </si>
  <si>
    <t>20:07:53</t>
  </si>
  <si>
    <t>16:54:00</t>
  </si>
  <si>
    <t>17:20:45</t>
  </si>
  <si>
    <t>18:21:12</t>
  </si>
  <si>
    <t>18:47:57</t>
  </si>
  <si>
    <t>19:51:19</t>
  </si>
  <si>
    <t>20:18:04</t>
  </si>
  <si>
    <t>17:01:16</t>
  </si>
  <si>
    <t>17:28:01</t>
  </si>
  <si>
    <t>18:28:28</t>
  </si>
  <si>
    <t>18:55:13</t>
  </si>
  <si>
    <t>20:01:30</t>
  </si>
  <si>
    <t>20:28:15</t>
  </si>
  <si>
    <t>17:15:48</t>
  </si>
  <si>
    <t>17:42:33</t>
  </si>
  <si>
    <t>18:43:00</t>
  </si>
  <si>
    <t>19:09:45</t>
  </si>
  <si>
    <t>20:21:52</t>
  </si>
  <si>
    <t>20:48:37</t>
  </si>
  <si>
    <t>13:10:01</t>
  </si>
  <si>
    <t>13:36:46</t>
  </si>
  <si>
    <t>11:18:00</t>
  </si>
  <si>
    <t>11:44:45</t>
  </si>
  <si>
    <t>14:31:29</t>
  </si>
  <si>
    <t>14:58:14</t>
  </si>
  <si>
    <t>15:52:57</t>
  </si>
  <si>
    <t>16:19:42</t>
  </si>
  <si>
    <t>17:23:04</t>
  </si>
  <si>
    <t>17:49:49</t>
  </si>
  <si>
    <t>18:50:16</t>
  </si>
  <si>
    <t>19:17:01</t>
  </si>
  <si>
    <t>MEV2</t>
  </si>
  <si>
    <t>MEVLANA 2</t>
  </si>
  <si>
    <t>PAR1</t>
  </si>
  <si>
    <r>
      <rPr>
        <sz val="26"/>
        <rFont val="Arial"/>
        <family val="2"/>
        <charset val="162"/>
      </rPr>
      <t xml:space="preserve">HAFTA İÇİ </t>
    </r>
    <r>
      <rPr>
        <sz val="12"/>
        <rFont val="Arial"/>
        <family val="2"/>
      </rPr>
      <t xml:space="preserve">
</t>
    </r>
    <r>
      <rPr>
        <sz val="14"/>
        <rFont val="Arial"/>
        <family val="2"/>
        <charset val="162"/>
      </rPr>
      <t>01.12.2025</t>
    </r>
  </si>
  <si>
    <t>M8 METRO İSTANBUL İŞLETMESİ HAFTAİÇİ MAKİNİST SEFER TAKİP FORMU    /   /2025</t>
  </si>
  <si>
    <t>07:00-15:00</t>
  </si>
  <si>
    <t>12:00-21:00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</si>
</sst>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:ss"/>
    <numFmt numFmtId="165" formatCode="\%00"/>
    <numFmt numFmtId="166" formatCode="[$-F400]h:mm:ss\ AM/PM"/>
  </numFmts>
  <fonts count="5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Arial"/>
      <family val="2"/>
    </font>
    <font>
      <b/>
      <sz val="8"/>
      <name val="Arial"/>
      <family val="2"/>
      <charset val="162"/>
    </font>
    <font>
      <b/>
      <sz val="11"/>
      <name val="Arial"/>
      <family val="2"/>
    </font>
    <font>
      <b/>
      <sz val="11"/>
      <name val="Arial"/>
      <family val="2"/>
      <charset val="162"/>
    </font>
    <font>
      <b/>
      <sz val="14"/>
      <name val="Arial"/>
      <family val="2"/>
    </font>
    <font>
      <b/>
      <i/>
      <sz val="10"/>
      <color theme="1"/>
      <name val="Arial"/>
      <family val="2"/>
      <charset val="162"/>
    </font>
    <font>
      <sz val="10"/>
      <name val="Arial"/>
      <family val="2"/>
      <charset val="162"/>
    </font>
    <font>
      <sz val="20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22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22"/>
      <color indexed="8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6"/>
      <color indexed="8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22"/>
      <name val="Calibri"/>
      <family val="2"/>
      <charset val="162"/>
    </font>
    <font>
      <u/>
      <sz val="18"/>
      <color theme="1"/>
      <name val="Calibri"/>
      <family val="2"/>
      <charset val="162"/>
      <scheme val="minor"/>
    </font>
    <font>
      <u/>
      <sz val="16"/>
      <color theme="1"/>
      <name val="Calibri"/>
      <family val="2"/>
      <charset val="162"/>
      <scheme val="minor"/>
    </font>
    <font>
      <b/>
      <sz val="14"/>
      <name val="Arial Black"/>
      <family val="2"/>
      <charset val="162"/>
    </font>
    <font>
      <b/>
      <sz val="11"/>
      <color indexed="10"/>
      <name val="Arial"/>
      <family val="2"/>
    </font>
    <font>
      <sz val="12"/>
      <name val="Arial"/>
      <family val="2"/>
    </font>
    <font>
      <sz val="16"/>
      <name val="Arial"/>
      <family val="2"/>
      <charset val="162"/>
    </font>
    <font>
      <b/>
      <sz val="16"/>
      <name val="Arial"/>
      <family val="2"/>
      <charset val="162"/>
    </font>
    <font>
      <b/>
      <sz val="18"/>
      <name val="Arial"/>
      <family val="2"/>
      <charset val="162"/>
    </font>
    <font>
      <b/>
      <sz val="20"/>
      <name val="Arial"/>
      <family val="2"/>
      <charset val="162"/>
    </font>
    <font>
      <sz val="18"/>
      <name val="Arial"/>
      <family val="2"/>
      <charset val="162"/>
    </font>
    <font>
      <sz val="20"/>
      <name val="Arial"/>
      <family val="2"/>
      <charset val="162"/>
    </font>
    <font>
      <sz val="11"/>
      <name val="Arial"/>
      <family val="2"/>
      <charset val="162"/>
    </font>
    <font>
      <b/>
      <sz val="14"/>
      <name val="Arial"/>
      <family val="2"/>
      <charset val="162"/>
    </font>
    <font>
      <sz val="14"/>
      <name val="Arial"/>
      <family val="2"/>
      <charset val="162"/>
    </font>
    <font>
      <b/>
      <sz val="12"/>
      <name val="Arial"/>
      <family val="2"/>
    </font>
    <font>
      <sz val="24"/>
      <name val="Arial"/>
      <family val="2"/>
      <charset val="162"/>
    </font>
    <font>
      <b/>
      <sz val="22"/>
      <color theme="3" tint="0.59999389629810485"/>
      <name val="Calibri"/>
      <family val="2"/>
      <charset val="162"/>
      <scheme val="minor"/>
    </font>
    <font>
      <b/>
      <sz val="36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0"/>
      <name val="Arial"/>
      <family val="2"/>
    </font>
    <font>
      <b/>
      <u/>
      <sz val="12"/>
      <name val="Arial"/>
      <family val="2"/>
    </font>
    <font>
      <b/>
      <sz val="16"/>
      <color theme="1"/>
      <name val="Calibri"/>
      <family val="2"/>
      <charset val="162"/>
      <scheme val="minor"/>
    </font>
    <font>
      <b/>
      <sz val="11"/>
      <color rgb="FFFFFF00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26"/>
      <name val="Arial"/>
      <family val="2"/>
      <charset val="162"/>
    </font>
    <font>
      <sz val="12"/>
      <name val="Arial"/>
      <family val="2"/>
      <charset val="162"/>
    </font>
    <font>
      <b/>
      <u/>
      <sz val="12"/>
      <color indexed="9"/>
      <name val="Arial"/>
      <family val="2"/>
      <charset val="162"/>
    </font>
    <font>
      <b/>
      <sz val="11"/>
      <name val="Arial Black"/>
      <family val="2"/>
      <charset val="162"/>
    </font>
    <font>
      <b/>
      <sz val="11"/>
      <color indexed="9"/>
      <name val="Arial"/>
      <family val="2"/>
    </font>
    <font>
      <b/>
      <u/>
      <sz val="11"/>
      <color indexed="9"/>
      <name val="Arial"/>
      <family val="2"/>
    </font>
    <font>
      <b/>
      <u/>
      <sz val="11"/>
      <color indexed="9"/>
      <name val="Arial"/>
      <family val="2"/>
      <charset val="162"/>
    </font>
  </fonts>
  <fills count="19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medium">
        <color indexed="64"/>
      </top>
      <bottom/>
      <diagonal/>
    </border>
    <border>
      <left style="thin">
        <color rgb="FF50505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505050"/>
      </top>
      <bottom/>
      <diagonal/>
    </border>
    <border>
      <left style="medium">
        <color indexed="64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indexed="64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indexed="64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5" fillId="0" borderId="0"/>
    <xf numFmtId="0" fontId="3" fillId="0" borderId="0"/>
    <xf numFmtId="0" fontId="11" fillId="0" borderId="0"/>
    <xf numFmtId="0" fontId="16" fillId="0" borderId="0"/>
    <xf numFmtId="0" fontId="16" fillId="0" borderId="0"/>
    <xf numFmtId="0" fontId="46" fillId="0" borderId="0"/>
    <xf numFmtId="0" fontId="2" fillId="0" borderId="0"/>
    <xf numFmtId="0" fontId="1" fillId="0" borderId="0"/>
  </cellStyleXfs>
  <cellXfs count="375">
    <xf numFmtId="0" fontId="0" fillId="0" borderId="0" xfId="0"/>
    <xf numFmtId="0" fontId="0" fillId="0" borderId="5" xfId="0" applyBorder="1"/>
    <xf numFmtId="0" fontId="0" fillId="0" borderId="0" xfId="0" applyBorder="1"/>
    <xf numFmtId="0" fontId="7" fillId="0" borderId="12" xfId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7" fillId="0" borderId="0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1" fillId="6" borderId="0" xfId="3" applyFill="1"/>
    <xf numFmtId="0" fontId="11" fillId="0" borderId="0" xfId="3"/>
    <xf numFmtId="0" fontId="15" fillId="6" borderId="0" xfId="3" applyFont="1" applyFill="1" applyBorder="1" applyAlignment="1">
      <alignment horizontal="center" vertical="center"/>
    </xf>
    <xf numFmtId="0" fontId="14" fillId="0" borderId="0" xfId="4" applyFont="1" applyBorder="1" applyAlignment="1"/>
    <xf numFmtId="0" fontId="14" fillId="0" borderId="0" xfId="3" applyFont="1"/>
    <xf numFmtId="0" fontId="13" fillId="0" borderId="0" xfId="4" applyFont="1" applyBorder="1" applyAlignment="1"/>
    <xf numFmtId="0" fontId="12" fillId="0" borderId="0" xfId="4" applyFont="1" applyBorder="1" applyAlignment="1"/>
    <xf numFmtId="0" fontId="12" fillId="0" borderId="0" xfId="3" applyFont="1"/>
    <xf numFmtId="0" fontId="0" fillId="8" borderId="5" xfId="0" applyFill="1" applyBorder="1" applyAlignment="1">
      <alignment horizontal="center" vertical="center"/>
    </xf>
    <xf numFmtId="0" fontId="7" fillId="0" borderId="22" xfId="1" applyFont="1" applyBorder="1" applyAlignment="1">
      <alignment horizontal="left" vertical="center"/>
    </xf>
    <xf numFmtId="0" fontId="25" fillId="0" borderId="0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1" fontId="7" fillId="0" borderId="30" xfId="1" applyNumberFormat="1" applyFont="1" applyBorder="1" applyAlignment="1">
      <alignment horizontal="center" vertical="center"/>
    </xf>
    <xf numFmtId="0" fontId="7" fillId="0" borderId="31" xfId="1" applyFont="1" applyBorder="1" applyAlignment="1">
      <alignment horizontal="left" vertical="center"/>
    </xf>
    <xf numFmtId="0" fontId="26" fillId="0" borderId="24" xfId="1" applyFont="1" applyFill="1" applyBorder="1" applyAlignment="1">
      <alignment horizontal="left" vertical="center"/>
    </xf>
    <xf numFmtId="0" fontId="7" fillId="0" borderId="0" xfId="1" applyFont="1" applyBorder="1" applyAlignment="1">
      <alignment horizontal="center" vertical="center"/>
    </xf>
    <xf numFmtId="0" fontId="25" fillId="0" borderId="0" xfId="1" applyFont="1" applyBorder="1" applyAlignment="1">
      <alignment horizontal="left" vertical="center"/>
    </xf>
    <xf numFmtId="0" fontId="5" fillId="0" borderId="0" xfId="1" applyFill="1" applyBorder="1" applyAlignment="1">
      <alignment horizontal="left" vertical="center"/>
    </xf>
    <xf numFmtId="0" fontId="5" fillId="0" borderId="0" xfId="1" applyBorder="1" applyAlignment="1">
      <alignment horizontal="left" vertical="center"/>
    </xf>
    <xf numFmtId="1" fontId="7" fillId="0" borderId="0" xfId="1" applyNumberFormat="1" applyFont="1" applyBorder="1" applyAlignment="1">
      <alignment horizontal="center" vertical="center"/>
    </xf>
    <xf numFmtId="1" fontId="5" fillId="0" borderId="0" xfId="1" applyNumberFormat="1" applyBorder="1" applyAlignment="1">
      <alignment horizontal="center" vertical="center"/>
    </xf>
    <xf numFmtId="0" fontId="7" fillId="0" borderId="33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left" vertical="center"/>
    </xf>
    <xf numFmtId="0" fontId="25" fillId="0" borderId="0" xfId="1" applyNumberFormat="1" applyFont="1" applyBorder="1" applyAlignment="1">
      <alignment horizontal="center" vertical="center"/>
    </xf>
    <xf numFmtId="0" fontId="27" fillId="0" borderId="0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19" fillId="6" borderId="25" xfId="4" applyFont="1" applyFill="1" applyBorder="1" applyAlignment="1">
      <alignment horizontal="center" vertical="center"/>
    </xf>
    <xf numFmtId="165" fontId="17" fillId="0" borderId="26" xfId="4" applyNumberFormat="1" applyFont="1" applyBorder="1" applyAlignment="1">
      <alignment horizontal="center" vertical="center"/>
    </xf>
    <xf numFmtId="0" fontId="17" fillId="7" borderId="26" xfId="4" applyFont="1" applyFill="1" applyBorder="1" applyAlignment="1">
      <alignment horizontal="center" vertical="center"/>
    </xf>
    <xf numFmtId="165" fontId="17" fillId="7" borderId="26" xfId="4" applyNumberFormat="1" applyFont="1" applyFill="1" applyBorder="1" applyAlignment="1">
      <alignment horizontal="center" vertical="center"/>
    </xf>
    <xf numFmtId="10" fontId="17" fillId="7" borderId="26" xfId="4" applyNumberFormat="1" applyFont="1" applyFill="1" applyBorder="1" applyAlignment="1">
      <alignment horizontal="center" vertical="center"/>
    </xf>
    <xf numFmtId="0" fontId="17" fillId="7" borderId="28" xfId="4" applyFont="1" applyFill="1" applyBorder="1" applyAlignment="1">
      <alignment horizontal="center" vertical="center"/>
    </xf>
    <xf numFmtId="0" fontId="13" fillId="0" borderId="32" xfId="4" applyFont="1" applyBorder="1" applyAlignment="1"/>
    <xf numFmtId="0" fontId="17" fillId="0" borderId="0" xfId="4" applyFont="1" applyBorder="1" applyAlignment="1">
      <alignment horizontal="center" vertical="center"/>
    </xf>
    <xf numFmtId="0" fontId="19" fillId="6" borderId="17" xfId="4" applyFont="1" applyFill="1" applyBorder="1" applyAlignment="1">
      <alignment horizontal="center" vertical="center"/>
    </xf>
    <xf numFmtId="0" fontId="19" fillId="6" borderId="42" xfId="4" applyFont="1" applyFill="1" applyBorder="1" applyAlignment="1">
      <alignment horizontal="center" vertical="center"/>
    </xf>
    <xf numFmtId="0" fontId="15" fillId="6" borderId="41" xfId="3" applyFont="1" applyFill="1" applyBorder="1" applyAlignment="1">
      <alignment horizontal="center" vertical="center"/>
    </xf>
    <xf numFmtId="0" fontId="15" fillId="6" borderId="32" xfId="3" applyFont="1" applyFill="1" applyBorder="1" applyAlignment="1">
      <alignment horizontal="center" vertical="center"/>
    </xf>
    <xf numFmtId="0" fontId="13" fillId="0" borderId="41" xfId="4" applyFont="1" applyBorder="1" applyAlignment="1"/>
    <xf numFmtId="21" fontId="17" fillId="0" borderId="0" xfId="4" applyNumberFormat="1" applyFont="1" applyBorder="1" applyAlignment="1">
      <alignment horizontal="center" vertical="center"/>
    </xf>
    <xf numFmtId="0" fontId="31" fillId="0" borderId="27" xfId="3" applyFont="1" applyBorder="1"/>
    <xf numFmtId="0" fontId="19" fillId="6" borderId="41" xfId="4" applyFont="1" applyFill="1" applyBorder="1" applyAlignment="1">
      <alignment horizontal="center" vertical="center"/>
    </xf>
    <xf numFmtId="0" fontId="19" fillId="6" borderId="0" xfId="4" applyFont="1" applyFill="1" applyBorder="1" applyAlignment="1">
      <alignment horizontal="center" vertical="center"/>
    </xf>
    <xf numFmtId="21" fontId="32" fillId="0" borderId="34" xfId="3" applyNumberFormat="1" applyFont="1" applyBorder="1" applyProtection="1">
      <protection locked="0"/>
    </xf>
    <xf numFmtId="0" fontId="11" fillId="0" borderId="15" xfId="3" applyBorder="1" applyProtection="1">
      <protection locked="0"/>
    </xf>
    <xf numFmtId="0" fontId="11" fillId="0" borderId="6" xfId="3" applyBorder="1" applyProtection="1">
      <protection locked="0"/>
    </xf>
    <xf numFmtId="0" fontId="11" fillId="0" borderId="7" xfId="3" applyBorder="1" applyProtection="1">
      <protection locked="0"/>
    </xf>
    <xf numFmtId="21" fontId="32" fillId="0" borderId="23" xfId="3" applyNumberFormat="1" applyFont="1" applyBorder="1" applyProtection="1">
      <protection locked="0"/>
    </xf>
    <xf numFmtId="21" fontId="32" fillId="0" borderId="6" xfId="3" applyNumberFormat="1" applyFont="1" applyBorder="1" applyProtection="1">
      <protection locked="0"/>
    </xf>
    <xf numFmtId="21" fontId="32" fillId="0" borderId="24" xfId="3" applyNumberFormat="1" applyFont="1" applyBorder="1" applyProtection="1">
      <protection locked="0"/>
    </xf>
    <xf numFmtId="21" fontId="32" fillId="0" borderId="25" xfId="3" applyNumberFormat="1" applyFont="1" applyBorder="1" applyProtection="1">
      <protection locked="0"/>
    </xf>
    <xf numFmtId="21" fontId="32" fillId="0" borderId="28" xfId="3" applyNumberFormat="1" applyFont="1" applyBorder="1" applyProtection="1">
      <protection locked="0"/>
    </xf>
    <xf numFmtId="21" fontId="32" fillId="0" borderId="15" xfId="3" applyNumberFormat="1" applyFont="1" applyBorder="1" applyProtection="1">
      <protection locked="0"/>
    </xf>
    <xf numFmtId="0" fontId="33" fillId="0" borderId="25" xfId="3" applyFont="1" applyBorder="1" applyProtection="1">
      <protection locked="0"/>
    </xf>
    <xf numFmtId="0" fontId="33" fillId="0" borderId="37" xfId="3" applyFont="1" applyBorder="1" applyProtection="1">
      <protection locked="0"/>
    </xf>
    <xf numFmtId="21" fontId="22" fillId="6" borderId="5" xfId="1" applyNumberFormat="1" applyFont="1" applyFill="1" applyBorder="1" applyAlignment="1" applyProtection="1">
      <alignment horizontal="center" vertical="center"/>
      <protection hidden="1"/>
    </xf>
    <xf numFmtId="21" fontId="22" fillId="6" borderId="16" xfId="1" applyNumberFormat="1" applyFont="1" applyFill="1" applyBorder="1" applyAlignment="1" applyProtection="1">
      <alignment horizontal="center" vertical="center"/>
      <protection hidden="1"/>
    </xf>
    <xf numFmtId="21" fontId="22" fillId="8" borderId="16" xfId="1" applyNumberFormat="1" applyFont="1" applyFill="1" applyBorder="1" applyAlignment="1" applyProtection="1">
      <alignment horizontal="center" vertical="center"/>
      <protection hidden="1"/>
    </xf>
    <xf numFmtId="0" fontId="17" fillId="7" borderId="26" xfId="4" applyFont="1" applyFill="1" applyBorder="1" applyAlignment="1" applyProtection="1">
      <alignment horizontal="center" vertical="center"/>
      <protection hidden="1"/>
    </xf>
    <xf numFmtId="0" fontId="31" fillId="0" borderId="43" xfId="3" applyFont="1" applyBorder="1" applyProtection="1">
      <protection locked="0"/>
    </xf>
    <xf numFmtId="0" fontId="19" fillId="0" borderId="6" xfId="4" applyFont="1" applyBorder="1" applyAlignment="1" applyProtection="1">
      <alignment horizontal="center" vertical="center"/>
      <protection hidden="1"/>
    </xf>
    <xf numFmtId="0" fontId="17" fillId="0" borderId="16" xfId="4" applyFont="1" applyBorder="1" applyAlignment="1" applyProtection="1">
      <alignment horizontal="center" vertical="center"/>
      <protection hidden="1"/>
    </xf>
    <xf numFmtId="164" fontId="17" fillId="6" borderId="5" xfId="4" applyNumberFormat="1" applyFont="1" applyFill="1" applyBorder="1" applyAlignment="1" applyProtection="1">
      <alignment horizontal="center" vertical="center"/>
      <protection hidden="1"/>
    </xf>
    <xf numFmtId="0" fontId="17" fillId="6" borderId="24" xfId="4" applyFont="1" applyFill="1" applyBorder="1" applyAlignment="1" applyProtection="1">
      <alignment horizontal="center" vertical="center"/>
      <protection hidden="1"/>
    </xf>
    <xf numFmtId="0" fontId="21" fillId="0" borderId="0" xfId="4" applyFont="1" applyBorder="1" applyAlignment="1" applyProtection="1">
      <protection hidden="1"/>
    </xf>
    <xf numFmtId="0" fontId="23" fillId="0" borderId="0" xfId="4" applyFont="1" applyBorder="1" applyAlignment="1" applyProtection="1">
      <protection hidden="1"/>
    </xf>
    <xf numFmtId="0" fontId="23" fillId="6" borderId="0" xfId="4" applyFont="1" applyFill="1" applyBorder="1" applyAlignment="1" applyProtection="1">
      <protection hidden="1"/>
    </xf>
    <xf numFmtId="0" fontId="21" fillId="6" borderId="0" xfId="4" applyFont="1" applyFill="1" applyBorder="1" applyAlignment="1" applyProtection="1">
      <protection hidden="1"/>
    </xf>
    <xf numFmtId="0" fontId="24" fillId="0" borderId="0" xfId="4" applyFont="1" applyBorder="1" applyAlignment="1" applyProtection="1">
      <protection hidden="1"/>
    </xf>
    <xf numFmtId="0" fontId="13" fillId="0" borderId="0" xfId="4" applyFont="1" applyBorder="1" applyAlignment="1" applyProtection="1">
      <protection hidden="1"/>
    </xf>
    <xf numFmtId="0" fontId="19" fillId="6" borderId="25" xfId="4" applyFont="1" applyFill="1" applyBorder="1" applyAlignment="1" applyProtection="1">
      <alignment horizontal="center" vertical="center"/>
      <protection hidden="1"/>
    </xf>
    <xf numFmtId="165" fontId="17" fillId="0" borderId="26" xfId="4" applyNumberFormat="1" applyFont="1" applyBorder="1" applyAlignment="1" applyProtection="1">
      <alignment horizontal="center" vertical="center"/>
      <protection hidden="1"/>
    </xf>
    <xf numFmtId="165" fontId="17" fillId="7" borderId="26" xfId="4" applyNumberFormat="1" applyFont="1" applyFill="1" applyBorder="1" applyAlignment="1" applyProtection="1">
      <alignment horizontal="center" vertical="center"/>
      <protection hidden="1"/>
    </xf>
    <xf numFmtId="10" fontId="17" fillId="7" borderId="26" xfId="4" applyNumberFormat="1" applyFont="1" applyFill="1" applyBorder="1" applyAlignment="1" applyProtection="1">
      <alignment horizontal="center" vertical="center"/>
      <protection hidden="1"/>
    </xf>
    <xf numFmtId="0" fontId="17" fillId="7" borderId="28" xfId="4" applyFont="1" applyFill="1" applyBorder="1" applyAlignment="1" applyProtection="1">
      <alignment horizontal="center" vertical="center"/>
      <protection hidden="1"/>
    </xf>
    <xf numFmtId="0" fontId="13" fillId="0" borderId="41" xfId="4" applyFont="1" applyBorder="1" applyAlignment="1" applyProtection="1">
      <protection hidden="1"/>
    </xf>
    <xf numFmtId="0" fontId="12" fillId="0" borderId="0" xfId="4" applyFont="1" applyBorder="1" applyAlignment="1" applyProtection="1">
      <protection hidden="1"/>
    </xf>
    <xf numFmtId="0" fontId="12" fillId="0" borderId="32" xfId="4" applyFont="1" applyBorder="1" applyAlignment="1" applyProtection="1">
      <protection hidden="1"/>
    </xf>
    <xf numFmtId="0" fontId="14" fillId="0" borderId="0" xfId="4" applyFont="1" applyBorder="1" applyAlignment="1" applyProtection="1">
      <protection hidden="1"/>
    </xf>
    <xf numFmtId="164" fontId="17" fillId="6" borderId="16" xfId="4" applyNumberFormat="1" applyFont="1" applyFill="1" applyBorder="1" applyAlignment="1" applyProtection="1">
      <alignment horizontal="center" vertical="center"/>
      <protection hidden="1"/>
    </xf>
    <xf numFmtId="0" fontId="17" fillId="6" borderId="23" xfId="4" applyFont="1" applyFill="1" applyBorder="1" applyAlignment="1" applyProtection="1">
      <alignment horizontal="center" vertical="center"/>
      <protection hidden="1"/>
    </xf>
    <xf numFmtId="0" fontId="13" fillId="0" borderId="32" xfId="4" applyFont="1" applyBorder="1" applyAlignment="1" applyProtection="1">
      <protection hidden="1"/>
    </xf>
    <xf numFmtId="0" fontId="19" fillId="10" borderId="34" xfId="4" applyFont="1" applyFill="1" applyBorder="1" applyAlignment="1" applyProtection="1">
      <alignment horizontal="center" vertical="center"/>
      <protection hidden="1"/>
    </xf>
    <xf numFmtId="0" fontId="17" fillId="0" borderId="23" xfId="4" applyFont="1" applyBorder="1" applyAlignment="1" applyProtection="1">
      <alignment horizontal="center" vertical="center"/>
      <protection hidden="1"/>
    </xf>
    <xf numFmtId="164" fontId="17" fillId="8" borderId="16" xfId="4" applyNumberFormat="1" applyFont="1" applyFill="1" applyBorder="1" applyAlignment="1" applyProtection="1">
      <alignment horizontal="center" vertical="center"/>
      <protection hidden="1"/>
    </xf>
    <xf numFmtId="0" fontId="19" fillId="0" borderId="34" xfId="4" applyFont="1" applyBorder="1" applyAlignment="1" applyProtection="1">
      <alignment horizontal="center" vertical="center"/>
      <protection hidden="1"/>
    </xf>
    <xf numFmtId="0" fontId="19" fillId="6" borderId="25" xfId="4" applyFont="1" applyFill="1" applyBorder="1" applyAlignment="1" applyProtection="1">
      <alignment horizontal="center" vertical="center"/>
    </xf>
    <xf numFmtId="165" fontId="17" fillId="0" borderId="26" xfId="4" applyNumberFormat="1" applyFont="1" applyBorder="1" applyAlignment="1" applyProtection="1">
      <alignment horizontal="center" vertical="center"/>
    </xf>
    <xf numFmtId="0" fontId="17" fillId="7" borderId="26" xfId="4" applyFont="1" applyFill="1" applyBorder="1" applyAlignment="1" applyProtection="1">
      <alignment horizontal="center" vertical="center"/>
    </xf>
    <xf numFmtId="165" fontId="17" fillId="7" borderId="26" xfId="4" applyNumberFormat="1" applyFont="1" applyFill="1" applyBorder="1" applyAlignment="1" applyProtection="1">
      <alignment horizontal="center" vertical="center"/>
    </xf>
    <xf numFmtId="10" fontId="17" fillId="7" borderId="26" xfId="4" applyNumberFormat="1" applyFont="1" applyFill="1" applyBorder="1" applyAlignment="1" applyProtection="1">
      <alignment horizontal="center" vertical="center"/>
    </xf>
    <xf numFmtId="0" fontId="17" fillId="7" borderId="28" xfId="4" applyFont="1" applyFill="1" applyBorder="1" applyAlignment="1" applyProtection="1">
      <alignment horizontal="center" vertical="center"/>
    </xf>
    <xf numFmtId="166" fontId="0" fillId="0" borderId="0" xfId="0" applyNumberFormat="1"/>
    <xf numFmtId="21" fontId="33" fillId="0" borderId="0" xfId="3" applyNumberFormat="1" applyFont="1" applyProtection="1">
      <protection locked="0"/>
    </xf>
    <xf numFmtId="166" fontId="34" fillId="0" borderId="0" xfId="1" applyNumberFormat="1" applyFont="1" applyBorder="1" applyAlignment="1">
      <alignment horizontal="center" vertical="center"/>
    </xf>
    <xf numFmtId="166" fontId="8" fillId="0" borderId="0" xfId="1" applyNumberFormat="1" applyFont="1" applyBorder="1" applyAlignment="1">
      <alignment horizontal="center" vertical="center"/>
    </xf>
    <xf numFmtId="0" fontId="7" fillId="0" borderId="34" xfId="1" applyFont="1" applyFill="1" applyBorder="1" applyAlignment="1">
      <alignment horizontal="center" vertical="center"/>
    </xf>
    <xf numFmtId="166" fontId="36" fillId="0" borderId="0" xfId="1" applyNumberFormat="1" applyFont="1" applyFill="1" applyBorder="1" applyAlignment="1">
      <alignment horizontal="center" vertical="center"/>
    </xf>
    <xf numFmtId="166" fontId="36" fillId="0" borderId="0" xfId="1" applyNumberFormat="1" applyFont="1" applyBorder="1" applyAlignment="1">
      <alignment horizontal="center" vertical="center"/>
    </xf>
    <xf numFmtId="1" fontId="27" fillId="0" borderId="0" xfId="1" applyNumberFormat="1" applyFont="1" applyFill="1" applyBorder="1" applyAlignment="1">
      <alignment horizontal="center" vertical="center"/>
    </xf>
    <xf numFmtId="1" fontId="27" fillId="0" borderId="0" xfId="1" applyNumberFormat="1" applyFont="1" applyBorder="1" applyAlignment="1">
      <alignment horizontal="center" vertical="center"/>
    </xf>
    <xf numFmtId="166" fontId="0" fillId="14" borderId="0" xfId="0" applyNumberFormat="1" applyFill="1"/>
    <xf numFmtId="21" fontId="0" fillId="0" borderId="0" xfId="0" applyNumberFormat="1"/>
    <xf numFmtId="21" fontId="20" fillId="0" borderId="16" xfId="1" applyNumberFormat="1" applyFont="1" applyFill="1" applyBorder="1" applyAlignment="1" applyProtection="1">
      <alignment horizontal="center" vertical="center"/>
      <protection hidden="1"/>
    </xf>
    <xf numFmtId="20" fontId="11" fillId="0" borderId="0" xfId="3" applyNumberFormat="1"/>
    <xf numFmtId="21" fontId="8" fillId="0" borderId="5" xfId="1" applyNumberFormat="1" applyFont="1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1" fontId="22" fillId="0" borderId="5" xfId="1" applyNumberFormat="1" applyFont="1" applyFill="1" applyBorder="1" applyAlignment="1" applyProtection="1">
      <alignment horizontal="center" vertical="center"/>
      <protection hidden="1"/>
    </xf>
    <xf numFmtId="0" fontId="19" fillId="0" borderId="6" xfId="4" applyFont="1" applyFill="1" applyBorder="1" applyAlignment="1" applyProtection="1">
      <alignment horizontal="center" vertical="center"/>
      <protection hidden="1"/>
    </xf>
    <xf numFmtId="21" fontId="8" fillId="0" borderId="23" xfId="1" applyNumberFormat="1" applyFont="1" applyFill="1" applyBorder="1" applyAlignment="1">
      <alignment horizontal="center" vertical="center"/>
    </xf>
    <xf numFmtId="21" fontId="40" fillId="6" borderId="0" xfId="3" applyNumberFormat="1" applyFont="1" applyFill="1" applyBorder="1" applyAlignment="1">
      <alignment horizontal="center" vertical="center"/>
    </xf>
    <xf numFmtId="21" fontId="8" fillId="4" borderId="5" xfId="1" applyNumberFormat="1" applyFont="1" applyFill="1" applyBorder="1" applyAlignment="1">
      <alignment horizontal="center" vertical="center"/>
    </xf>
    <xf numFmtId="0" fontId="7" fillId="8" borderId="34" xfId="1" applyFont="1" applyFill="1" applyBorder="1" applyAlignment="1">
      <alignment horizontal="center" vertical="center"/>
    </xf>
    <xf numFmtId="21" fontId="8" fillId="8" borderId="5" xfId="1" applyNumberFormat="1" applyFont="1" applyFill="1" applyBorder="1" applyAlignment="1">
      <alignment horizontal="center" vertical="center"/>
    </xf>
    <xf numFmtId="21" fontId="8" fillId="8" borderId="23" xfId="1" applyNumberFormat="1" applyFont="1" applyFill="1" applyBorder="1" applyAlignment="1">
      <alignment horizontal="center" vertical="center"/>
    </xf>
    <xf numFmtId="0" fontId="7" fillId="4" borderId="34" xfId="1" applyFont="1" applyFill="1" applyBorder="1" applyAlignment="1">
      <alignment horizontal="center" vertical="center"/>
    </xf>
    <xf numFmtId="21" fontId="8" fillId="4" borderId="23" xfId="1" applyNumberFormat="1" applyFont="1" applyFill="1" applyBorder="1" applyAlignment="1">
      <alignment horizontal="center" vertical="center"/>
    </xf>
    <xf numFmtId="0" fontId="19" fillId="6" borderId="6" xfId="4" applyFont="1" applyFill="1" applyBorder="1" applyAlignment="1" applyProtection="1">
      <alignment horizontal="center" vertical="center"/>
      <protection hidden="1"/>
    </xf>
    <xf numFmtId="0" fontId="17" fillId="6" borderId="16" xfId="4" applyFont="1" applyFill="1" applyBorder="1" applyAlignment="1" applyProtection="1">
      <alignment horizontal="center" vertical="center"/>
      <protection hidden="1"/>
    </xf>
    <xf numFmtId="0" fontId="17" fillId="6" borderId="0" xfId="4" applyFont="1" applyFill="1" applyBorder="1" applyAlignment="1">
      <alignment horizontal="center" vertical="center"/>
    </xf>
    <xf numFmtId="21" fontId="32" fillId="6" borderId="34" xfId="3" applyNumberFormat="1" applyFont="1" applyFill="1" applyBorder="1" applyProtection="1">
      <protection locked="0"/>
    </xf>
    <xf numFmtId="21" fontId="32" fillId="6" borderId="15" xfId="3" applyNumberFormat="1" applyFont="1" applyFill="1" applyBorder="1" applyProtection="1">
      <protection locked="0"/>
    </xf>
    <xf numFmtId="21" fontId="32" fillId="6" borderId="23" xfId="3" applyNumberFormat="1" applyFont="1" applyFill="1" applyBorder="1" applyProtection="1">
      <protection locked="0"/>
    </xf>
    <xf numFmtId="164" fontId="17" fillId="8" borderId="16" xfId="4" applyNumberFormat="1" applyFont="1" applyFill="1" applyBorder="1" applyAlignment="1" applyProtection="1">
      <alignment vertical="center"/>
      <protection hidden="1"/>
    </xf>
    <xf numFmtId="0" fontId="43" fillId="0" borderId="48" xfId="0" applyFont="1" applyBorder="1" applyAlignment="1">
      <alignment vertical="center"/>
    </xf>
    <xf numFmtId="0" fontId="43" fillId="0" borderId="50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4" fillId="0" borderId="36" xfId="0" applyFont="1" applyBorder="1" applyAlignment="1">
      <alignment horizontal="center" vertical="center"/>
    </xf>
    <xf numFmtId="0" fontId="44" fillId="0" borderId="52" xfId="0" applyFont="1" applyBorder="1" applyAlignment="1">
      <alignment horizontal="center" vertical="center"/>
    </xf>
    <xf numFmtId="0" fontId="44" fillId="0" borderId="5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44" fillId="0" borderId="3" xfId="0" applyFont="1" applyBorder="1" applyAlignment="1">
      <alignment horizontal="center" vertical="center"/>
    </xf>
    <xf numFmtId="21" fontId="4" fillId="0" borderId="55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0" fontId="42" fillId="0" borderId="5" xfId="1" applyNumberFormat="1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21" fontId="4" fillId="0" borderId="57" xfId="0" applyNumberFormat="1" applyFont="1" applyBorder="1" applyAlignment="1">
      <alignment horizontal="center" vertical="center"/>
    </xf>
    <xf numFmtId="21" fontId="4" fillId="0" borderId="56" xfId="0" applyNumberFormat="1" applyFont="1" applyBorder="1" applyAlignment="1">
      <alignment horizontal="center" vertical="center"/>
    </xf>
    <xf numFmtId="21" fontId="4" fillId="0" borderId="58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21" fontId="4" fillId="0" borderId="0" xfId="0" applyNumberFormat="1" applyFont="1" applyBorder="1" applyAlignment="1">
      <alignment horizontal="center" vertical="center"/>
    </xf>
    <xf numFmtId="21" fontId="4" fillId="6" borderId="0" xfId="0" applyNumberFormat="1" applyFont="1" applyFill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45" fillId="6" borderId="0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0" fillId="0" borderId="27" xfId="0" applyBorder="1" applyAlignment="1">
      <alignment vertical="center"/>
    </xf>
    <xf numFmtId="0" fontId="47" fillId="8" borderId="34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43" fillId="0" borderId="2" xfId="0" applyFont="1" applyBorder="1" applyAlignment="1">
      <alignment vertical="center"/>
    </xf>
    <xf numFmtId="0" fontId="41" fillId="15" borderId="5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Border="1" applyAlignment="1"/>
    <xf numFmtId="0" fontId="45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1" fillId="0" borderId="5" xfId="3" applyBorder="1"/>
    <xf numFmtId="0" fontId="12" fillId="0" borderId="5" xfId="3" applyFont="1" applyBorder="1"/>
    <xf numFmtId="0" fontId="17" fillId="0" borderId="5" xfId="4" applyFont="1" applyBorder="1" applyAlignment="1" applyProtection="1">
      <alignment vertical="center"/>
      <protection hidden="1"/>
    </xf>
    <xf numFmtId="0" fontId="0" fillId="0" borderId="5" xfId="0" applyBorder="1" applyAlignment="1">
      <alignment horizontal="center" vertical="center"/>
    </xf>
    <xf numFmtId="0" fontId="17" fillId="0" borderId="5" xfId="4" applyFont="1" applyFill="1" applyBorder="1" applyAlignment="1" applyProtection="1">
      <alignment horizontal="center" vertical="center"/>
      <protection hidden="1"/>
    </xf>
    <xf numFmtId="0" fontId="17" fillId="0" borderId="5" xfId="4" applyFont="1" applyBorder="1" applyAlignment="1" applyProtection="1">
      <alignment horizontal="center" vertical="center"/>
      <protection hidden="1"/>
    </xf>
    <xf numFmtId="0" fontId="11" fillId="0" borderId="6" xfId="3" applyBorder="1"/>
    <xf numFmtId="0" fontId="11" fillId="0" borderId="24" xfId="3" applyBorder="1"/>
    <xf numFmtId="0" fontId="17" fillId="0" borderId="34" xfId="4" applyFont="1" applyBorder="1" applyAlignment="1" applyProtection="1">
      <alignment horizontal="center" vertical="center"/>
      <protection hidden="1"/>
    </xf>
    <xf numFmtId="0" fontId="17" fillId="0" borderId="66" xfId="4" applyFont="1" applyBorder="1" applyAlignment="1" applyProtection="1">
      <alignment horizontal="center" vertical="center"/>
      <protection hidden="1"/>
    </xf>
    <xf numFmtId="21" fontId="8" fillId="6" borderId="5" xfId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4" borderId="0" xfId="0" applyNumberForma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21" fontId="0" fillId="0" borderId="6" xfId="0" applyNumberFormat="1" applyBorder="1"/>
    <xf numFmtId="21" fontId="0" fillId="0" borderId="5" xfId="0" applyNumberFormat="1" applyBorder="1"/>
    <xf numFmtId="0" fontId="0" fillId="0" borderId="25" xfId="0" applyBorder="1"/>
    <xf numFmtId="0" fontId="0" fillId="0" borderId="26" xfId="0" applyBorder="1"/>
    <xf numFmtId="0" fontId="0" fillId="0" borderId="28" xfId="0" applyBorder="1" applyAlignment="1">
      <alignment horizontal="center" vertical="center"/>
    </xf>
    <xf numFmtId="166" fontId="17" fillId="0" borderId="0" xfId="4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1" fillId="0" borderId="72" xfId="0" applyFont="1" applyBorder="1" applyAlignment="1">
      <alignment horizontal="center" vertical="center"/>
    </xf>
    <xf numFmtId="21" fontId="4" fillId="0" borderId="5" xfId="0" applyNumberFormat="1" applyFont="1" applyBorder="1" applyAlignment="1">
      <alignment horizontal="center" vertical="center"/>
    </xf>
    <xf numFmtId="0" fontId="17" fillId="6" borderId="5" xfId="4" applyFont="1" applyFill="1" applyBorder="1" applyAlignment="1" applyProtection="1">
      <alignment vertical="center"/>
      <protection hidden="1"/>
    </xf>
    <xf numFmtId="0" fontId="18" fillId="11" borderId="35" xfId="4" applyFont="1" applyFill="1" applyBorder="1" applyAlignment="1" applyProtection="1">
      <alignment horizontal="center" vertical="center"/>
      <protection locked="0"/>
    </xf>
    <xf numFmtId="0" fontId="18" fillId="11" borderId="19" xfId="4" applyFont="1" applyFill="1" applyBorder="1" applyAlignment="1" applyProtection="1">
      <alignment horizontal="center" vertical="center"/>
      <protection locked="0"/>
    </xf>
    <xf numFmtId="0" fontId="18" fillId="11" borderId="20" xfId="4" applyFont="1" applyFill="1" applyBorder="1" applyAlignment="1" applyProtection="1">
      <alignment horizontal="center" vertical="center"/>
      <protection locked="0"/>
    </xf>
    <xf numFmtId="0" fontId="13" fillId="9" borderId="18" xfId="3" applyFont="1" applyFill="1" applyBorder="1" applyAlignment="1" applyProtection="1">
      <alignment horizontal="center"/>
      <protection locked="0"/>
    </xf>
    <xf numFmtId="0" fontId="13" fillId="9" borderId="19" xfId="3" applyFont="1" applyFill="1" applyBorder="1" applyAlignment="1" applyProtection="1">
      <alignment horizontal="center"/>
      <protection locked="0"/>
    </xf>
    <xf numFmtId="0" fontId="13" fillId="9" borderId="20" xfId="3" applyFont="1" applyFill="1" applyBorder="1" applyAlignment="1" applyProtection="1">
      <alignment horizontal="center"/>
      <protection locked="0"/>
    </xf>
    <xf numFmtId="0" fontId="48" fillId="8" borderId="18" xfId="3" applyFont="1" applyFill="1" applyBorder="1" applyAlignment="1" applyProtection="1">
      <alignment horizontal="center" vertical="center"/>
      <protection locked="0"/>
    </xf>
    <xf numFmtId="0" fontId="13" fillId="8" borderId="19" xfId="3" applyFont="1" applyFill="1" applyBorder="1" applyAlignment="1" applyProtection="1">
      <alignment horizontal="center" vertical="center"/>
      <protection locked="0"/>
    </xf>
    <xf numFmtId="0" fontId="13" fillId="8" borderId="20" xfId="3" applyFont="1" applyFill="1" applyBorder="1" applyAlignment="1" applyProtection="1">
      <alignment horizontal="center" vertical="center"/>
      <protection locked="0"/>
    </xf>
    <xf numFmtId="0" fontId="13" fillId="8" borderId="18" xfId="3" applyFont="1" applyFill="1" applyBorder="1" applyAlignment="1" applyProtection="1">
      <alignment horizontal="center"/>
      <protection locked="0"/>
    </xf>
    <xf numFmtId="0" fontId="13" fillId="8" borderId="19" xfId="3" applyFont="1" applyFill="1" applyBorder="1" applyAlignment="1" applyProtection="1">
      <alignment horizontal="center"/>
      <protection locked="0"/>
    </xf>
    <xf numFmtId="0" fontId="13" fillId="8" borderId="20" xfId="3" applyFont="1" applyFill="1" applyBorder="1" applyAlignment="1" applyProtection="1">
      <alignment horizontal="center"/>
      <protection locked="0"/>
    </xf>
    <xf numFmtId="0" fontId="17" fillId="9" borderId="18" xfId="4" applyFont="1" applyFill="1" applyBorder="1" applyAlignment="1" applyProtection="1">
      <alignment horizontal="center" vertical="center"/>
      <protection locked="0"/>
    </xf>
    <xf numFmtId="0" fontId="17" fillId="9" borderId="44" xfId="4" applyFont="1" applyFill="1" applyBorder="1" applyAlignment="1" applyProtection="1">
      <alignment horizontal="center" vertical="center"/>
      <protection locked="0"/>
    </xf>
    <xf numFmtId="0" fontId="17" fillId="13" borderId="18" xfId="4" applyFont="1" applyFill="1" applyBorder="1" applyAlignment="1" applyProtection="1">
      <alignment horizontal="center" vertical="center"/>
      <protection locked="0"/>
    </xf>
    <xf numFmtId="0" fontId="17" fillId="13" borderId="44" xfId="4" applyFont="1" applyFill="1" applyBorder="1" applyAlignment="1" applyProtection="1">
      <alignment horizontal="center" vertical="center"/>
      <protection locked="0"/>
    </xf>
    <xf numFmtId="0" fontId="1" fillId="0" borderId="0" xfId="8"/>
    <xf numFmtId="21" fontId="1" fillId="0" borderId="0" xfId="8" applyNumberFormat="1"/>
    <xf numFmtId="164" fontId="17" fillId="6" borderId="5" xfId="4" applyNumberFormat="1" applyFont="1" applyFill="1" applyBorder="1" applyAlignment="1" applyProtection="1">
      <alignment vertical="center"/>
      <protection hidden="1"/>
    </xf>
    <xf numFmtId="0" fontId="44" fillId="0" borderId="55" xfId="0" applyFont="1" applyBorder="1" applyAlignment="1">
      <alignment horizontal="center" vertical="center"/>
    </xf>
    <xf numFmtId="0" fontId="44" fillId="15" borderId="5" xfId="0" applyFont="1" applyFill="1" applyBorder="1" applyAlignment="1">
      <alignment horizontal="center" vertical="center"/>
    </xf>
    <xf numFmtId="0" fontId="44" fillId="15" borderId="7" xfId="0" applyFont="1" applyFill="1" applyBorder="1" applyAlignment="1">
      <alignment horizontal="center" vertical="center"/>
    </xf>
    <xf numFmtId="0" fontId="13" fillId="0" borderId="27" xfId="4" applyFont="1" applyBorder="1" applyAlignment="1" applyProtection="1">
      <protection hidden="1"/>
    </xf>
    <xf numFmtId="0" fontId="17" fillId="6" borderId="5" xfId="4" applyFont="1" applyFill="1" applyBorder="1" applyAlignment="1" applyProtection="1">
      <alignment horizontal="center" vertical="center"/>
      <protection hidden="1"/>
    </xf>
    <xf numFmtId="1" fontId="0" fillId="0" borderId="45" xfId="0" applyNumberFormat="1" applyFill="1" applyBorder="1" applyAlignment="1">
      <alignment horizontal="center" vertical="center"/>
    </xf>
    <xf numFmtId="21" fontId="0" fillId="0" borderId="0" xfId="0" applyNumberFormat="1" applyFill="1" applyBorder="1"/>
    <xf numFmtId="0" fontId="19" fillId="0" borderId="61" xfId="4" applyFont="1" applyBorder="1" applyAlignment="1" applyProtection="1">
      <alignment horizontal="center" vertical="center"/>
      <protection hidden="1"/>
    </xf>
    <xf numFmtId="0" fontId="19" fillId="0" borderId="5" xfId="4" applyFont="1" applyBorder="1" applyAlignment="1" applyProtection="1">
      <alignment horizontal="center" vertical="center"/>
      <protection hidden="1"/>
    </xf>
    <xf numFmtId="0" fontId="6" fillId="18" borderId="1" xfId="1" applyFont="1" applyFill="1" applyBorder="1" applyAlignment="1">
      <alignment horizontal="center" vertical="center" wrapText="1"/>
    </xf>
    <xf numFmtId="1" fontId="37" fillId="18" borderId="2" xfId="1" applyNumberFormat="1" applyFont="1" applyFill="1" applyBorder="1" applyAlignment="1">
      <alignment horizontal="center" vertical="center"/>
    </xf>
    <xf numFmtId="166" fontId="35" fillId="18" borderId="2" xfId="1" applyNumberFormat="1" applyFont="1" applyFill="1" applyBorder="1" applyAlignment="1">
      <alignment horizontal="center" vertical="center"/>
    </xf>
    <xf numFmtId="0" fontId="7" fillId="18" borderId="3" xfId="1" applyFont="1" applyFill="1" applyBorder="1" applyAlignment="1">
      <alignment horizontal="left" vertical="center"/>
    </xf>
    <xf numFmtId="1" fontId="7" fillId="18" borderId="2" xfId="1" applyNumberFormat="1" applyFont="1" applyFill="1" applyBorder="1" applyAlignment="1">
      <alignment horizontal="center" vertical="center"/>
    </xf>
    <xf numFmtId="166" fontId="8" fillId="18" borderId="4" xfId="1" applyNumberFormat="1" applyFont="1" applyFill="1" applyBorder="1" applyAlignment="1">
      <alignment horizontal="center" vertical="center"/>
    </xf>
    <xf numFmtId="0" fontId="7" fillId="18" borderId="22" xfId="1" applyFont="1" applyFill="1" applyBorder="1" applyAlignment="1">
      <alignment horizontal="left" vertical="center"/>
    </xf>
    <xf numFmtId="1" fontId="7" fillId="0" borderId="4" xfId="1" applyNumberFormat="1" applyFont="1" applyBorder="1" applyAlignment="1">
      <alignment horizontal="center" vertical="center"/>
    </xf>
    <xf numFmtId="166" fontId="7" fillId="0" borderId="4" xfId="1" applyNumberFormat="1" applyFont="1" applyBorder="1" applyAlignment="1">
      <alignment horizontal="center" vertical="center"/>
    </xf>
    <xf numFmtId="166" fontId="7" fillId="0" borderId="10" xfId="1" applyNumberFormat="1" applyFont="1" applyBorder="1" applyAlignment="1">
      <alignment horizontal="center" vertical="center"/>
    </xf>
    <xf numFmtId="166" fontId="53" fillId="3" borderId="5" xfId="1" applyNumberFormat="1" applyFont="1" applyFill="1" applyBorder="1" applyAlignment="1">
      <alignment horizontal="center" vertical="center"/>
    </xf>
    <xf numFmtId="166" fontId="53" fillId="2" borderId="5" xfId="1" applyNumberFormat="1" applyFont="1" applyFill="1" applyBorder="1" applyAlignment="1">
      <alignment horizontal="center" vertical="center"/>
    </xf>
    <xf numFmtId="0" fontId="54" fillId="0" borderId="0" xfId="1" applyNumberFormat="1" applyFont="1" applyBorder="1" applyAlignment="1">
      <alignment horizontal="center" vertical="center"/>
    </xf>
    <xf numFmtId="0" fontId="55" fillId="3" borderId="6" xfId="1" applyFont="1" applyFill="1" applyBorder="1" applyAlignment="1">
      <alignment horizontal="center" vertical="center"/>
    </xf>
    <xf numFmtId="1" fontId="56" fillId="3" borderId="5" xfId="1" applyNumberFormat="1" applyFont="1" applyFill="1" applyBorder="1" applyAlignment="1">
      <alignment horizontal="center" vertical="center"/>
    </xf>
    <xf numFmtId="0" fontId="55" fillId="3" borderId="7" xfId="1" applyFont="1" applyFill="1" applyBorder="1" applyAlignment="1">
      <alignment horizontal="left" vertical="center"/>
    </xf>
    <xf numFmtId="0" fontId="56" fillId="2" borderId="2" xfId="1" applyFont="1" applyFill="1" applyBorder="1" applyAlignment="1">
      <alignment horizontal="center" vertical="center"/>
    </xf>
    <xf numFmtId="1" fontId="56" fillId="2" borderId="8" xfId="1" applyNumberFormat="1" applyFont="1" applyFill="1" applyBorder="1" applyAlignment="1">
      <alignment horizontal="center" vertical="center"/>
    </xf>
    <xf numFmtId="166" fontId="57" fillId="2" borderId="5" xfId="1" applyNumberFormat="1" applyFont="1" applyFill="1" applyBorder="1" applyAlignment="1">
      <alignment horizontal="center" vertical="center"/>
    </xf>
    <xf numFmtId="0" fontId="56" fillId="2" borderId="24" xfId="1" applyFont="1" applyFill="1" applyBorder="1" applyAlignment="1">
      <alignment horizontal="left" vertical="center"/>
    </xf>
    <xf numFmtId="0" fontId="54" fillId="0" borderId="0" xfId="1" applyFont="1" applyBorder="1" applyAlignment="1">
      <alignment horizontal="center" vertical="center"/>
    </xf>
    <xf numFmtId="0" fontId="50" fillId="0" borderId="0" xfId="0" applyFont="1" applyBorder="1"/>
    <xf numFmtId="0" fontId="50" fillId="0" borderId="0" xfId="0" applyFont="1"/>
    <xf numFmtId="166" fontId="50" fillId="0" borderId="0" xfId="0" applyNumberFormat="1" applyFont="1"/>
    <xf numFmtId="0" fontId="56" fillId="2" borderId="5" xfId="1" applyFont="1" applyFill="1" applyBorder="1" applyAlignment="1">
      <alignment horizontal="center" vertical="center"/>
    </xf>
    <xf numFmtId="166" fontId="50" fillId="14" borderId="0" xfId="0" applyNumberFormat="1" applyFont="1" applyFill="1"/>
    <xf numFmtId="21" fontId="50" fillId="0" borderId="0" xfId="0" applyNumberFormat="1" applyFont="1"/>
    <xf numFmtId="0" fontId="56" fillId="2" borderId="55" xfId="1" applyFont="1" applyFill="1" applyBorder="1" applyAlignment="1">
      <alignment horizontal="center" vertical="center"/>
    </xf>
    <xf numFmtId="0" fontId="56" fillId="2" borderId="33" xfId="1" applyFont="1" applyFill="1" applyBorder="1" applyAlignment="1">
      <alignment horizontal="left" vertical="center"/>
    </xf>
    <xf numFmtId="21" fontId="54" fillId="0" borderId="0" xfId="1" applyNumberFormat="1" applyFont="1" applyBorder="1" applyAlignment="1">
      <alignment horizontal="center" vertical="center"/>
    </xf>
    <xf numFmtId="0" fontId="41" fillId="6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19" fillId="0" borderId="8" xfId="4" applyFont="1" applyBorder="1" applyAlignment="1" applyProtection="1">
      <alignment horizontal="center" vertical="center"/>
      <protection hidden="1"/>
    </xf>
    <xf numFmtId="1" fontId="52" fillId="0" borderId="0" xfId="1" applyNumberFormat="1" applyFont="1" applyBorder="1" applyAlignment="1">
      <alignment horizontal="center" wrapText="1"/>
    </xf>
    <xf numFmtId="0" fontId="9" fillId="0" borderId="9" xfId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17" fillId="0" borderId="0" xfId="4" applyFont="1" applyBorder="1" applyAlignment="1">
      <alignment horizontal="center" vertical="center" wrapText="1"/>
    </xf>
    <xf numFmtId="0" fontId="30" fillId="0" borderId="18" xfId="3" applyFont="1" applyBorder="1" applyAlignment="1">
      <alignment horizontal="center"/>
    </xf>
    <xf numFmtId="0" fontId="30" fillId="0" borderId="19" xfId="3" applyFont="1" applyBorder="1" applyAlignment="1">
      <alignment horizontal="center"/>
    </xf>
    <xf numFmtId="0" fontId="30" fillId="0" borderId="20" xfId="3" applyFont="1" applyBorder="1" applyAlignment="1">
      <alignment horizontal="center"/>
    </xf>
    <xf numFmtId="0" fontId="18" fillId="17" borderId="19" xfId="4" applyFont="1" applyFill="1" applyBorder="1" applyAlignment="1" applyProtection="1">
      <alignment horizontal="center" vertical="center"/>
      <protection locked="0"/>
    </xf>
    <xf numFmtId="0" fontId="18" fillId="17" borderId="20" xfId="4" applyFont="1" applyFill="1" applyBorder="1" applyAlignment="1" applyProtection="1">
      <alignment horizontal="center" vertical="center"/>
      <protection locked="0"/>
    </xf>
    <xf numFmtId="0" fontId="33" fillId="0" borderId="41" xfId="3" applyFont="1" applyBorder="1" applyAlignment="1">
      <alignment horizontal="center"/>
    </xf>
    <xf numFmtId="0" fontId="33" fillId="0" borderId="0" xfId="3" applyFont="1" applyAlignment="1">
      <alignment horizontal="center"/>
    </xf>
    <xf numFmtId="0" fontId="38" fillId="0" borderId="41" xfId="3" applyFont="1" applyBorder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28" fillId="6" borderId="0" xfId="3" applyFont="1" applyFill="1" applyAlignment="1">
      <alignment horizontal="center" wrapText="1"/>
    </xf>
    <xf numFmtId="0" fontId="14" fillId="0" borderId="65" xfId="4" applyFont="1" applyBorder="1" applyAlignment="1">
      <alignment horizontal="center"/>
    </xf>
    <xf numFmtId="0" fontId="14" fillId="0" borderId="32" xfId="4" applyFont="1" applyBorder="1" applyAlignment="1">
      <alignment horizontal="center"/>
    </xf>
    <xf numFmtId="0" fontId="18" fillId="11" borderId="19" xfId="4" applyFont="1" applyFill="1" applyBorder="1" applyAlignment="1" applyProtection="1">
      <alignment horizontal="center" vertical="center"/>
      <protection locked="0"/>
    </xf>
    <xf numFmtId="0" fontId="18" fillId="11" borderId="20" xfId="4" applyFont="1" applyFill="1" applyBorder="1" applyAlignment="1" applyProtection="1">
      <alignment horizontal="center" vertical="center"/>
      <protection locked="0"/>
    </xf>
    <xf numFmtId="0" fontId="15" fillId="10" borderId="38" xfId="3" applyFont="1" applyFill="1" applyBorder="1" applyAlignment="1" applyProtection="1">
      <alignment horizontal="center" vertical="center"/>
      <protection locked="0"/>
    </xf>
    <xf numFmtId="0" fontId="15" fillId="10" borderId="39" xfId="3" applyFont="1" applyFill="1" applyBorder="1" applyAlignment="1" applyProtection="1">
      <alignment horizontal="center" vertical="center"/>
      <protection locked="0"/>
    </xf>
    <xf numFmtId="0" fontId="15" fillId="10" borderId="40" xfId="3" applyFont="1" applyFill="1" applyBorder="1" applyAlignment="1" applyProtection="1">
      <alignment horizontal="center" vertical="center"/>
      <protection locked="0"/>
    </xf>
    <xf numFmtId="0" fontId="17" fillId="5" borderId="18" xfId="4" applyFont="1" applyFill="1" applyBorder="1" applyAlignment="1" applyProtection="1">
      <alignment horizontal="center" vertical="center"/>
      <protection locked="0"/>
    </xf>
    <xf numFmtId="0" fontId="17" fillId="5" borderId="20" xfId="4" applyFont="1" applyFill="1" applyBorder="1" applyAlignment="1" applyProtection="1">
      <alignment horizontal="center" vertical="center"/>
      <protection locked="0"/>
    </xf>
    <xf numFmtId="0" fontId="17" fillId="12" borderId="18" xfId="4" applyFont="1" applyFill="1" applyBorder="1" applyAlignment="1" applyProtection="1">
      <alignment horizontal="center" vertical="center"/>
      <protection locked="0"/>
    </xf>
    <xf numFmtId="0" fontId="17" fillId="12" borderId="44" xfId="4" applyFont="1" applyFill="1" applyBorder="1" applyAlignment="1" applyProtection="1">
      <alignment horizontal="center" vertical="center"/>
      <protection locked="0"/>
    </xf>
    <xf numFmtId="0" fontId="18" fillId="11" borderId="35" xfId="4" applyFont="1" applyFill="1" applyBorder="1" applyAlignment="1" applyProtection="1">
      <alignment horizontal="center" vertical="center"/>
      <protection locked="0"/>
    </xf>
    <xf numFmtId="0" fontId="29" fillId="0" borderId="18" xfId="3" applyFont="1" applyBorder="1" applyAlignment="1">
      <alignment horizontal="center"/>
    </xf>
    <xf numFmtId="0" fontId="29" fillId="0" borderId="19" xfId="3" applyFont="1" applyBorder="1" applyAlignment="1">
      <alignment horizontal="center"/>
    </xf>
    <xf numFmtId="0" fontId="29" fillId="0" borderId="20" xfId="3" applyFont="1" applyBorder="1" applyAlignment="1">
      <alignment horizontal="center"/>
    </xf>
    <xf numFmtId="0" fontId="28" fillId="0" borderId="18" xfId="3" applyFont="1" applyBorder="1" applyAlignment="1">
      <alignment horizontal="center"/>
    </xf>
    <xf numFmtId="0" fontId="28" fillId="0" borderId="20" xfId="3" applyFont="1" applyBorder="1" applyAlignment="1">
      <alignment horizontal="center"/>
    </xf>
    <xf numFmtId="0" fontId="17" fillId="12" borderId="20" xfId="4" applyFont="1" applyFill="1" applyBorder="1" applyAlignment="1" applyProtection="1">
      <alignment horizontal="center" vertical="center"/>
      <protection locked="0"/>
    </xf>
    <xf numFmtId="0" fontId="17" fillId="16" borderId="18" xfId="4" applyFont="1" applyFill="1" applyBorder="1" applyAlignment="1" applyProtection="1">
      <alignment horizontal="center" vertical="center"/>
      <protection locked="0"/>
    </xf>
    <xf numFmtId="0" fontId="17" fillId="16" borderId="44" xfId="4" applyFont="1" applyFill="1" applyBorder="1" applyAlignment="1" applyProtection="1">
      <alignment horizontal="center" vertical="center"/>
      <protection locked="0"/>
    </xf>
    <xf numFmtId="0" fontId="13" fillId="0" borderId="0" xfId="4" applyFont="1" applyBorder="1" applyAlignment="1" applyProtection="1">
      <alignment horizontal="center"/>
      <protection hidden="1"/>
    </xf>
    <xf numFmtId="0" fontId="13" fillId="0" borderId="32" xfId="4" applyFont="1" applyBorder="1" applyAlignment="1" applyProtection="1">
      <alignment horizontal="center"/>
      <protection hidden="1"/>
    </xf>
    <xf numFmtId="0" fontId="13" fillId="0" borderId="41" xfId="4" applyFont="1" applyBorder="1" applyAlignment="1">
      <alignment horizontal="center"/>
    </xf>
    <xf numFmtId="0" fontId="13" fillId="0" borderId="0" xfId="4" applyFont="1" applyBorder="1" applyAlignment="1">
      <alignment horizontal="center"/>
    </xf>
    <xf numFmtId="0" fontId="13" fillId="0" borderId="32" xfId="4" applyFont="1" applyBorder="1" applyAlignment="1">
      <alignment horizontal="center"/>
    </xf>
    <xf numFmtId="0" fontId="17" fillId="5" borderId="21" xfId="4" applyFont="1" applyFill="1" applyBorder="1" applyAlignment="1" applyProtection="1">
      <alignment horizontal="center" vertical="center"/>
      <protection locked="0"/>
    </xf>
    <xf numFmtId="0" fontId="17" fillId="5" borderId="22" xfId="4" applyFont="1" applyFill="1" applyBorder="1" applyAlignment="1" applyProtection="1">
      <alignment horizontal="center" vertical="center"/>
      <protection locked="0"/>
    </xf>
    <xf numFmtId="0" fontId="18" fillId="11" borderId="44" xfId="4" applyFont="1" applyFill="1" applyBorder="1" applyAlignment="1" applyProtection="1">
      <alignment horizontal="center" vertical="center"/>
      <protection locked="0"/>
    </xf>
    <xf numFmtId="0" fontId="18" fillId="11" borderId="4" xfId="4" applyFont="1" applyFill="1" applyBorder="1" applyAlignment="1" applyProtection="1">
      <alignment horizontal="center" vertical="center"/>
      <protection locked="0"/>
    </xf>
    <xf numFmtId="0" fontId="18" fillId="11" borderId="22" xfId="4" applyFont="1" applyFill="1" applyBorder="1" applyAlignment="1" applyProtection="1">
      <alignment horizontal="center" vertical="center"/>
      <protection locked="0"/>
    </xf>
    <xf numFmtId="0" fontId="18" fillId="11" borderId="21" xfId="4" applyFont="1" applyFill="1" applyBorder="1" applyAlignment="1" applyProtection="1">
      <alignment horizontal="center" vertical="center"/>
      <protection locked="0"/>
    </xf>
    <xf numFmtId="0" fontId="14" fillId="0" borderId="41" xfId="4" applyFont="1" applyBorder="1" applyAlignment="1">
      <alignment horizontal="center"/>
    </xf>
    <xf numFmtId="0" fontId="18" fillId="11" borderId="18" xfId="4" applyFont="1" applyFill="1" applyBorder="1" applyAlignment="1" applyProtection="1">
      <alignment horizontal="center" vertical="center"/>
      <protection locked="0"/>
    </xf>
    <xf numFmtId="0" fontId="17" fillId="5" borderId="44" xfId="4" applyFont="1" applyFill="1" applyBorder="1" applyAlignment="1" applyProtection="1">
      <alignment horizontal="center" vertical="center"/>
      <protection locked="0"/>
    </xf>
    <xf numFmtId="0" fontId="18" fillId="11" borderId="36" xfId="4" applyFont="1" applyFill="1" applyBorder="1" applyAlignment="1" applyProtection="1">
      <alignment horizontal="center" vertical="center"/>
      <protection locked="0"/>
    </xf>
    <xf numFmtId="0" fontId="18" fillId="11" borderId="73" xfId="4" applyFont="1" applyFill="1" applyBorder="1" applyAlignment="1" applyProtection="1">
      <alignment horizontal="center" vertical="center"/>
      <protection locked="0"/>
    </xf>
    <xf numFmtId="0" fontId="18" fillId="11" borderId="74" xfId="4" applyFont="1" applyFill="1" applyBorder="1" applyAlignment="1" applyProtection="1">
      <alignment horizontal="center" vertical="center"/>
      <protection locked="0"/>
    </xf>
    <xf numFmtId="0" fontId="17" fillId="13" borderId="18" xfId="4" applyFont="1" applyFill="1" applyBorder="1" applyAlignment="1" applyProtection="1">
      <alignment horizontal="center" vertical="center"/>
      <protection locked="0"/>
    </xf>
    <xf numFmtId="0" fontId="17" fillId="13" borderId="44" xfId="4" applyFont="1" applyFill="1" applyBorder="1" applyAlignment="1" applyProtection="1">
      <alignment horizontal="center" vertical="center"/>
      <protection locked="0"/>
    </xf>
    <xf numFmtId="0" fontId="17" fillId="9" borderId="18" xfId="4" applyFont="1" applyFill="1" applyBorder="1" applyAlignment="1" applyProtection="1">
      <alignment horizontal="center" vertical="center"/>
      <protection locked="0"/>
    </xf>
    <xf numFmtId="0" fontId="17" fillId="9" borderId="44" xfId="4" applyFont="1" applyFill="1" applyBorder="1" applyAlignment="1" applyProtection="1">
      <alignment horizontal="center" vertical="center"/>
      <protection locked="0"/>
    </xf>
    <xf numFmtId="21" fontId="39" fillId="11" borderId="35" xfId="4" applyNumberFormat="1" applyFont="1" applyFill="1" applyBorder="1" applyAlignment="1" applyProtection="1">
      <alignment horizontal="center" vertical="center"/>
      <protection locked="0"/>
    </xf>
    <xf numFmtId="0" fontId="39" fillId="11" borderId="19" xfId="4" applyFont="1" applyFill="1" applyBorder="1" applyAlignment="1" applyProtection="1">
      <alignment horizontal="center" vertical="center"/>
      <protection locked="0"/>
    </xf>
    <xf numFmtId="0" fontId="39" fillId="11" borderId="20" xfId="4" applyFont="1" applyFill="1" applyBorder="1" applyAlignment="1" applyProtection="1">
      <alignment horizontal="center" vertical="center"/>
      <protection locked="0"/>
    </xf>
    <xf numFmtId="0" fontId="17" fillId="13" borderId="19" xfId="4" applyFont="1" applyFill="1" applyBorder="1" applyAlignment="1" applyProtection="1">
      <alignment horizontal="center" vertical="center"/>
      <protection locked="0"/>
    </xf>
    <xf numFmtId="0" fontId="17" fillId="15" borderId="7" xfId="4" applyFont="1" applyFill="1" applyBorder="1" applyAlignment="1" applyProtection="1">
      <alignment horizontal="center" vertical="center"/>
      <protection hidden="1"/>
    </xf>
    <xf numFmtId="0" fontId="17" fillId="15" borderId="55" xfId="4" applyFont="1" applyFill="1" applyBorder="1" applyAlignment="1" applyProtection="1">
      <alignment horizontal="center" vertical="center"/>
      <protection hidden="1"/>
    </xf>
    <xf numFmtId="0" fontId="17" fillId="15" borderId="8" xfId="4" applyFont="1" applyFill="1" applyBorder="1" applyAlignment="1" applyProtection="1">
      <alignment horizontal="center" vertical="center"/>
      <protection hidden="1"/>
    </xf>
    <xf numFmtId="0" fontId="13" fillId="0" borderId="41" xfId="4" applyFont="1" applyBorder="1" applyAlignment="1" applyProtection="1">
      <alignment horizontal="center"/>
      <protection hidden="1"/>
    </xf>
    <xf numFmtId="0" fontId="14" fillId="0" borderId="65" xfId="4" applyFont="1" applyBorder="1" applyAlignment="1" applyProtection="1">
      <alignment horizontal="center"/>
      <protection hidden="1"/>
    </xf>
    <xf numFmtId="0" fontId="43" fillId="0" borderId="46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43" fillId="0" borderId="47" xfId="0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1" fontId="4" fillId="0" borderId="59" xfId="0" applyNumberFormat="1" applyFont="1" applyBorder="1" applyAlignment="1">
      <alignment horizontal="right" vertical="center"/>
    </xf>
    <xf numFmtId="21" fontId="4" fillId="0" borderId="60" xfId="0" applyNumberFormat="1" applyFont="1" applyBorder="1" applyAlignment="1">
      <alignment horizontal="right" vertical="center"/>
    </xf>
    <xf numFmtId="21" fontId="4" fillId="0" borderId="69" xfId="0" applyNumberFormat="1" applyFont="1" applyBorder="1" applyAlignment="1">
      <alignment horizontal="right" vertical="center"/>
    </xf>
    <xf numFmtId="21" fontId="4" fillId="0" borderId="67" xfId="0" applyNumberFormat="1" applyFont="1" applyBorder="1" applyAlignment="1">
      <alignment horizontal="center" vertical="center"/>
    </xf>
    <xf numFmtId="21" fontId="4" fillId="0" borderId="60" xfId="0" applyNumberFormat="1" applyFont="1" applyBorder="1" applyAlignment="1">
      <alignment horizontal="center" vertical="center"/>
    </xf>
    <xf numFmtId="21" fontId="4" fillId="0" borderId="68" xfId="0" applyNumberFormat="1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44" fillId="0" borderId="61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21" fontId="4" fillId="0" borderId="62" xfId="0" applyNumberFormat="1" applyFont="1" applyBorder="1" applyAlignment="1">
      <alignment horizontal="left" vertical="top"/>
    </xf>
    <xf numFmtId="21" fontId="4" fillId="0" borderId="57" xfId="0" applyNumberFormat="1" applyFont="1" applyBorder="1" applyAlignment="1">
      <alignment horizontal="left" vertical="top"/>
    </xf>
    <xf numFmtId="21" fontId="4" fillId="0" borderId="63" xfId="0" applyNumberFormat="1" applyFont="1" applyBorder="1" applyAlignment="1">
      <alignment horizontal="left" vertical="top"/>
    </xf>
    <xf numFmtId="21" fontId="4" fillId="0" borderId="54" xfId="0" applyNumberFormat="1" applyFont="1" applyBorder="1" applyAlignment="1">
      <alignment horizontal="left" vertical="top"/>
    </xf>
    <xf numFmtId="21" fontId="4" fillId="0" borderId="0" xfId="0" applyNumberFormat="1" applyFont="1" applyBorder="1" applyAlignment="1">
      <alignment horizontal="left" vertical="top"/>
    </xf>
    <xf numFmtId="21" fontId="4" fillId="0" borderId="32" xfId="0" applyNumberFormat="1" applyFont="1" applyBorder="1" applyAlignment="1">
      <alignment horizontal="left" vertical="top"/>
    </xf>
    <xf numFmtId="21" fontId="4" fillId="0" borderId="11" xfId="0" applyNumberFormat="1" applyFont="1" applyBorder="1" applyAlignment="1">
      <alignment horizontal="left" vertical="top"/>
    </xf>
    <xf numFmtId="21" fontId="4" fillId="0" borderId="27" xfId="0" applyNumberFormat="1" applyFont="1" applyBorder="1" applyAlignment="1">
      <alignment horizontal="left" vertical="top"/>
    </xf>
    <xf numFmtId="21" fontId="4" fillId="0" borderId="64" xfId="0" applyNumberFormat="1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21" fontId="22" fillId="14" borderId="5" xfId="1" applyNumberFormat="1" applyFont="1" applyFill="1" applyBorder="1" applyAlignment="1" applyProtection="1">
      <alignment horizontal="center" vertical="center"/>
      <protection hidden="1"/>
    </xf>
    <xf numFmtId="21" fontId="22" fillId="14" borderId="16" xfId="1" applyNumberFormat="1" applyFont="1" applyFill="1" applyBorder="1" applyAlignment="1" applyProtection="1">
      <alignment horizontal="center" vertical="center"/>
      <protection hidden="1"/>
    </xf>
  </cellXfs>
  <cellStyles count="9">
    <cellStyle name="Normal" xfId="0" builtinId="0"/>
    <cellStyle name="Normal 2" xfId="3"/>
    <cellStyle name="Normal 2 2" xfId="5"/>
    <cellStyle name="Normal 3" xfId="6"/>
    <cellStyle name="Normal 4" xfId="4"/>
    <cellStyle name="Normal 5" xfId="2"/>
    <cellStyle name="Normal 6" xfId="7"/>
    <cellStyle name="Normal 7" xfId="8"/>
    <cellStyle name="Normal_Haftaiçi H.Osman CTC (13+1+1) Nisan 2011" xfId="1"/>
  </cellStyles>
  <dxfs count="1267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>
          <bgColor theme="5" tint="-0.24994659260841701"/>
        </patternFill>
      </fill>
    </dxf>
    <dxf>
      <font>
        <b/>
        <i val="0"/>
      </font>
      <fill>
        <patternFill>
          <bgColor theme="8" tint="-0.24994659260841701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pageSetUpPr fitToPage="1"/>
  </sheetPr>
  <dimension ref="A1:AE986"/>
  <sheetViews>
    <sheetView view="pageBreakPreview" topLeftCell="A54" zoomScaleNormal="85" zoomScaleSheetLayoutView="100" workbookViewId="0">
      <selection activeCell="A63" sqref="A63:XFD63"/>
    </sheetView>
  </sheetViews>
  <sheetFormatPr defaultRowHeight="22.5" x14ac:dyDescent="0.25"/>
  <cols>
    <col min="1" max="1" width="7.42578125" style="38" customWidth="1"/>
    <col min="2" max="2" width="4.7109375" style="30" customWidth="1"/>
    <col min="3" max="3" width="12.5703125" style="116" bestFit="1" customWidth="1"/>
    <col min="4" max="4" width="15.28515625" style="114" bestFit="1" customWidth="1"/>
    <col min="5" max="5" width="32.28515625" style="33" customWidth="1"/>
    <col min="6" max="6" width="4.85546875" style="30" customWidth="1"/>
    <col min="7" max="7" width="12.5703125" style="35" bestFit="1" customWidth="1"/>
    <col min="8" max="8" width="12.7109375" style="110" bestFit="1" customWidth="1"/>
    <col min="9" max="9" width="37" style="33" customWidth="1"/>
    <col min="10" max="10" width="9.7109375" style="39" customWidth="1"/>
    <col min="11" max="11" width="9.140625" style="2"/>
    <col min="12" max="12" width="15.7109375" customWidth="1"/>
    <col min="13" max="13" width="13.85546875" customWidth="1"/>
    <col min="15" max="15" width="11.5703125" customWidth="1"/>
    <col min="20" max="20" width="4.7109375" hidden="1" customWidth="1"/>
    <col min="21" max="29" width="9.140625" hidden="1" customWidth="1"/>
  </cols>
  <sheetData>
    <row r="1" spans="1:29" ht="48.75" customHeight="1" thickBot="1" x14ac:dyDescent="0.3">
      <c r="A1" s="269" t="s">
        <v>307</v>
      </c>
      <c r="B1" s="269"/>
      <c r="C1" s="269"/>
      <c r="D1" s="269"/>
      <c r="E1" s="269"/>
      <c r="F1" s="269"/>
      <c r="G1" s="269"/>
      <c r="H1" s="269"/>
      <c r="I1" s="269"/>
      <c r="J1" s="269"/>
    </row>
    <row r="2" spans="1:29" ht="17.25" customHeight="1" thickBot="1" x14ac:dyDescent="0.3">
      <c r="B2" s="236"/>
      <c r="C2" s="237" t="s">
        <v>0</v>
      </c>
      <c r="D2" s="238" t="s">
        <v>1</v>
      </c>
      <c r="E2" s="239"/>
      <c r="F2" s="236"/>
      <c r="G2" s="240" t="s">
        <v>0</v>
      </c>
      <c r="H2" s="241" t="s">
        <v>2</v>
      </c>
      <c r="I2" s="242"/>
      <c r="J2" s="25"/>
      <c r="O2" s="117"/>
    </row>
    <row r="3" spans="1:29" s="258" customFormat="1" ht="17.25" customHeight="1" x14ac:dyDescent="0.25">
      <c r="A3" s="248"/>
      <c r="B3" s="249"/>
      <c r="C3" s="250">
        <v>1</v>
      </c>
      <c r="D3" s="246">
        <v>0.25</v>
      </c>
      <c r="E3" s="251" t="s">
        <v>20</v>
      </c>
      <c r="F3" s="252"/>
      <c r="G3" s="253">
        <v>4</v>
      </c>
      <c r="H3" s="247">
        <v>0.35607638888888887</v>
      </c>
      <c r="I3" s="255" t="s">
        <v>20</v>
      </c>
      <c r="J3" s="256"/>
      <c r="K3" s="257"/>
      <c r="O3" s="259"/>
    </row>
    <row r="4" spans="1:29" s="258" customFormat="1" ht="17.25" customHeight="1" x14ac:dyDescent="0.25">
      <c r="A4" s="248"/>
      <c r="B4" s="249"/>
      <c r="C4" s="250">
        <v>2</v>
      </c>
      <c r="D4" s="246">
        <v>0.25</v>
      </c>
      <c r="E4" s="251" t="s">
        <v>59</v>
      </c>
      <c r="F4" s="260"/>
      <c r="G4" s="253">
        <v>1</v>
      </c>
      <c r="H4" s="247">
        <v>0.37121527777777774</v>
      </c>
      <c r="I4" s="255" t="s">
        <v>20</v>
      </c>
      <c r="J4" s="256"/>
      <c r="K4" s="257"/>
      <c r="O4" s="261"/>
      <c r="Q4" s="262">
        <v>3.5335648148148151E-2</v>
      </c>
    </row>
    <row r="5" spans="1:29" s="258" customFormat="1" ht="17.25" customHeight="1" x14ac:dyDescent="0.25">
      <c r="A5" s="248"/>
      <c r="B5" s="249"/>
      <c r="C5" s="250">
        <v>3</v>
      </c>
      <c r="D5" s="246">
        <v>0.25</v>
      </c>
      <c r="E5" s="251" t="s">
        <v>61</v>
      </c>
      <c r="F5" s="260"/>
      <c r="G5" s="253">
        <v>3</v>
      </c>
      <c r="H5" s="247">
        <v>0.81862268518518511</v>
      </c>
      <c r="I5" s="255" t="s">
        <v>20</v>
      </c>
      <c r="J5" s="256"/>
      <c r="K5" s="257"/>
      <c r="O5" s="259"/>
      <c r="P5" s="258">
        <v>5</v>
      </c>
      <c r="Q5" s="262">
        <f>$Q$4/P5</f>
        <v>7.0671296296296298E-3</v>
      </c>
    </row>
    <row r="6" spans="1:29" s="258" customFormat="1" ht="17.25" customHeight="1" x14ac:dyDescent="0.25">
      <c r="A6" s="248"/>
      <c r="B6" s="249"/>
      <c r="C6" s="250">
        <v>4</v>
      </c>
      <c r="D6" s="246">
        <v>0.25</v>
      </c>
      <c r="E6" s="251" t="s">
        <v>60</v>
      </c>
      <c r="F6" s="260"/>
      <c r="G6" s="253">
        <v>5</v>
      </c>
      <c r="H6" s="247">
        <v>0.83376157407407403</v>
      </c>
      <c r="I6" s="255" t="s">
        <v>20</v>
      </c>
      <c r="J6" s="256"/>
      <c r="K6" s="257"/>
      <c r="O6" s="261"/>
      <c r="P6" s="258">
        <v>6</v>
      </c>
      <c r="Q6" s="262">
        <f t="shared" ref="Q6:Q7" si="0">$Q$4/P6</f>
        <v>5.8892746913580254E-3</v>
      </c>
    </row>
    <row r="7" spans="1:29" s="258" customFormat="1" ht="17.25" customHeight="1" x14ac:dyDescent="0.25">
      <c r="A7" s="248"/>
      <c r="B7" s="249"/>
      <c r="C7" s="250">
        <v>5</v>
      </c>
      <c r="D7" s="246">
        <v>0.25</v>
      </c>
      <c r="E7" s="251" t="s">
        <v>63</v>
      </c>
      <c r="F7" s="260"/>
      <c r="G7" s="263"/>
      <c r="H7" s="260"/>
      <c r="I7" s="264"/>
      <c r="J7" s="256"/>
      <c r="K7" s="257"/>
      <c r="P7" s="258">
        <v>7</v>
      </c>
      <c r="Q7" s="262">
        <f t="shared" si="0"/>
        <v>5.0479497354497362E-3</v>
      </c>
    </row>
    <row r="8" spans="1:29" s="258" customFormat="1" ht="17.25" customHeight="1" x14ac:dyDescent="0.25">
      <c r="A8" s="248"/>
      <c r="B8" s="249"/>
      <c r="C8" s="250">
        <v>6</v>
      </c>
      <c r="D8" s="246">
        <v>0.25</v>
      </c>
      <c r="E8" s="251" t="s">
        <v>62</v>
      </c>
      <c r="F8" s="260"/>
      <c r="G8" s="263"/>
      <c r="H8" s="260"/>
      <c r="I8" s="264"/>
      <c r="J8" s="256"/>
      <c r="K8" s="257"/>
    </row>
    <row r="9" spans="1:29" s="258" customFormat="1" ht="17.25" customHeight="1" x14ac:dyDescent="0.25">
      <c r="A9" s="248"/>
      <c r="B9" s="249"/>
      <c r="C9" s="250">
        <v>7</v>
      </c>
      <c r="D9" s="246">
        <v>0.30217592592592596</v>
      </c>
      <c r="E9" s="251" t="s">
        <v>20</v>
      </c>
      <c r="F9" s="260"/>
      <c r="G9" s="263"/>
      <c r="H9" s="260"/>
      <c r="I9" s="264"/>
      <c r="J9" s="265"/>
      <c r="K9" s="257"/>
    </row>
    <row r="10" spans="1:29" s="258" customFormat="1" ht="17.25" customHeight="1" x14ac:dyDescent="0.25">
      <c r="A10" s="248"/>
      <c r="B10" s="249"/>
      <c r="C10" s="250">
        <v>8</v>
      </c>
      <c r="D10" s="246">
        <v>0.67388888888888887</v>
      </c>
      <c r="E10" s="251" t="s">
        <v>20</v>
      </c>
      <c r="F10" s="260"/>
      <c r="G10" s="263"/>
      <c r="H10" s="260"/>
      <c r="I10" s="264"/>
      <c r="J10" s="256"/>
      <c r="K10" s="257"/>
    </row>
    <row r="11" spans="1:29" s="258" customFormat="1" ht="17.25" customHeight="1" x14ac:dyDescent="0.25">
      <c r="A11" s="248"/>
      <c r="B11" s="249"/>
      <c r="C11" s="250">
        <v>9</v>
      </c>
      <c r="D11" s="246">
        <v>0.68902777777777768</v>
      </c>
      <c r="E11" s="251" t="s">
        <v>20</v>
      </c>
      <c r="F11" s="260"/>
      <c r="G11" s="263"/>
      <c r="H11" s="254"/>
      <c r="I11" s="264"/>
      <c r="J11" s="256"/>
      <c r="K11" s="257"/>
    </row>
    <row r="12" spans="1:29" ht="21" customHeight="1" thickBot="1" x14ac:dyDescent="0.3">
      <c r="B12" s="270" t="s">
        <v>18</v>
      </c>
      <c r="C12" s="271"/>
      <c r="D12" s="271"/>
      <c r="E12" s="272"/>
      <c r="F12" s="3"/>
      <c r="G12" s="273" t="s">
        <v>17</v>
      </c>
      <c r="H12" s="274"/>
      <c r="I12" s="275"/>
      <c r="J12" s="25"/>
    </row>
    <row r="13" spans="1:29" ht="18.75" customHeight="1" thickBot="1" x14ac:dyDescent="0.3">
      <c r="B13" s="26" t="s">
        <v>9</v>
      </c>
      <c r="C13" s="243" t="s">
        <v>0</v>
      </c>
      <c r="D13" s="244" t="s">
        <v>1</v>
      </c>
      <c r="E13" s="24" t="s">
        <v>3</v>
      </c>
      <c r="F13" s="3" t="s">
        <v>9</v>
      </c>
      <c r="G13" s="27" t="s">
        <v>0</v>
      </c>
      <c r="H13" s="245" t="s">
        <v>1</v>
      </c>
      <c r="I13" s="28" t="s">
        <v>3</v>
      </c>
      <c r="J13" s="25"/>
    </row>
    <row r="14" spans="1:29" ht="18" customHeight="1" x14ac:dyDescent="0.25">
      <c r="A14" s="151"/>
      <c r="B14" s="112"/>
      <c r="C14" s="112"/>
      <c r="D14" s="121"/>
      <c r="E14" s="126"/>
      <c r="F14" s="112">
        <v>1</v>
      </c>
      <c r="G14" s="112">
        <v>4</v>
      </c>
      <c r="H14" s="121">
        <v>0.25033564814814818</v>
      </c>
      <c r="I14" s="126"/>
      <c r="J14" s="151"/>
      <c r="U14" t="str">
        <f t="shared" ref="U14:U77" si="1">IF(AND(W14&gt;0,V14&gt;0),CONCATENATE(W14,-V14),"")</f>
        <v/>
      </c>
      <c r="V14" t="str">
        <f>IF(W14&gt;0,COUNTIF($W$14:W15,W14),"")</f>
        <v/>
      </c>
      <c r="W14">
        <f t="shared" ref="W14" si="2">A14</f>
        <v>0</v>
      </c>
      <c r="X14" s="108">
        <f t="shared" ref="X14" si="3">D14</f>
        <v>0</v>
      </c>
      <c r="Z14" t="str">
        <f t="shared" ref="Z14:Z77" si="4">IF(AND(AB14&gt;0,AA14&gt;0),CONCATENATE(AB14,-AA14),"")</f>
        <v/>
      </c>
      <c r="AA14" t="str">
        <f>IF(AB14&gt;0,COUNTIF($AB$14:AB15,AB14),"")</f>
        <v/>
      </c>
      <c r="AB14">
        <f t="shared" ref="AB14:AB77" si="5">J14</f>
        <v>0</v>
      </c>
      <c r="AC14" s="108">
        <f t="shared" ref="AC14:AC77" si="6">H14</f>
        <v>0.25033564814814818</v>
      </c>
    </row>
    <row r="15" spans="1:29" ht="18" customHeight="1" x14ac:dyDescent="0.25">
      <c r="A15" s="151"/>
      <c r="B15" s="112"/>
      <c r="C15" s="112"/>
      <c r="D15" s="121"/>
      <c r="E15" s="126"/>
      <c r="F15" s="112">
        <v>2</v>
      </c>
      <c r="G15" s="112">
        <v>5</v>
      </c>
      <c r="H15" s="121">
        <v>0.25622685185185184</v>
      </c>
      <c r="I15" s="126">
        <f t="shared" ref="I15:I78" si="7">H15-H14</f>
        <v>5.8912037037036624E-3</v>
      </c>
      <c r="J15" s="151"/>
      <c r="U15" t="str">
        <f t="shared" si="1"/>
        <v/>
      </c>
      <c r="V15" t="str">
        <f>IF(W15&gt;0,COUNTIF($W$14:W16,W15),"")</f>
        <v/>
      </c>
      <c r="W15">
        <f t="shared" ref="W15:W46" si="8">A16</f>
        <v>0</v>
      </c>
      <c r="X15" s="108">
        <f t="shared" ref="X15:X46" si="9">D16</f>
        <v>0</v>
      </c>
      <c r="Z15" t="str">
        <f t="shared" si="4"/>
        <v/>
      </c>
      <c r="AA15" t="str">
        <f>IF(AB15&gt;0,COUNTIF($AB$14:AB16,AB15),"")</f>
        <v/>
      </c>
      <c r="AB15">
        <f t="shared" si="5"/>
        <v>0</v>
      </c>
      <c r="AC15" s="108">
        <f t="shared" si="6"/>
        <v>0.25622685185185184</v>
      </c>
    </row>
    <row r="16" spans="1:29" ht="18" customHeight="1" x14ac:dyDescent="0.25">
      <c r="A16" s="151"/>
      <c r="B16" s="112"/>
      <c r="C16" s="112"/>
      <c r="D16" s="121"/>
      <c r="E16" s="126"/>
      <c r="F16" s="112">
        <v>3</v>
      </c>
      <c r="G16" s="112">
        <v>6</v>
      </c>
      <c r="H16" s="121">
        <v>0.26211805555555556</v>
      </c>
      <c r="I16" s="126">
        <f t="shared" si="7"/>
        <v>5.8912037037037179E-3</v>
      </c>
      <c r="J16" s="151"/>
      <c r="U16" t="str">
        <f t="shared" si="1"/>
        <v>6-1</v>
      </c>
      <c r="V16">
        <f>IF(W16&gt;0,COUNTIF($W$14:W17,W16),"")</f>
        <v>1</v>
      </c>
      <c r="W16">
        <f t="shared" si="8"/>
        <v>6</v>
      </c>
      <c r="X16" s="108">
        <f t="shared" si="9"/>
        <v>0.25</v>
      </c>
      <c r="Z16" t="str">
        <f t="shared" si="4"/>
        <v/>
      </c>
      <c r="AA16" t="str">
        <f>IF(AB16&gt;0,COUNTIF($AB$14:AB17,AB16),"")</f>
        <v/>
      </c>
      <c r="AB16">
        <f t="shared" si="5"/>
        <v>0</v>
      </c>
      <c r="AC16" s="108">
        <f t="shared" si="6"/>
        <v>0.26211805555555556</v>
      </c>
    </row>
    <row r="17" spans="1:31" ht="18" customHeight="1" x14ac:dyDescent="0.25">
      <c r="A17" s="175">
        <v>6</v>
      </c>
      <c r="B17" s="112">
        <v>1</v>
      </c>
      <c r="C17" s="112">
        <v>1</v>
      </c>
      <c r="D17" s="121">
        <v>0.25</v>
      </c>
      <c r="E17" s="37"/>
      <c r="F17" s="112">
        <v>4</v>
      </c>
      <c r="G17" s="112">
        <v>1</v>
      </c>
      <c r="H17" s="121">
        <v>0.26857638888888891</v>
      </c>
      <c r="I17" s="126">
        <f t="shared" si="7"/>
        <v>6.4583333333333437E-3</v>
      </c>
      <c r="J17" s="175">
        <v>6</v>
      </c>
      <c r="U17" t="str">
        <f t="shared" si="1"/>
        <v>7-1</v>
      </c>
      <c r="V17">
        <f>IF(W17&gt;0,COUNTIF($W$14:W18,W17),"")</f>
        <v>1</v>
      </c>
      <c r="W17">
        <f t="shared" si="8"/>
        <v>7</v>
      </c>
      <c r="X17" s="108">
        <f t="shared" si="9"/>
        <v>0.25589120370370372</v>
      </c>
      <c r="Z17" t="str">
        <f t="shared" si="4"/>
        <v>6-1</v>
      </c>
      <c r="AA17">
        <f>IF(AB17&gt;0,COUNTIF($AB$14:AB18,AB17),"")</f>
        <v>1</v>
      </c>
      <c r="AB17">
        <f t="shared" si="5"/>
        <v>6</v>
      </c>
      <c r="AC17" s="108">
        <f t="shared" si="6"/>
        <v>0.26857638888888891</v>
      </c>
    </row>
    <row r="18" spans="1:31" ht="18" customHeight="1" x14ac:dyDescent="0.25">
      <c r="A18" s="151">
        <v>7</v>
      </c>
      <c r="B18" s="112">
        <v>2</v>
      </c>
      <c r="C18" s="112">
        <v>2</v>
      </c>
      <c r="D18" s="121">
        <v>0.25589120370370372</v>
      </c>
      <c r="E18" s="126">
        <f>D18-D17</f>
        <v>5.8912037037037179E-3</v>
      </c>
      <c r="F18" s="112">
        <v>5</v>
      </c>
      <c r="G18" s="112">
        <v>2</v>
      </c>
      <c r="H18" s="121">
        <v>0.27446759259259262</v>
      </c>
      <c r="I18" s="126">
        <f t="shared" si="7"/>
        <v>5.8912037037037179E-3</v>
      </c>
      <c r="J18" s="151">
        <v>7</v>
      </c>
      <c r="L18" s="118">
        <f>H24-H18</f>
        <v>3.5347222222222197E-2</v>
      </c>
      <c r="U18" t="str">
        <f t="shared" si="1"/>
        <v>1-1</v>
      </c>
      <c r="V18">
        <f>IF(W18&gt;0,COUNTIF($W$14:W19,W18),"")</f>
        <v>1</v>
      </c>
      <c r="W18">
        <f t="shared" si="8"/>
        <v>1</v>
      </c>
      <c r="X18" s="108">
        <f t="shared" si="9"/>
        <v>0.26178240740740738</v>
      </c>
      <c r="Z18" t="str">
        <f t="shared" si="4"/>
        <v>7-1</v>
      </c>
      <c r="AA18">
        <f>IF(AB18&gt;0,COUNTIF($AB$14:AB19,AB18),"")</f>
        <v>1</v>
      </c>
      <c r="AB18">
        <f t="shared" si="5"/>
        <v>7</v>
      </c>
      <c r="AC18" s="108">
        <f t="shared" si="6"/>
        <v>0.27446759259259262</v>
      </c>
    </row>
    <row r="19" spans="1:31" ht="18" customHeight="1" x14ac:dyDescent="0.25">
      <c r="A19" s="151">
        <v>1</v>
      </c>
      <c r="B19" s="112">
        <v>3</v>
      </c>
      <c r="C19" s="112">
        <v>3</v>
      </c>
      <c r="D19" s="121">
        <v>0.26178240740740738</v>
      </c>
      <c r="E19" s="126">
        <f t="shared" ref="E19:E82" si="10">D19-D18</f>
        <v>5.8912037037036624E-3</v>
      </c>
      <c r="F19" s="112">
        <v>6</v>
      </c>
      <c r="G19" s="112">
        <v>3</v>
      </c>
      <c r="H19" s="121">
        <v>0.28035879629629629</v>
      </c>
      <c r="I19" s="126">
        <f t="shared" si="7"/>
        <v>5.8912037037036624E-3</v>
      </c>
      <c r="J19" s="151">
        <v>1</v>
      </c>
      <c r="U19" t="str">
        <f t="shared" si="1"/>
        <v>2-1</v>
      </c>
      <c r="V19">
        <f>IF(W19&gt;0,COUNTIF($W$14:W20,W19),"")</f>
        <v>1</v>
      </c>
      <c r="W19">
        <f t="shared" si="8"/>
        <v>2</v>
      </c>
      <c r="X19" s="108">
        <f t="shared" si="9"/>
        <v>0.2676736111111111</v>
      </c>
      <c r="Z19" t="str">
        <f t="shared" si="4"/>
        <v>1-1</v>
      </c>
      <c r="AA19">
        <f>IF(AB19&gt;0,COUNTIF($AB$14:AB20,AB19),"")</f>
        <v>1</v>
      </c>
      <c r="AB19">
        <f t="shared" si="5"/>
        <v>1</v>
      </c>
      <c r="AC19" s="108">
        <f t="shared" si="6"/>
        <v>0.28035879629629629</v>
      </c>
      <c r="AE19" s="118"/>
    </row>
    <row r="20" spans="1:31" ht="18" customHeight="1" x14ac:dyDescent="0.25">
      <c r="A20" s="151">
        <v>2</v>
      </c>
      <c r="B20" s="112">
        <v>4</v>
      </c>
      <c r="C20" s="112">
        <v>4</v>
      </c>
      <c r="D20" s="121">
        <v>0.2676736111111111</v>
      </c>
      <c r="E20" s="126">
        <f t="shared" si="10"/>
        <v>5.8912037037037179E-3</v>
      </c>
      <c r="F20" s="112">
        <v>7</v>
      </c>
      <c r="G20" s="112">
        <v>4</v>
      </c>
      <c r="H20" s="121">
        <v>0.28625</v>
      </c>
      <c r="I20" s="126">
        <f t="shared" si="7"/>
        <v>5.8912037037037179E-3</v>
      </c>
      <c r="J20" s="151">
        <v>2</v>
      </c>
      <c r="U20" t="str">
        <f t="shared" si="1"/>
        <v>3-1</v>
      </c>
      <c r="V20">
        <f>IF(W20&gt;0,COUNTIF($W$14:W21,W20),"")</f>
        <v>1</v>
      </c>
      <c r="W20">
        <f t="shared" si="8"/>
        <v>3</v>
      </c>
      <c r="X20" s="108">
        <f t="shared" si="9"/>
        <v>0.27356481481481482</v>
      </c>
      <c r="Z20" t="str">
        <f t="shared" si="4"/>
        <v>2-1</v>
      </c>
      <c r="AA20">
        <f>IF(AB20&gt;0,COUNTIF($AB$14:AB21,AB20),"")</f>
        <v>1</v>
      </c>
      <c r="AB20">
        <f t="shared" si="5"/>
        <v>2</v>
      </c>
      <c r="AC20" s="108">
        <f t="shared" si="6"/>
        <v>0.28625</v>
      </c>
    </row>
    <row r="21" spans="1:31" ht="18" customHeight="1" x14ac:dyDescent="0.25">
      <c r="A21" s="151">
        <v>3</v>
      </c>
      <c r="B21" s="112">
        <v>5</v>
      </c>
      <c r="C21" s="112">
        <v>5</v>
      </c>
      <c r="D21" s="121">
        <v>0.27356481481481482</v>
      </c>
      <c r="E21" s="126">
        <f t="shared" si="10"/>
        <v>5.8912037037037179E-3</v>
      </c>
      <c r="F21" s="112">
        <v>8</v>
      </c>
      <c r="G21" s="112">
        <v>5</v>
      </c>
      <c r="H21" s="121">
        <v>0.29214120370370372</v>
      </c>
      <c r="I21" s="126">
        <f t="shared" si="7"/>
        <v>5.8912037037037179E-3</v>
      </c>
      <c r="J21" s="151">
        <v>3</v>
      </c>
      <c r="K21" s="7"/>
      <c r="L21" s="12" t="s">
        <v>6</v>
      </c>
      <c r="M21" s="5" t="s">
        <v>7</v>
      </c>
      <c r="N21" s="12" t="s">
        <v>6</v>
      </c>
      <c r="O21" s="5" t="s">
        <v>7</v>
      </c>
      <c r="P21" s="12" t="s">
        <v>6</v>
      </c>
      <c r="Q21" s="5" t="s">
        <v>7</v>
      </c>
      <c r="R21" s="12" t="s">
        <v>6</v>
      </c>
      <c r="S21" s="5" t="s">
        <v>7</v>
      </c>
      <c r="T21" s="8"/>
      <c r="U21" t="str">
        <f t="shared" si="1"/>
        <v>4-1</v>
      </c>
      <c r="V21">
        <f>IF(W21&gt;0,COUNTIF($W$14:W22,W21),"")</f>
        <v>1</v>
      </c>
      <c r="W21">
        <f t="shared" si="8"/>
        <v>4</v>
      </c>
      <c r="X21" s="108">
        <f t="shared" si="9"/>
        <v>0.27945601851851848</v>
      </c>
      <c r="Y21" s="8"/>
      <c r="Z21" t="str">
        <f t="shared" si="4"/>
        <v>3-1</v>
      </c>
      <c r="AA21">
        <f>IF(AB21&gt;0,COUNTIF($AB$14:AB22,AB21),"")</f>
        <v>1</v>
      </c>
      <c r="AB21">
        <f t="shared" si="5"/>
        <v>3</v>
      </c>
      <c r="AC21" s="108">
        <f t="shared" si="6"/>
        <v>0.29214120370370372</v>
      </c>
    </row>
    <row r="22" spans="1:31" ht="18" customHeight="1" x14ac:dyDescent="0.25">
      <c r="A22" s="151">
        <v>4</v>
      </c>
      <c r="B22" s="112">
        <v>6</v>
      </c>
      <c r="C22" s="112">
        <v>6</v>
      </c>
      <c r="D22" s="121">
        <v>0.27945601851851848</v>
      </c>
      <c r="E22" s="126">
        <f t="shared" si="10"/>
        <v>5.8912037037036624E-3</v>
      </c>
      <c r="F22" s="112">
        <v>9</v>
      </c>
      <c r="G22" s="112">
        <v>6</v>
      </c>
      <c r="H22" s="121">
        <v>0.29803240740740738</v>
      </c>
      <c r="I22" s="126">
        <f t="shared" si="7"/>
        <v>5.8912037037036624E-3</v>
      </c>
      <c r="J22" s="151">
        <v>4</v>
      </c>
      <c r="K22" s="7"/>
      <c r="L22" s="13">
        <v>1</v>
      </c>
      <c r="M22" s="6">
        <f t="shared" ref="M22:M33" si="11">COUNTIF($A$14:$A$136,L22)+COUNTIF($J$14:$J$136,L22)</f>
        <v>10</v>
      </c>
      <c r="N22" s="13">
        <v>21</v>
      </c>
      <c r="O22" s="6">
        <f t="shared" ref="O22:O33" si="12">COUNTIF($A$14:$A$136,N22)+COUNTIF($J$14:$J$136,N22)</f>
        <v>12</v>
      </c>
      <c r="P22" s="13">
        <v>51</v>
      </c>
      <c r="Q22" s="6">
        <f t="shared" ref="Q22:Q35" si="13">COUNTIF($A$14:$A$136,P22)+COUNTIF($J$14:$J$136,P22)</f>
        <v>12</v>
      </c>
      <c r="R22" s="13">
        <v>71</v>
      </c>
      <c r="S22" s="6">
        <f t="shared" ref="S22:S35" si="14">COUNTIF($A$23:$A$136,R22)+COUNTIF($J$14:$J$136,R22)</f>
        <v>12</v>
      </c>
      <c r="T22" s="8"/>
      <c r="U22" t="str">
        <f t="shared" si="1"/>
        <v>5-1</v>
      </c>
      <c r="V22">
        <f>IF(W22&gt;0,COUNTIF($W$14:W23,W22),"")</f>
        <v>1</v>
      </c>
      <c r="W22">
        <f t="shared" si="8"/>
        <v>5</v>
      </c>
      <c r="X22" s="108">
        <f t="shared" si="9"/>
        <v>0.28534722222222225</v>
      </c>
      <c r="Y22" s="8"/>
      <c r="Z22" t="str">
        <f t="shared" si="4"/>
        <v>4-1</v>
      </c>
      <c r="AA22">
        <f>IF(AB22&gt;0,COUNTIF($AB$14:AB23,AB22),"")</f>
        <v>1</v>
      </c>
      <c r="AB22">
        <f t="shared" si="5"/>
        <v>4</v>
      </c>
      <c r="AC22" s="108">
        <f t="shared" si="6"/>
        <v>0.29803240740740738</v>
      </c>
    </row>
    <row r="23" spans="1:31" ht="18" customHeight="1" x14ac:dyDescent="0.25">
      <c r="A23" s="151">
        <v>5</v>
      </c>
      <c r="B23" s="112">
        <v>7</v>
      </c>
      <c r="C23" s="112">
        <v>1</v>
      </c>
      <c r="D23" s="121">
        <v>0.28534722222222225</v>
      </c>
      <c r="E23" s="126">
        <f t="shared" si="10"/>
        <v>5.8912037037037734E-3</v>
      </c>
      <c r="F23" s="112">
        <v>10</v>
      </c>
      <c r="G23" s="112">
        <v>1</v>
      </c>
      <c r="H23" s="121">
        <v>0.3039236111111111</v>
      </c>
      <c r="I23" s="126">
        <f t="shared" si="7"/>
        <v>5.8912037037037179E-3</v>
      </c>
      <c r="J23" s="151">
        <v>5</v>
      </c>
      <c r="K23" s="7"/>
      <c r="L23" s="13">
        <v>2</v>
      </c>
      <c r="M23" s="6">
        <f t="shared" si="11"/>
        <v>10</v>
      </c>
      <c r="N23" s="13">
        <v>22</v>
      </c>
      <c r="O23" s="6">
        <f t="shared" si="12"/>
        <v>10</v>
      </c>
      <c r="P23" s="13">
        <v>52</v>
      </c>
      <c r="Q23" s="6">
        <f t="shared" si="13"/>
        <v>12</v>
      </c>
      <c r="R23" s="13">
        <v>72</v>
      </c>
      <c r="S23" s="6">
        <f t="shared" si="14"/>
        <v>12</v>
      </c>
      <c r="T23" s="8"/>
      <c r="U23" t="str">
        <f t="shared" si="1"/>
        <v>6-2</v>
      </c>
      <c r="V23">
        <f>IF(W23&gt;0,COUNTIF($W$14:W24,W23),"")</f>
        <v>2</v>
      </c>
      <c r="W23">
        <f t="shared" si="8"/>
        <v>6</v>
      </c>
      <c r="X23" s="108">
        <f t="shared" si="9"/>
        <v>0.29123842592592591</v>
      </c>
      <c r="Y23" s="8"/>
      <c r="Z23" t="str">
        <f t="shared" si="4"/>
        <v>5-1</v>
      </c>
      <c r="AA23">
        <f>IF(AB23&gt;0,COUNTIF($AB$14:AB24,AB23),"")</f>
        <v>1</v>
      </c>
      <c r="AB23">
        <f t="shared" si="5"/>
        <v>5</v>
      </c>
      <c r="AC23" s="108">
        <f t="shared" si="6"/>
        <v>0.3039236111111111</v>
      </c>
    </row>
    <row r="24" spans="1:31" ht="18" customHeight="1" x14ac:dyDescent="0.25">
      <c r="A24" s="151">
        <v>6</v>
      </c>
      <c r="B24" s="112">
        <v>8</v>
      </c>
      <c r="C24" s="112">
        <v>2</v>
      </c>
      <c r="D24" s="121">
        <v>0.29123842592592591</v>
      </c>
      <c r="E24" s="126">
        <f t="shared" si="10"/>
        <v>5.8912037037036624E-3</v>
      </c>
      <c r="F24" s="112">
        <v>11</v>
      </c>
      <c r="G24" s="112">
        <v>2</v>
      </c>
      <c r="H24" s="121">
        <v>0.30981481481481482</v>
      </c>
      <c r="I24" s="126">
        <f t="shared" si="7"/>
        <v>5.8912037037037179E-3</v>
      </c>
      <c r="J24" s="151">
        <v>6</v>
      </c>
      <c r="K24" s="7"/>
      <c r="L24" s="13">
        <v>3</v>
      </c>
      <c r="M24" s="6">
        <f t="shared" si="11"/>
        <v>10</v>
      </c>
      <c r="N24" s="13">
        <v>23</v>
      </c>
      <c r="O24" s="6">
        <f t="shared" si="12"/>
        <v>0</v>
      </c>
      <c r="P24" s="13">
        <v>53</v>
      </c>
      <c r="Q24" s="6">
        <f t="shared" si="13"/>
        <v>11</v>
      </c>
      <c r="R24" s="13">
        <v>73</v>
      </c>
      <c r="S24" s="6">
        <f t="shared" si="14"/>
        <v>10</v>
      </c>
      <c r="T24" s="8"/>
      <c r="U24" t="str">
        <f t="shared" si="1"/>
        <v>21-1</v>
      </c>
      <c r="V24">
        <f>IF(W24&gt;0,COUNTIF($W$14:W25,W24),"")</f>
        <v>1</v>
      </c>
      <c r="W24">
        <f t="shared" si="8"/>
        <v>21</v>
      </c>
      <c r="X24" s="108">
        <f t="shared" si="9"/>
        <v>0.29712962962962963</v>
      </c>
      <c r="Y24" s="8"/>
      <c r="Z24" t="str">
        <f t="shared" si="4"/>
        <v>6-2</v>
      </c>
      <c r="AA24">
        <f>IF(AB24&gt;0,COUNTIF($AB$14:AB25,AB24),"")</f>
        <v>2</v>
      </c>
      <c r="AB24">
        <f t="shared" si="5"/>
        <v>6</v>
      </c>
      <c r="AC24" s="108">
        <f t="shared" si="6"/>
        <v>0.30981481481481482</v>
      </c>
    </row>
    <row r="25" spans="1:31" ht="18" customHeight="1" x14ac:dyDescent="0.25">
      <c r="A25" s="151">
        <v>21</v>
      </c>
      <c r="B25" s="112">
        <v>9</v>
      </c>
      <c r="C25" s="112">
        <v>3</v>
      </c>
      <c r="D25" s="121">
        <v>0.29712962962962963</v>
      </c>
      <c r="E25" s="126">
        <f t="shared" si="10"/>
        <v>5.8912037037037179E-3</v>
      </c>
      <c r="F25" s="112">
        <v>12</v>
      </c>
      <c r="G25" s="112">
        <v>3</v>
      </c>
      <c r="H25" s="121">
        <v>0.31570601851851854</v>
      </c>
      <c r="I25" s="126">
        <f t="shared" si="7"/>
        <v>5.8912037037037179E-3</v>
      </c>
      <c r="J25" s="151">
        <v>21</v>
      </c>
      <c r="K25" s="7"/>
      <c r="L25" s="13">
        <v>4</v>
      </c>
      <c r="M25" s="6">
        <f t="shared" si="11"/>
        <v>10</v>
      </c>
      <c r="N25" s="13">
        <v>24</v>
      </c>
      <c r="O25" s="6">
        <f t="shared" si="12"/>
        <v>0</v>
      </c>
      <c r="P25" s="13">
        <v>54</v>
      </c>
      <c r="Q25" s="6">
        <f t="shared" si="13"/>
        <v>11</v>
      </c>
      <c r="R25" s="13">
        <v>74</v>
      </c>
      <c r="S25" s="6">
        <f t="shared" si="14"/>
        <v>10</v>
      </c>
      <c r="T25" s="8"/>
      <c r="U25" t="str">
        <f t="shared" si="1"/>
        <v>22-1</v>
      </c>
      <c r="V25">
        <f>IF(W25&gt;0,COUNTIF($W$14:W26,W25),"")</f>
        <v>1</v>
      </c>
      <c r="W25">
        <f t="shared" si="8"/>
        <v>22</v>
      </c>
      <c r="X25" s="108">
        <f t="shared" si="9"/>
        <v>0.30217592592592596</v>
      </c>
      <c r="Y25" s="8"/>
      <c r="Z25" t="str">
        <f t="shared" si="4"/>
        <v>21-1</v>
      </c>
      <c r="AA25">
        <f>IF(AB25&gt;0,COUNTIF($AB$14:AB26,AB25),"")</f>
        <v>1</v>
      </c>
      <c r="AB25">
        <f t="shared" si="5"/>
        <v>21</v>
      </c>
      <c r="AC25" s="108">
        <f t="shared" si="6"/>
        <v>0.31570601851851854</v>
      </c>
    </row>
    <row r="26" spans="1:31" ht="18" customHeight="1" x14ac:dyDescent="0.25">
      <c r="A26" s="151">
        <v>22</v>
      </c>
      <c r="B26" s="112">
        <v>10</v>
      </c>
      <c r="C26" s="129">
        <v>7</v>
      </c>
      <c r="D26" s="130">
        <v>0.30217592592592596</v>
      </c>
      <c r="E26" s="131">
        <f t="shared" si="10"/>
        <v>5.0462962962963265E-3</v>
      </c>
      <c r="F26" s="112">
        <v>13</v>
      </c>
      <c r="G26" s="112">
        <v>7</v>
      </c>
      <c r="H26" s="121">
        <v>0.32075231481481481</v>
      </c>
      <c r="I26" s="126">
        <f t="shared" si="7"/>
        <v>5.046296296296271E-3</v>
      </c>
      <c r="J26" s="151">
        <v>22</v>
      </c>
      <c r="K26" s="7"/>
      <c r="L26" s="13">
        <v>5</v>
      </c>
      <c r="M26" s="6">
        <f t="shared" si="11"/>
        <v>10</v>
      </c>
      <c r="N26" s="13">
        <v>25</v>
      </c>
      <c r="O26" s="6">
        <f t="shared" si="12"/>
        <v>0</v>
      </c>
      <c r="P26" s="13">
        <v>55</v>
      </c>
      <c r="Q26" s="6">
        <f t="shared" si="13"/>
        <v>11</v>
      </c>
      <c r="R26" s="13">
        <v>75</v>
      </c>
      <c r="S26" s="6">
        <f t="shared" si="14"/>
        <v>0</v>
      </c>
      <c r="T26" s="8"/>
      <c r="U26" t="str">
        <f t="shared" si="1"/>
        <v>7-2</v>
      </c>
      <c r="V26">
        <f>IF(W26&gt;0,COUNTIF($W$14:W27,W26),"")</f>
        <v>2</v>
      </c>
      <c r="W26">
        <f t="shared" si="8"/>
        <v>7</v>
      </c>
      <c r="X26" s="108">
        <f t="shared" si="9"/>
        <v>0.30722222222222223</v>
      </c>
      <c r="Y26" s="8"/>
      <c r="Z26" t="str">
        <f t="shared" si="4"/>
        <v>22-1</v>
      </c>
      <c r="AA26">
        <f>IF(AB26&gt;0,COUNTIF($AB$14:AB27,AB26),"")</f>
        <v>1</v>
      </c>
      <c r="AB26">
        <f t="shared" si="5"/>
        <v>22</v>
      </c>
      <c r="AC26" s="108">
        <f t="shared" si="6"/>
        <v>0.32075231481481481</v>
      </c>
    </row>
    <row r="27" spans="1:31" ht="18" customHeight="1" x14ac:dyDescent="0.25">
      <c r="A27" s="151">
        <v>7</v>
      </c>
      <c r="B27" s="112">
        <v>11</v>
      </c>
      <c r="C27" s="112">
        <v>4</v>
      </c>
      <c r="D27" s="121">
        <v>0.30722222222222223</v>
      </c>
      <c r="E27" s="126">
        <f t="shared" si="10"/>
        <v>5.046296296296271E-3</v>
      </c>
      <c r="F27" s="112">
        <v>14</v>
      </c>
      <c r="G27" s="112">
        <v>4</v>
      </c>
      <c r="H27" s="121">
        <v>0.32579861111111114</v>
      </c>
      <c r="I27" s="126">
        <f t="shared" si="7"/>
        <v>5.0462962962963265E-3</v>
      </c>
      <c r="J27" s="151">
        <v>7</v>
      </c>
      <c r="K27" s="7"/>
      <c r="L27" s="13">
        <v>6</v>
      </c>
      <c r="M27" s="6">
        <f t="shared" si="11"/>
        <v>10</v>
      </c>
      <c r="N27" s="13">
        <v>26</v>
      </c>
      <c r="O27" s="6">
        <f t="shared" si="12"/>
        <v>0</v>
      </c>
      <c r="P27" s="13">
        <v>56</v>
      </c>
      <c r="Q27" s="6">
        <f t="shared" si="13"/>
        <v>10</v>
      </c>
      <c r="R27" s="13">
        <v>76</v>
      </c>
      <c r="S27" s="6">
        <f t="shared" si="14"/>
        <v>0</v>
      </c>
      <c r="T27" s="8"/>
      <c r="U27" t="str">
        <f t="shared" si="1"/>
        <v>1-2</v>
      </c>
      <c r="V27">
        <f>IF(W27&gt;0,COUNTIF($W$14:W28,W27),"")</f>
        <v>2</v>
      </c>
      <c r="W27">
        <f t="shared" si="8"/>
        <v>1</v>
      </c>
      <c r="X27" s="108">
        <f t="shared" si="9"/>
        <v>0.3122685185185185</v>
      </c>
      <c r="Y27" s="8"/>
      <c r="Z27" t="str">
        <f t="shared" si="4"/>
        <v>7-2</v>
      </c>
      <c r="AA27">
        <f>IF(AB27&gt;0,COUNTIF($AB$14:AB28,AB27),"")</f>
        <v>2</v>
      </c>
      <c r="AB27">
        <f t="shared" si="5"/>
        <v>7</v>
      </c>
      <c r="AC27" s="108">
        <f t="shared" si="6"/>
        <v>0.32579861111111114</v>
      </c>
    </row>
    <row r="28" spans="1:31" ht="18" customHeight="1" x14ac:dyDescent="0.25">
      <c r="A28" s="151">
        <v>1</v>
      </c>
      <c r="B28" s="112">
        <v>12</v>
      </c>
      <c r="C28" s="112">
        <v>5</v>
      </c>
      <c r="D28" s="121">
        <v>0.3122685185185185</v>
      </c>
      <c r="E28" s="126">
        <f t="shared" si="10"/>
        <v>5.046296296296271E-3</v>
      </c>
      <c r="F28" s="112">
        <v>15</v>
      </c>
      <c r="G28" s="112">
        <v>5</v>
      </c>
      <c r="H28" s="121">
        <v>0.33084490740740741</v>
      </c>
      <c r="I28" s="126">
        <f t="shared" si="7"/>
        <v>5.046296296296271E-3</v>
      </c>
      <c r="J28" s="151">
        <v>1</v>
      </c>
      <c r="K28" s="7"/>
      <c r="L28" s="13">
        <v>7</v>
      </c>
      <c r="M28" s="6">
        <f t="shared" si="11"/>
        <v>10</v>
      </c>
      <c r="N28" s="13">
        <v>27</v>
      </c>
      <c r="O28" s="6">
        <f t="shared" si="12"/>
        <v>0</v>
      </c>
      <c r="P28" s="13">
        <v>57</v>
      </c>
      <c r="Q28" s="6">
        <f t="shared" si="13"/>
        <v>0</v>
      </c>
      <c r="R28" s="13">
        <v>77</v>
      </c>
      <c r="S28" s="6">
        <f t="shared" si="14"/>
        <v>0</v>
      </c>
      <c r="T28" s="8"/>
      <c r="U28" t="str">
        <f t="shared" si="1"/>
        <v>2-2</v>
      </c>
      <c r="V28">
        <f>IF(W28&gt;0,COUNTIF($W$14:W29,W28),"")</f>
        <v>2</v>
      </c>
      <c r="W28">
        <f t="shared" si="8"/>
        <v>2</v>
      </c>
      <c r="X28" s="108">
        <f t="shared" si="9"/>
        <v>0.31731481481481483</v>
      </c>
      <c r="Y28" s="8"/>
      <c r="Z28" t="str">
        <f t="shared" si="4"/>
        <v>1-2</v>
      </c>
      <c r="AA28">
        <f>IF(AB28&gt;0,COUNTIF($AB$14:AB29,AB28),"")</f>
        <v>2</v>
      </c>
      <c r="AB28">
        <f t="shared" si="5"/>
        <v>1</v>
      </c>
      <c r="AC28" s="108">
        <f t="shared" si="6"/>
        <v>0.33084490740740741</v>
      </c>
    </row>
    <row r="29" spans="1:31" ht="18" customHeight="1" x14ac:dyDescent="0.25">
      <c r="A29" s="151">
        <v>2</v>
      </c>
      <c r="B29" s="112">
        <v>13</v>
      </c>
      <c r="C29" s="112">
        <v>6</v>
      </c>
      <c r="D29" s="121">
        <v>0.31731481481481483</v>
      </c>
      <c r="E29" s="126">
        <f t="shared" si="10"/>
        <v>5.0462962962963265E-3</v>
      </c>
      <c r="F29" s="112">
        <v>16</v>
      </c>
      <c r="G29" s="112">
        <v>6</v>
      </c>
      <c r="H29" s="121">
        <v>0.33589120370370368</v>
      </c>
      <c r="I29" s="126">
        <f t="shared" si="7"/>
        <v>5.046296296296271E-3</v>
      </c>
      <c r="J29" s="151">
        <v>2</v>
      </c>
      <c r="K29" s="7"/>
      <c r="L29" s="13">
        <v>8</v>
      </c>
      <c r="M29" s="6">
        <f t="shared" si="11"/>
        <v>0</v>
      </c>
      <c r="N29" s="13">
        <v>28</v>
      </c>
      <c r="O29" s="6">
        <f t="shared" si="12"/>
        <v>0</v>
      </c>
      <c r="P29" s="13">
        <v>58</v>
      </c>
      <c r="Q29" s="6">
        <f t="shared" si="13"/>
        <v>0</v>
      </c>
      <c r="R29" s="13">
        <v>78</v>
      </c>
      <c r="S29" s="6">
        <f t="shared" si="14"/>
        <v>0</v>
      </c>
      <c r="T29" s="8"/>
      <c r="U29" t="str">
        <f t="shared" si="1"/>
        <v>3-2</v>
      </c>
      <c r="V29">
        <f>IF(W29&gt;0,COUNTIF($W$14:W30,W29),"")</f>
        <v>2</v>
      </c>
      <c r="W29">
        <f t="shared" si="8"/>
        <v>3</v>
      </c>
      <c r="X29" s="108">
        <f t="shared" si="9"/>
        <v>0.3223611111111111</v>
      </c>
      <c r="Y29" s="8"/>
      <c r="Z29" t="str">
        <f t="shared" si="4"/>
        <v>2-2</v>
      </c>
      <c r="AA29">
        <f>IF(AB29&gt;0,COUNTIF($AB$14:AB30,AB29),"")</f>
        <v>2</v>
      </c>
      <c r="AB29">
        <f t="shared" si="5"/>
        <v>2</v>
      </c>
      <c r="AC29" s="108">
        <f t="shared" si="6"/>
        <v>0.33589120370370368</v>
      </c>
    </row>
    <row r="30" spans="1:31" ht="18" customHeight="1" x14ac:dyDescent="0.25">
      <c r="A30" s="151">
        <v>3</v>
      </c>
      <c r="B30" s="112">
        <v>14</v>
      </c>
      <c r="C30" s="112">
        <v>1</v>
      </c>
      <c r="D30" s="121">
        <v>0.3223611111111111</v>
      </c>
      <c r="E30" s="126">
        <f t="shared" si="10"/>
        <v>5.046296296296271E-3</v>
      </c>
      <c r="F30" s="112">
        <v>17</v>
      </c>
      <c r="G30" s="112">
        <v>1</v>
      </c>
      <c r="H30" s="121">
        <v>0.34093749999999995</v>
      </c>
      <c r="I30" s="126">
        <f t="shared" si="7"/>
        <v>5.046296296296271E-3</v>
      </c>
      <c r="J30" s="151">
        <v>3</v>
      </c>
      <c r="K30" s="7"/>
      <c r="L30" s="13">
        <v>9</v>
      </c>
      <c r="M30" s="6">
        <f t="shared" si="11"/>
        <v>0</v>
      </c>
      <c r="N30" s="13">
        <v>29</v>
      </c>
      <c r="O30" s="6">
        <f t="shared" si="12"/>
        <v>0</v>
      </c>
      <c r="P30" s="13">
        <v>59</v>
      </c>
      <c r="Q30" s="6">
        <f t="shared" si="13"/>
        <v>0</v>
      </c>
      <c r="R30" s="6">
        <v>79</v>
      </c>
      <c r="S30" s="6">
        <f t="shared" si="14"/>
        <v>0</v>
      </c>
      <c r="T30" s="8"/>
      <c r="U30" t="str">
        <f t="shared" si="1"/>
        <v>4-2</v>
      </c>
      <c r="V30">
        <f>IF(W30&gt;0,COUNTIF($W$14:W31,W30),"")</f>
        <v>2</v>
      </c>
      <c r="W30">
        <f t="shared" si="8"/>
        <v>4</v>
      </c>
      <c r="X30" s="108">
        <f t="shared" si="9"/>
        <v>0.32740740740740742</v>
      </c>
      <c r="Y30" s="8"/>
      <c r="Z30" t="str">
        <f t="shared" si="4"/>
        <v>3-2</v>
      </c>
      <c r="AA30">
        <f>IF(AB30&gt;0,COUNTIF($AB$14:AB31,AB30),"")</f>
        <v>2</v>
      </c>
      <c r="AB30">
        <f t="shared" si="5"/>
        <v>3</v>
      </c>
      <c r="AC30" s="108">
        <f t="shared" si="6"/>
        <v>0.34093749999999995</v>
      </c>
    </row>
    <row r="31" spans="1:31" ht="18" customHeight="1" x14ac:dyDescent="0.25">
      <c r="A31" s="151">
        <v>4</v>
      </c>
      <c r="B31" s="112">
        <v>15</v>
      </c>
      <c r="C31" s="112">
        <v>2</v>
      </c>
      <c r="D31" s="121">
        <v>0.32740740740740742</v>
      </c>
      <c r="E31" s="126">
        <f t="shared" si="10"/>
        <v>5.0462962962963265E-3</v>
      </c>
      <c r="F31" s="112">
        <v>18</v>
      </c>
      <c r="G31" s="112">
        <v>2</v>
      </c>
      <c r="H31" s="121">
        <v>0.34598379629629633</v>
      </c>
      <c r="I31" s="126">
        <f t="shared" si="7"/>
        <v>5.046296296296382E-3</v>
      </c>
      <c r="J31" s="151">
        <v>4</v>
      </c>
      <c r="K31" s="7"/>
      <c r="L31" s="23">
        <v>10</v>
      </c>
      <c r="M31" s="6">
        <f t="shared" si="11"/>
        <v>0</v>
      </c>
      <c r="N31" s="13"/>
      <c r="O31" s="6">
        <f t="shared" si="12"/>
        <v>0</v>
      </c>
      <c r="P31" s="13">
        <v>60</v>
      </c>
      <c r="Q31" s="6">
        <f t="shared" si="13"/>
        <v>0</v>
      </c>
      <c r="R31" s="183"/>
      <c r="S31" s="6">
        <f t="shared" si="14"/>
        <v>0</v>
      </c>
      <c r="T31" s="8"/>
      <c r="U31" t="str">
        <f t="shared" si="1"/>
        <v>5-2</v>
      </c>
      <c r="V31">
        <f>IF(W31&gt;0,COUNTIF($W$14:W32,W31),"")</f>
        <v>2</v>
      </c>
      <c r="W31">
        <f t="shared" si="8"/>
        <v>5</v>
      </c>
      <c r="X31" s="108">
        <f t="shared" si="9"/>
        <v>0.3324537037037037</v>
      </c>
      <c r="Y31" s="8"/>
      <c r="Z31" t="str">
        <f t="shared" si="4"/>
        <v>4-2</v>
      </c>
      <c r="AA31">
        <f>IF(AB31&gt;0,COUNTIF($AB$14:AB32,AB31),"")</f>
        <v>2</v>
      </c>
      <c r="AB31">
        <f t="shared" si="5"/>
        <v>4</v>
      </c>
      <c r="AC31" s="108">
        <f t="shared" si="6"/>
        <v>0.34598379629629633</v>
      </c>
    </row>
    <row r="32" spans="1:31" ht="18" customHeight="1" x14ac:dyDescent="0.25">
      <c r="A32" s="151">
        <v>5</v>
      </c>
      <c r="B32" s="112">
        <v>16</v>
      </c>
      <c r="C32" s="112">
        <v>3</v>
      </c>
      <c r="D32" s="121">
        <v>0.3324537037037037</v>
      </c>
      <c r="E32" s="126">
        <f t="shared" si="10"/>
        <v>5.046296296296271E-3</v>
      </c>
      <c r="F32" s="112">
        <v>19</v>
      </c>
      <c r="G32" s="112">
        <v>3</v>
      </c>
      <c r="H32" s="121">
        <v>0.3510300925925926</v>
      </c>
      <c r="I32" s="126">
        <f t="shared" si="7"/>
        <v>5.046296296296271E-3</v>
      </c>
      <c r="J32" s="151">
        <v>5</v>
      </c>
      <c r="K32" s="7"/>
      <c r="L32" s="11">
        <v>11</v>
      </c>
      <c r="M32" s="6">
        <f t="shared" si="11"/>
        <v>0</v>
      </c>
      <c r="N32" s="13"/>
      <c r="O32" s="6">
        <f t="shared" si="12"/>
        <v>0</v>
      </c>
      <c r="P32" s="23">
        <v>61</v>
      </c>
      <c r="Q32" s="6">
        <f t="shared" si="13"/>
        <v>0</v>
      </c>
      <c r="R32" s="183"/>
      <c r="S32" s="6">
        <f t="shared" si="14"/>
        <v>0</v>
      </c>
      <c r="T32" s="8"/>
      <c r="U32" t="str">
        <f t="shared" si="1"/>
        <v>6-3</v>
      </c>
      <c r="V32">
        <f>IF(W32&gt;0,COUNTIF($W$14:W33,W32),"")</f>
        <v>3</v>
      </c>
      <c r="W32">
        <f t="shared" si="8"/>
        <v>6</v>
      </c>
      <c r="X32" s="108">
        <f t="shared" si="9"/>
        <v>0.33749999999999997</v>
      </c>
      <c r="Y32" s="8"/>
      <c r="Z32" t="str">
        <f t="shared" si="4"/>
        <v>5-2</v>
      </c>
      <c r="AA32">
        <f>IF(AB32&gt;0,COUNTIF($AB$14:AB33,AB32),"")</f>
        <v>2</v>
      </c>
      <c r="AB32">
        <f t="shared" si="5"/>
        <v>5</v>
      </c>
      <c r="AC32" s="108">
        <f t="shared" si="6"/>
        <v>0.3510300925925926</v>
      </c>
    </row>
    <row r="33" spans="1:29" ht="18" customHeight="1" x14ac:dyDescent="0.25">
      <c r="A33" s="151">
        <v>6</v>
      </c>
      <c r="B33" s="112">
        <v>17</v>
      </c>
      <c r="C33" s="112">
        <v>7</v>
      </c>
      <c r="D33" s="121">
        <v>0.33749999999999997</v>
      </c>
      <c r="E33" s="126">
        <f t="shared" si="10"/>
        <v>5.046296296296271E-3</v>
      </c>
      <c r="F33" s="112">
        <v>20</v>
      </c>
      <c r="G33" s="132">
        <v>7</v>
      </c>
      <c r="H33" s="128">
        <v>0.35607638888888887</v>
      </c>
      <c r="I33" s="133">
        <f t="shared" si="7"/>
        <v>5.046296296296271E-3</v>
      </c>
      <c r="J33" s="151">
        <v>6</v>
      </c>
      <c r="K33" s="7"/>
      <c r="L33" s="183">
        <v>40</v>
      </c>
      <c r="M33" s="6">
        <f t="shared" si="11"/>
        <v>0</v>
      </c>
      <c r="N33" s="1"/>
      <c r="O33" s="6">
        <f t="shared" si="12"/>
        <v>0</v>
      </c>
      <c r="P33" s="11"/>
      <c r="Q33" s="6">
        <f t="shared" si="13"/>
        <v>0</v>
      </c>
      <c r="R33" s="1"/>
      <c r="S33" s="6">
        <f t="shared" si="14"/>
        <v>0</v>
      </c>
      <c r="T33" s="8"/>
      <c r="U33" t="str">
        <f t="shared" si="1"/>
        <v>21-2</v>
      </c>
      <c r="V33">
        <f>IF(W33&gt;0,COUNTIF($W$14:W34,W33),"")</f>
        <v>2</v>
      </c>
      <c r="W33">
        <f t="shared" si="8"/>
        <v>21</v>
      </c>
      <c r="X33" s="108">
        <f t="shared" si="9"/>
        <v>0.34254629629629635</v>
      </c>
      <c r="Y33" s="8"/>
      <c r="Z33" t="str">
        <f t="shared" si="4"/>
        <v>6-3</v>
      </c>
      <c r="AA33">
        <f>IF(AB33&gt;0,COUNTIF($AB$14:AB34,AB33),"")</f>
        <v>3</v>
      </c>
      <c r="AB33">
        <f t="shared" si="5"/>
        <v>6</v>
      </c>
      <c r="AC33" s="108">
        <f t="shared" si="6"/>
        <v>0.35607638888888887</v>
      </c>
    </row>
    <row r="34" spans="1:29" ht="18" customHeight="1" x14ac:dyDescent="0.25">
      <c r="A34" s="151">
        <v>21</v>
      </c>
      <c r="B34" s="112">
        <v>18</v>
      </c>
      <c r="C34" s="112">
        <v>4</v>
      </c>
      <c r="D34" s="121">
        <v>0.34254629629629635</v>
      </c>
      <c r="E34" s="126">
        <f t="shared" si="10"/>
        <v>5.046296296296382E-3</v>
      </c>
      <c r="F34" s="112">
        <v>21</v>
      </c>
      <c r="G34" s="112">
        <v>4</v>
      </c>
      <c r="H34" s="121">
        <v>0.3611226851851852</v>
      </c>
      <c r="I34" s="126">
        <f t="shared" si="7"/>
        <v>5.0462962962963265E-3</v>
      </c>
      <c r="J34" s="151">
        <v>21</v>
      </c>
      <c r="K34" s="7"/>
      <c r="L34" s="4"/>
      <c r="O34" s="122">
        <f>COUNTIF($A$25:$A$136,N34)+COUNTIF($J$16:$J$136,N34)</f>
        <v>0</v>
      </c>
      <c r="Q34" s="232">
        <f t="shared" si="13"/>
        <v>0</v>
      </c>
      <c r="S34" s="232">
        <f t="shared" si="14"/>
        <v>0</v>
      </c>
      <c r="T34" s="8"/>
      <c r="U34" t="str">
        <f t="shared" si="1"/>
        <v>22-2</v>
      </c>
      <c r="V34">
        <f>IF(W34&gt;0,COUNTIF($W$14:W35,W34),"")</f>
        <v>2</v>
      </c>
      <c r="W34">
        <f t="shared" si="8"/>
        <v>22</v>
      </c>
      <c r="X34" s="108">
        <f t="shared" si="9"/>
        <v>0.34759259259259262</v>
      </c>
      <c r="Y34" s="8"/>
      <c r="Z34" t="str">
        <f t="shared" si="4"/>
        <v>21-2</v>
      </c>
      <c r="AA34">
        <f>IF(AB34&gt;0,COUNTIF($AB$14:AB35,AB34),"")</f>
        <v>2</v>
      </c>
      <c r="AB34">
        <f t="shared" si="5"/>
        <v>21</v>
      </c>
      <c r="AC34" s="108">
        <f t="shared" si="6"/>
        <v>0.3611226851851852</v>
      </c>
    </row>
    <row r="35" spans="1:29" ht="18" customHeight="1" x14ac:dyDescent="0.25">
      <c r="A35" s="151">
        <v>22</v>
      </c>
      <c r="B35" s="112">
        <v>19</v>
      </c>
      <c r="C35" s="112">
        <v>5</v>
      </c>
      <c r="D35" s="121">
        <v>0.34759259259259262</v>
      </c>
      <c r="E35" s="126">
        <f t="shared" si="10"/>
        <v>5.046296296296271E-3</v>
      </c>
      <c r="F35" s="112">
        <v>22</v>
      </c>
      <c r="G35" s="112">
        <v>5</v>
      </c>
      <c r="H35" s="121">
        <v>0.36616898148148147</v>
      </c>
      <c r="I35" s="126">
        <f t="shared" si="7"/>
        <v>5.046296296296271E-3</v>
      </c>
      <c r="J35" s="151">
        <v>22</v>
      </c>
      <c r="K35" s="7"/>
      <c r="M35" s="193"/>
      <c r="N35" s="10"/>
      <c r="O35" s="10">
        <f>COUNTIF($A$25:$A$136,N35)+COUNTIF($J$16:$J$136,N35)</f>
        <v>0</v>
      </c>
      <c r="P35" s="14"/>
      <c r="Q35" s="10">
        <f t="shared" si="13"/>
        <v>0</v>
      </c>
      <c r="R35" s="10"/>
      <c r="S35" s="10">
        <f t="shared" si="14"/>
        <v>0</v>
      </c>
      <c r="T35" s="8"/>
      <c r="U35" t="str">
        <f t="shared" si="1"/>
        <v>7-3</v>
      </c>
      <c r="V35">
        <f>IF(W35&gt;0,COUNTIF($W$14:W36,W35),"")</f>
        <v>3</v>
      </c>
      <c r="W35">
        <f t="shared" si="8"/>
        <v>7</v>
      </c>
      <c r="X35" s="108">
        <f t="shared" si="9"/>
        <v>0.35263888888888889</v>
      </c>
      <c r="Y35" s="8"/>
      <c r="Z35" t="str">
        <f t="shared" si="4"/>
        <v>22-2</v>
      </c>
      <c r="AA35">
        <f>IF(AB35&gt;0,COUNTIF($AB$14:AB36,AB35),"")</f>
        <v>2</v>
      </c>
      <c r="AB35">
        <f t="shared" si="5"/>
        <v>22</v>
      </c>
      <c r="AC35" s="108">
        <f t="shared" si="6"/>
        <v>0.36616898148148147</v>
      </c>
    </row>
    <row r="36" spans="1:29" ht="18" customHeight="1" x14ac:dyDescent="0.25">
      <c r="A36" s="151">
        <v>7</v>
      </c>
      <c r="B36" s="112">
        <v>20</v>
      </c>
      <c r="C36" s="112">
        <v>6</v>
      </c>
      <c r="D36" s="121">
        <v>0.35263888888888889</v>
      </c>
      <c r="E36" s="126">
        <f t="shared" si="10"/>
        <v>5.046296296296271E-3</v>
      </c>
      <c r="F36" s="112">
        <v>23</v>
      </c>
      <c r="G36" s="132">
        <v>6</v>
      </c>
      <c r="H36" s="128">
        <v>0.37121527777777774</v>
      </c>
      <c r="I36" s="133">
        <f t="shared" si="7"/>
        <v>5.046296296296271E-3</v>
      </c>
      <c r="J36" s="151">
        <v>7</v>
      </c>
      <c r="K36" s="7"/>
      <c r="L36" s="276" t="s">
        <v>91</v>
      </c>
      <c r="M36" s="276"/>
      <c r="N36" s="276"/>
      <c r="O36" s="276"/>
      <c r="P36" s="276"/>
      <c r="Q36" s="276"/>
      <c r="R36" s="276"/>
      <c r="S36" s="41"/>
      <c r="T36" s="8"/>
      <c r="U36" t="str">
        <f t="shared" si="1"/>
        <v>1-3</v>
      </c>
      <c r="V36">
        <f>IF(W36&gt;0,COUNTIF($W$14:W37,W36),"")</f>
        <v>3</v>
      </c>
      <c r="W36">
        <f t="shared" si="8"/>
        <v>1</v>
      </c>
      <c r="X36" s="108">
        <f t="shared" si="9"/>
        <v>0.35768518518518522</v>
      </c>
      <c r="Y36" s="8"/>
      <c r="Z36" t="str">
        <f t="shared" si="4"/>
        <v>7-3</v>
      </c>
      <c r="AA36">
        <f>IF(AB36&gt;0,COUNTIF($AB$14:AB37,AB36),"")</f>
        <v>3</v>
      </c>
      <c r="AB36">
        <f t="shared" si="5"/>
        <v>7</v>
      </c>
      <c r="AC36" s="108">
        <f t="shared" si="6"/>
        <v>0.37121527777777774</v>
      </c>
    </row>
    <row r="37" spans="1:29" ht="18" customHeight="1" thickBot="1" x14ac:dyDescent="0.3">
      <c r="A37" s="151">
        <v>1</v>
      </c>
      <c r="B37" s="112">
        <v>21</v>
      </c>
      <c r="C37" s="112">
        <v>1</v>
      </c>
      <c r="D37" s="121">
        <v>0.35768518518518522</v>
      </c>
      <c r="E37" s="126">
        <f t="shared" si="10"/>
        <v>5.0462962962963265E-3</v>
      </c>
      <c r="F37" s="112">
        <v>24</v>
      </c>
      <c r="G37" s="112">
        <v>1</v>
      </c>
      <c r="H37" s="121">
        <v>0.37626157407407407</v>
      </c>
      <c r="I37" s="126">
        <f t="shared" si="7"/>
        <v>5.0462962962963265E-3</v>
      </c>
      <c r="J37" s="151">
        <v>1</v>
      </c>
      <c r="K37" s="7"/>
      <c r="S37" s="8"/>
      <c r="T37" s="8"/>
      <c r="U37" t="str">
        <f t="shared" si="1"/>
        <v>2-3</v>
      </c>
      <c r="V37">
        <f>IF(W37&gt;0,COUNTIF($W$14:W38,W37),"")</f>
        <v>3</v>
      </c>
      <c r="W37">
        <f t="shared" si="8"/>
        <v>2</v>
      </c>
      <c r="X37" s="108">
        <f t="shared" si="9"/>
        <v>0.36475694444444445</v>
      </c>
      <c r="Y37" s="8"/>
      <c r="Z37" t="str">
        <f t="shared" si="4"/>
        <v>1-3</v>
      </c>
      <c r="AA37">
        <f>IF(AB37&gt;0,COUNTIF($AB$14:AB38,AB37),"")</f>
        <v>3</v>
      </c>
      <c r="AB37">
        <f t="shared" si="5"/>
        <v>1</v>
      </c>
      <c r="AC37" s="108">
        <f t="shared" si="6"/>
        <v>0.37626157407407407</v>
      </c>
    </row>
    <row r="38" spans="1:29" ht="18" customHeight="1" x14ac:dyDescent="0.25">
      <c r="A38" s="151">
        <v>2</v>
      </c>
      <c r="B38" s="112">
        <v>22</v>
      </c>
      <c r="C38" s="112">
        <v>2</v>
      </c>
      <c r="D38" s="121">
        <v>0.36475694444444445</v>
      </c>
      <c r="E38" s="126">
        <f t="shared" si="10"/>
        <v>7.071759259259236E-3</v>
      </c>
      <c r="F38" s="112">
        <v>25</v>
      </c>
      <c r="G38" s="112">
        <v>2</v>
      </c>
      <c r="H38" s="121">
        <v>0.3833333333333333</v>
      </c>
      <c r="I38" s="126">
        <f t="shared" si="7"/>
        <v>7.071759259259236E-3</v>
      </c>
      <c r="J38" s="151">
        <v>2</v>
      </c>
      <c r="K38" s="7"/>
      <c r="L38" s="194"/>
      <c r="M38" s="195"/>
      <c r="N38" s="195"/>
      <c r="O38" s="195" t="s">
        <v>18</v>
      </c>
      <c r="P38" s="195" t="s">
        <v>17</v>
      </c>
      <c r="Q38" s="195"/>
      <c r="R38" s="196" t="s">
        <v>5</v>
      </c>
      <c r="S38" s="8"/>
      <c r="T38" s="8"/>
      <c r="U38" t="str">
        <f t="shared" si="1"/>
        <v>3-3</v>
      </c>
      <c r="V38">
        <f>IF(W38&gt;0,COUNTIF($W$14:W39,W38),"")</f>
        <v>3</v>
      </c>
      <c r="W38">
        <f t="shared" si="8"/>
        <v>3</v>
      </c>
      <c r="X38" s="108">
        <f t="shared" si="9"/>
        <v>0.37182870370370374</v>
      </c>
      <c r="Y38" s="8"/>
      <c r="Z38" t="str">
        <f t="shared" si="4"/>
        <v>2-3</v>
      </c>
      <c r="AA38">
        <f>IF(AB38&gt;0,COUNTIF($AB$14:AB39,AB38),"")</f>
        <v>3</v>
      </c>
      <c r="AB38">
        <f t="shared" si="5"/>
        <v>2</v>
      </c>
      <c r="AC38" s="108">
        <f t="shared" si="6"/>
        <v>0.3833333333333333</v>
      </c>
    </row>
    <row r="39" spans="1:29" ht="18" customHeight="1" x14ac:dyDescent="0.25">
      <c r="A39" s="151">
        <v>3</v>
      </c>
      <c r="B39" s="112">
        <v>23</v>
      </c>
      <c r="C39" s="112">
        <v>3</v>
      </c>
      <c r="D39" s="121">
        <v>0.37182870370370374</v>
      </c>
      <c r="E39" s="126">
        <f t="shared" si="10"/>
        <v>7.0717592592592915E-3</v>
      </c>
      <c r="F39" s="112">
        <v>26</v>
      </c>
      <c r="G39" s="112">
        <v>3</v>
      </c>
      <c r="H39" s="121">
        <v>0.3904050925925926</v>
      </c>
      <c r="I39" s="126">
        <f>H39-H38</f>
        <v>7.0717592592592915E-3</v>
      </c>
      <c r="J39" s="151">
        <v>3</v>
      </c>
      <c r="K39" s="7"/>
      <c r="L39" s="197">
        <v>0.25</v>
      </c>
      <c r="M39" s="198">
        <v>0.29165509259259259</v>
      </c>
      <c r="N39" s="198"/>
      <c r="O39" s="192">
        <f t="shared" ref="O39:O57" si="15">COUNTIFS($D$14:$D$153,"&gt;="&amp;L39,$D$14:$D$153,"&lt;="&amp;M39)</f>
        <v>8</v>
      </c>
      <c r="P39" s="192">
        <f t="shared" ref="P39:P57" si="16">COUNTIFS($H$14:$H$149,"&gt;="&amp;L39,$H$14:$H$149,"&lt;="&amp;M39)</f>
        <v>7</v>
      </c>
      <c r="Q39" s="192"/>
      <c r="R39" s="191">
        <f>SUM(O39:P39)</f>
        <v>15</v>
      </c>
      <c r="S39" s="8"/>
      <c r="T39" s="8"/>
      <c r="U39" t="str">
        <f t="shared" si="1"/>
        <v>4-3</v>
      </c>
      <c r="V39">
        <f>IF(W39&gt;0,COUNTIF($W$14:W40,W39),"")</f>
        <v>3</v>
      </c>
      <c r="W39">
        <f t="shared" si="8"/>
        <v>4</v>
      </c>
      <c r="X39" s="108">
        <f t="shared" si="9"/>
        <v>0.37890046296296293</v>
      </c>
      <c r="Y39" s="8"/>
      <c r="Z39" t="str">
        <f t="shared" si="4"/>
        <v>3-3</v>
      </c>
      <c r="AA39">
        <f>IF(AB39&gt;0,COUNTIF($AB$14:AB40,AB39),"")</f>
        <v>3</v>
      </c>
      <c r="AB39">
        <f t="shared" si="5"/>
        <v>3</v>
      </c>
      <c r="AC39" s="108">
        <f t="shared" si="6"/>
        <v>0.3904050925925926</v>
      </c>
    </row>
    <row r="40" spans="1:29" ht="18" customHeight="1" x14ac:dyDescent="0.25">
      <c r="A40" s="151">
        <v>4</v>
      </c>
      <c r="B40" s="112">
        <v>24</v>
      </c>
      <c r="C40" s="112">
        <v>4</v>
      </c>
      <c r="D40" s="121">
        <v>0.37890046296296293</v>
      </c>
      <c r="E40" s="126">
        <f t="shared" si="10"/>
        <v>7.0717592592591805E-3</v>
      </c>
      <c r="F40" s="112">
        <v>27</v>
      </c>
      <c r="G40" s="112">
        <v>4</v>
      </c>
      <c r="H40" s="121">
        <v>0.39747685185185189</v>
      </c>
      <c r="I40" s="126">
        <f t="shared" si="7"/>
        <v>7.0717592592592915E-3</v>
      </c>
      <c r="J40" s="151">
        <v>4</v>
      </c>
      <c r="K40" s="7"/>
      <c r="L40" s="197">
        <v>0.29166666666666702</v>
      </c>
      <c r="M40" s="198">
        <v>0.33332175925925928</v>
      </c>
      <c r="N40" s="198"/>
      <c r="O40" s="192">
        <f t="shared" si="15"/>
        <v>8</v>
      </c>
      <c r="P40" s="192">
        <f t="shared" si="16"/>
        <v>8</v>
      </c>
      <c r="Q40" s="192"/>
      <c r="R40" s="191">
        <f t="shared" ref="R40:R57" si="17">SUM(O40:P40)</f>
        <v>16</v>
      </c>
      <c r="S40" s="8"/>
      <c r="T40" s="8"/>
      <c r="U40" t="str">
        <f t="shared" si="1"/>
        <v>5-3</v>
      </c>
      <c r="V40">
        <f>IF(W40&gt;0,COUNTIF($W$14:W41,W40),"")</f>
        <v>3</v>
      </c>
      <c r="W40">
        <f t="shared" si="8"/>
        <v>5</v>
      </c>
      <c r="X40" s="108">
        <f t="shared" si="9"/>
        <v>0.38597222222222222</v>
      </c>
      <c r="Y40" s="8"/>
      <c r="Z40" t="str">
        <f t="shared" si="4"/>
        <v>4-3</v>
      </c>
      <c r="AA40">
        <f>IF(AB40&gt;0,COUNTIF($AB$14:AB41,AB40),"")</f>
        <v>3</v>
      </c>
      <c r="AB40">
        <f t="shared" si="5"/>
        <v>4</v>
      </c>
      <c r="AC40" s="108">
        <f t="shared" si="6"/>
        <v>0.39747685185185189</v>
      </c>
    </row>
    <row r="41" spans="1:29" ht="18" customHeight="1" x14ac:dyDescent="0.25">
      <c r="A41" s="151">
        <v>5</v>
      </c>
      <c r="B41" s="112">
        <v>25</v>
      </c>
      <c r="C41" s="112">
        <v>5</v>
      </c>
      <c r="D41" s="121">
        <v>0.38597222222222222</v>
      </c>
      <c r="E41" s="126">
        <f t="shared" si="10"/>
        <v>7.0717592592592915E-3</v>
      </c>
      <c r="F41" s="112">
        <v>28</v>
      </c>
      <c r="G41" s="112">
        <v>5</v>
      </c>
      <c r="H41" s="121">
        <v>0.40454861111111112</v>
      </c>
      <c r="I41" s="126">
        <f t="shared" si="7"/>
        <v>7.071759259259236E-3</v>
      </c>
      <c r="J41" s="151">
        <v>5</v>
      </c>
      <c r="K41" s="7"/>
      <c r="L41" s="197">
        <v>0.33333333333333298</v>
      </c>
      <c r="M41" s="198">
        <v>0.37498842592592596</v>
      </c>
      <c r="N41" s="198"/>
      <c r="O41" s="192">
        <f t="shared" si="15"/>
        <v>7</v>
      </c>
      <c r="P41" s="192">
        <f t="shared" si="16"/>
        <v>8</v>
      </c>
      <c r="Q41" s="192"/>
      <c r="R41" s="191">
        <f t="shared" si="17"/>
        <v>15</v>
      </c>
      <c r="S41" s="8"/>
      <c r="T41" s="8"/>
      <c r="U41" t="str">
        <f t="shared" si="1"/>
        <v>6-4</v>
      </c>
      <c r="V41">
        <f>IF(W41&gt;0,COUNTIF($W$14:W42,W41),"")</f>
        <v>4</v>
      </c>
      <c r="W41">
        <f t="shared" si="8"/>
        <v>6</v>
      </c>
      <c r="X41" s="108">
        <f t="shared" si="9"/>
        <v>0.39304398148148145</v>
      </c>
      <c r="Y41" s="8"/>
      <c r="Z41" t="str">
        <f t="shared" si="4"/>
        <v>5-3</v>
      </c>
      <c r="AA41">
        <f>IF(AB41&gt;0,COUNTIF($AB$14:AB42,AB41),"")</f>
        <v>3</v>
      </c>
      <c r="AB41">
        <f t="shared" si="5"/>
        <v>5</v>
      </c>
      <c r="AC41" s="108">
        <f t="shared" si="6"/>
        <v>0.40454861111111112</v>
      </c>
    </row>
    <row r="42" spans="1:29" ht="18" customHeight="1" x14ac:dyDescent="0.25">
      <c r="A42" s="151">
        <v>6</v>
      </c>
      <c r="B42" s="112">
        <v>26</v>
      </c>
      <c r="C42" s="112">
        <v>1</v>
      </c>
      <c r="D42" s="121">
        <v>0.39304398148148145</v>
      </c>
      <c r="E42" s="126">
        <f t="shared" si="10"/>
        <v>7.071759259259236E-3</v>
      </c>
      <c r="F42" s="112">
        <v>29</v>
      </c>
      <c r="G42" s="112">
        <v>1</v>
      </c>
      <c r="H42" s="121">
        <v>0.41162037037037041</v>
      </c>
      <c r="I42" s="126">
        <f t="shared" si="7"/>
        <v>7.0717592592592915E-3</v>
      </c>
      <c r="J42" s="151">
        <v>6</v>
      </c>
      <c r="K42" s="7"/>
      <c r="L42" s="197">
        <v>0.375</v>
      </c>
      <c r="M42" s="198">
        <v>0.41665509259259265</v>
      </c>
      <c r="N42" s="198"/>
      <c r="O42" s="192">
        <f t="shared" si="15"/>
        <v>6</v>
      </c>
      <c r="P42" s="192">
        <f t="shared" si="16"/>
        <v>6</v>
      </c>
      <c r="Q42" s="192"/>
      <c r="R42" s="191">
        <f t="shared" si="17"/>
        <v>12</v>
      </c>
      <c r="S42" s="8"/>
      <c r="T42" s="8"/>
      <c r="U42" t="str">
        <f t="shared" si="1"/>
        <v>21-3</v>
      </c>
      <c r="V42">
        <f>IF(W42&gt;0,COUNTIF($W$14:W43,W42),"")</f>
        <v>3</v>
      </c>
      <c r="W42">
        <f t="shared" si="8"/>
        <v>21</v>
      </c>
      <c r="X42" s="108">
        <f t="shared" si="9"/>
        <v>0.40011574074074074</v>
      </c>
      <c r="Y42" s="8"/>
      <c r="Z42" t="str">
        <f t="shared" si="4"/>
        <v>6-4</v>
      </c>
      <c r="AA42">
        <f>IF(AB42&gt;0,COUNTIF($AB$14:AB43,AB42),"")</f>
        <v>4</v>
      </c>
      <c r="AB42">
        <f t="shared" si="5"/>
        <v>6</v>
      </c>
      <c r="AC42" s="108">
        <f t="shared" si="6"/>
        <v>0.41162037037037041</v>
      </c>
    </row>
    <row r="43" spans="1:29" ht="18" customHeight="1" x14ac:dyDescent="0.25">
      <c r="A43" s="151">
        <v>21</v>
      </c>
      <c r="B43" s="112">
        <v>27</v>
      </c>
      <c r="C43" s="112">
        <v>2</v>
      </c>
      <c r="D43" s="121">
        <v>0.40011574074074074</v>
      </c>
      <c r="E43" s="126">
        <f t="shared" si="10"/>
        <v>7.0717592592592915E-3</v>
      </c>
      <c r="F43" s="112">
        <v>30</v>
      </c>
      <c r="G43" s="112">
        <v>2</v>
      </c>
      <c r="H43" s="121">
        <v>0.41869212962962959</v>
      </c>
      <c r="I43" s="126">
        <f t="shared" si="7"/>
        <v>7.0717592592591805E-3</v>
      </c>
      <c r="J43" s="151">
        <v>21</v>
      </c>
      <c r="K43" s="7"/>
      <c r="L43" s="197">
        <v>0.41666666666666702</v>
      </c>
      <c r="M43" s="198">
        <v>0.45832175925925928</v>
      </c>
      <c r="N43" s="198"/>
      <c r="O43" s="192">
        <f t="shared" si="15"/>
        <v>6</v>
      </c>
      <c r="P43" s="192">
        <f t="shared" si="16"/>
        <v>6</v>
      </c>
      <c r="Q43" s="192"/>
      <c r="R43" s="191">
        <f t="shared" si="17"/>
        <v>12</v>
      </c>
      <c r="T43" s="8"/>
      <c r="U43" t="str">
        <f t="shared" si="1"/>
        <v>22-3</v>
      </c>
      <c r="V43">
        <f>IF(W43&gt;0,COUNTIF($W$14:W44,W43),"")</f>
        <v>3</v>
      </c>
      <c r="W43">
        <f t="shared" si="8"/>
        <v>22</v>
      </c>
      <c r="X43" s="108">
        <f t="shared" si="9"/>
        <v>0.40718750000000004</v>
      </c>
      <c r="Y43" s="8"/>
      <c r="Z43" t="str">
        <f t="shared" si="4"/>
        <v>21-3</v>
      </c>
      <c r="AA43">
        <f>IF(AB43&gt;0,COUNTIF($AB$14:AB44,AB43),"")</f>
        <v>3</v>
      </c>
      <c r="AB43">
        <f t="shared" si="5"/>
        <v>21</v>
      </c>
      <c r="AC43" s="108">
        <f t="shared" si="6"/>
        <v>0.41869212962962959</v>
      </c>
    </row>
    <row r="44" spans="1:29" ht="18" customHeight="1" x14ac:dyDescent="0.25">
      <c r="A44" s="151">
        <v>22</v>
      </c>
      <c r="B44" s="112">
        <v>28</v>
      </c>
      <c r="C44" s="112">
        <v>3</v>
      </c>
      <c r="D44" s="121">
        <v>0.40718750000000004</v>
      </c>
      <c r="E44" s="126">
        <f t="shared" si="10"/>
        <v>7.0717592592592915E-3</v>
      </c>
      <c r="F44" s="112">
        <v>31</v>
      </c>
      <c r="G44" s="112">
        <v>3</v>
      </c>
      <c r="H44" s="121">
        <v>0.42576388888888889</v>
      </c>
      <c r="I44" s="126">
        <f t="shared" si="7"/>
        <v>7.0717592592592915E-3</v>
      </c>
      <c r="J44" s="151">
        <v>22</v>
      </c>
      <c r="K44" s="7"/>
      <c r="L44" s="197">
        <v>0.45833333333333298</v>
      </c>
      <c r="M44" s="198">
        <v>0.49998842592592596</v>
      </c>
      <c r="N44" s="198"/>
      <c r="O44" s="192">
        <f t="shared" si="15"/>
        <v>6</v>
      </c>
      <c r="P44" s="192">
        <f t="shared" si="16"/>
        <v>6</v>
      </c>
      <c r="Q44" s="192"/>
      <c r="R44" s="191">
        <f t="shared" si="17"/>
        <v>12</v>
      </c>
      <c r="T44" s="8"/>
      <c r="U44" t="str">
        <f t="shared" si="1"/>
        <v>7-4</v>
      </c>
      <c r="V44">
        <f>IF(W44&gt;0,COUNTIF($W$14:W45,W44),"")</f>
        <v>4</v>
      </c>
      <c r="W44">
        <f t="shared" si="8"/>
        <v>7</v>
      </c>
      <c r="X44" s="108">
        <f t="shared" si="9"/>
        <v>0.41425925925925927</v>
      </c>
      <c r="Y44" s="8"/>
      <c r="Z44" t="str">
        <f t="shared" si="4"/>
        <v>22-3</v>
      </c>
      <c r="AA44">
        <f>IF(AB44&gt;0,COUNTIF($AB$14:AB45,AB44),"")</f>
        <v>3</v>
      </c>
      <c r="AB44">
        <f t="shared" si="5"/>
        <v>22</v>
      </c>
      <c r="AC44" s="108">
        <f t="shared" si="6"/>
        <v>0.42576388888888889</v>
      </c>
    </row>
    <row r="45" spans="1:29" ht="18" customHeight="1" x14ac:dyDescent="0.25">
      <c r="A45" s="151">
        <v>7</v>
      </c>
      <c r="B45" s="112">
        <v>29</v>
      </c>
      <c r="C45" s="112">
        <v>4</v>
      </c>
      <c r="D45" s="121">
        <v>0.41425925925925927</v>
      </c>
      <c r="E45" s="126">
        <f t="shared" si="10"/>
        <v>7.071759259259236E-3</v>
      </c>
      <c r="F45" s="112">
        <v>32</v>
      </c>
      <c r="G45" s="112">
        <v>4</v>
      </c>
      <c r="H45" s="121">
        <v>0.43283564814814812</v>
      </c>
      <c r="I45" s="126">
        <f t="shared" si="7"/>
        <v>7.071759259259236E-3</v>
      </c>
      <c r="J45" s="151">
        <v>7</v>
      </c>
      <c r="K45" s="7"/>
      <c r="L45" s="197">
        <v>0.5</v>
      </c>
      <c r="M45" s="198">
        <v>0.54165509259259259</v>
      </c>
      <c r="N45" s="198"/>
      <c r="O45" s="192">
        <f t="shared" si="15"/>
        <v>6</v>
      </c>
      <c r="P45" s="192">
        <f t="shared" si="16"/>
        <v>6</v>
      </c>
      <c r="Q45" s="192"/>
      <c r="R45" s="191">
        <f t="shared" si="17"/>
        <v>12</v>
      </c>
      <c r="T45" s="8"/>
      <c r="U45" t="str">
        <f t="shared" si="1"/>
        <v>1-4</v>
      </c>
      <c r="V45">
        <f>IF(W45&gt;0,COUNTIF($W$14:W46,W45),"")</f>
        <v>4</v>
      </c>
      <c r="W45">
        <f t="shared" si="8"/>
        <v>1</v>
      </c>
      <c r="X45" s="108">
        <f t="shared" si="9"/>
        <v>0.42133101851851856</v>
      </c>
      <c r="Y45" s="8"/>
      <c r="Z45" t="str">
        <f t="shared" si="4"/>
        <v>7-4</v>
      </c>
      <c r="AA45">
        <f>IF(AB45&gt;0,COUNTIF($AB$14:AB46,AB45),"")</f>
        <v>4</v>
      </c>
      <c r="AB45">
        <f t="shared" si="5"/>
        <v>7</v>
      </c>
      <c r="AC45" s="108">
        <f t="shared" si="6"/>
        <v>0.43283564814814812</v>
      </c>
    </row>
    <row r="46" spans="1:29" ht="18" customHeight="1" x14ac:dyDescent="0.25">
      <c r="A46" s="151">
        <v>1</v>
      </c>
      <c r="B46" s="112">
        <v>30</v>
      </c>
      <c r="C46" s="112">
        <v>5</v>
      </c>
      <c r="D46" s="121">
        <v>0.42133101851851856</v>
      </c>
      <c r="E46" s="126">
        <f t="shared" si="10"/>
        <v>7.0717592592592915E-3</v>
      </c>
      <c r="F46" s="112">
        <v>33</v>
      </c>
      <c r="G46" s="112">
        <v>5</v>
      </c>
      <c r="H46" s="121">
        <v>0.43990740740740741</v>
      </c>
      <c r="I46" s="126">
        <f t="shared" si="7"/>
        <v>7.0717592592592915E-3</v>
      </c>
      <c r="J46" s="151">
        <v>1</v>
      </c>
      <c r="K46" s="7"/>
      <c r="L46" s="197">
        <v>0.54166666666666696</v>
      </c>
      <c r="M46" s="198">
        <v>0.58332175925925933</v>
      </c>
      <c r="N46" s="198"/>
      <c r="O46" s="192">
        <f t="shared" si="15"/>
        <v>5</v>
      </c>
      <c r="P46" s="192">
        <f t="shared" si="16"/>
        <v>6</v>
      </c>
      <c r="Q46" s="192"/>
      <c r="R46" s="191">
        <f t="shared" si="17"/>
        <v>11</v>
      </c>
      <c r="T46" s="8"/>
      <c r="U46" t="str">
        <f t="shared" si="1"/>
        <v>2-4</v>
      </c>
      <c r="V46">
        <f>IF(W46&gt;0,COUNTIF($W$14:W47,W46),"")</f>
        <v>4</v>
      </c>
      <c r="W46">
        <f t="shared" si="8"/>
        <v>2</v>
      </c>
      <c r="X46" s="108">
        <f t="shared" si="9"/>
        <v>0.42840277777777774</v>
      </c>
      <c r="Y46" s="8"/>
      <c r="Z46" t="str">
        <f t="shared" si="4"/>
        <v>1-4</v>
      </c>
      <c r="AA46">
        <f>IF(AB46&gt;0,COUNTIF($AB$14:AB47,AB46),"")</f>
        <v>4</v>
      </c>
      <c r="AB46">
        <f t="shared" si="5"/>
        <v>1</v>
      </c>
      <c r="AC46" s="108">
        <f t="shared" si="6"/>
        <v>0.43990740740740741</v>
      </c>
    </row>
    <row r="47" spans="1:29" ht="18" customHeight="1" x14ac:dyDescent="0.25">
      <c r="A47" s="151">
        <v>2</v>
      </c>
      <c r="B47" s="112">
        <v>31</v>
      </c>
      <c r="C47" s="112">
        <v>1</v>
      </c>
      <c r="D47" s="121">
        <v>0.42840277777777774</v>
      </c>
      <c r="E47" s="126">
        <f t="shared" si="10"/>
        <v>7.0717592592591805E-3</v>
      </c>
      <c r="F47" s="112">
        <v>34</v>
      </c>
      <c r="G47" s="112">
        <v>1</v>
      </c>
      <c r="H47" s="121">
        <v>0.44697916666666665</v>
      </c>
      <c r="I47" s="126">
        <f t="shared" si="7"/>
        <v>7.071759259259236E-3</v>
      </c>
      <c r="J47" s="151">
        <v>2</v>
      </c>
      <c r="K47" s="7"/>
      <c r="L47" s="197">
        <v>0.58333333333333304</v>
      </c>
      <c r="M47" s="198">
        <v>0.62498842592592596</v>
      </c>
      <c r="N47" s="198"/>
      <c r="O47" s="192">
        <f t="shared" si="15"/>
        <v>6</v>
      </c>
      <c r="P47" s="192">
        <f t="shared" si="16"/>
        <v>6</v>
      </c>
      <c r="Q47" s="192"/>
      <c r="R47" s="191">
        <f t="shared" si="17"/>
        <v>12</v>
      </c>
      <c r="T47" s="8"/>
      <c r="U47" t="str">
        <f t="shared" si="1"/>
        <v>3-4</v>
      </c>
      <c r="V47">
        <f>IF(W47&gt;0,COUNTIF($W$14:W48,W47),"")</f>
        <v>4</v>
      </c>
      <c r="W47">
        <f t="shared" ref="W47:W78" si="18">A48</f>
        <v>3</v>
      </c>
      <c r="X47" s="108">
        <f t="shared" ref="X47:X78" si="19">D48</f>
        <v>0.43547453703703703</v>
      </c>
      <c r="Y47" s="8"/>
      <c r="Z47" t="str">
        <f t="shared" si="4"/>
        <v>2-4</v>
      </c>
      <c r="AA47">
        <f>IF(AB47&gt;0,COUNTIF($AB$14:AB48,AB47),"")</f>
        <v>4</v>
      </c>
      <c r="AB47">
        <f t="shared" si="5"/>
        <v>2</v>
      </c>
      <c r="AC47" s="108">
        <f t="shared" si="6"/>
        <v>0.44697916666666665</v>
      </c>
    </row>
    <row r="48" spans="1:29" ht="18" customHeight="1" x14ac:dyDescent="0.25">
      <c r="A48" s="151">
        <v>3</v>
      </c>
      <c r="B48" s="112">
        <v>32</v>
      </c>
      <c r="C48" s="112">
        <v>2</v>
      </c>
      <c r="D48" s="121">
        <v>0.43547453703703703</v>
      </c>
      <c r="E48" s="126">
        <f t="shared" si="10"/>
        <v>7.0717592592592915E-3</v>
      </c>
      <c r="F48" s="112">
        <v>35</v>
      </c>
      <c r="G48" s="112">
        <v>2</v>
      </c>
      <c r="H48" s="121">
        <v>0.45405092592592594</v>
      </c>
      <c r="I48" s="126">
        <f t="shared" si="7"/>
        <v>7.0717592592592915E-3</v>
      </c>
      <c r="J48" s="151">
        <v>3</v>
      </c>
      <c r="K48" s="7"/>
      <c r="L48" s="197">
        <v>0.625</v>
      </c>
      <c r="M48" s="198">
        <v>0.66665509259259259</v>
      </c>
      <c r="N48" s="198"/>
      <c r="O48" s="192">
        <f t="shared" si="15"/>
        <v>6</v>
      </c>
      <c r="P48" s="192">
        <f t="shared" si="16"/>
        <v>6</v>
      </c>
      <c r="Q48" s="192"/>
      <c r="R48" s="191">
        <f t="shared" si="17"/>
        <v>12</v>
      </c>
      <c r="T48" s="8"/>
      <c r="U48" t="str">
        <f t="shared" si="1"/>
        <v>4-4</v>
      </c>
      <c r="V48">
        <f>IF(W48&gt;0,COUNTIF($W$14:W49,W48),"")</f>
        <v>4</v>
      </c>
      <c r="W48">
        <f t="shared" si="18"/>
        <v>4</v>
      </c>
      <c r="X48" s="108">
        <f t="shared" si="19"/>
        <v>0.44254629629629627</v>
      </c>
      <c r="Y48" s="8"/>
      <c r="Z48" t="str">
        <f t="shared" si="4"/>
        <v>3-4</v>
      </c>
      <c r="AA48">
        <f>IF(AB48&gt;0,COUNTIF($AB$14:AB49,AB48),"")</f>
        <v>4</v>
      </c>
      <c r="AB48">
        <f t="shared" si="5"/>
        <v>3</v>
      </c>
      <c r="AC48" s="108">
        <f t="shared" si="6"/>
        <v>0.45405092592592594</v>
      </c>
    </row>
    <row r="49" spans="1:29" ht="18" customHeight="1" x14ac:dyDescent="0.25">
      <c r="A49" s="151">
        <v>4</v>
      </c>
      <c r="B49" s="112">
        <v>33</v>
      </c>
      <c r="C49" s="112">
        <v>3</v>
      </c>
      <c r="D49" s="121">
        <v>0.44254629629629627</v>
      </c>
      <c r="E49" s="126">
        <f t="shared" si="10"/>
        <v>7.071759259259236E-3</v>
      </c>
      <c r="F49" s="112">
        <v>36</v>
      </c>
      <c r="G49" s="112">
        <v>3</v>
      </c>
      <c r="H49" s="121">
        <v>0.46112268518518523</v>
      </c>
      <c r="I49" s="126">
        <f t="shared" si="7"/>
        <v>7.0717592592592915E-3</v>
      </c>
      <c r="J49" s="151">
        <v>4</v>
      </c>
      <c r="K49" s="7"/>
      <c r="L49" s="197">
        <v>0.66666666666666696</v>
      </c>
      <c r="M49" s="198">
        <v>0.70832175925925922</v>
      </c>
      <c r="N49" s="198"/>
      <c r="O49" s="192">
        <f t="shared" si="15"/>
        <v>8</v>
      </c>
      <c r="P49" s="192">
        <f t="shared" si="16"/>
        <v>7</v>
      </c>
      <c r="Q49" s="192"/>
      <c r="R49" s="191">
        <f t="shared" si="17"/>
        <v>15</v>
      </c>
      <c r="T49" s="8"/>
      <c r="U49" t="str">
        <f t="shared" si="1"/>
        <v>5-4</v>
      </c>
      <c r="V49">
        <f>IF(W49&gt;0,COUNTIF($W$14:W50,W49),"")</f>
        <v>4</v>
      </c>
      <c r="W49">
        <f t="shared" si="18"/>
        <v>5</v>
      </c>
      <c r="X49" s="108">
        <f t="shared" si="19"/>
        <v>0.44961805555555556</v>
      </c>
      <c r="Y49" s="8"/>
      <c r="Z49" t="str">
        <f t="shared" si="4"/>
        <v>4-4</v>
      </c>
      <c r="AA49">
        <f>IF(AB49&gt;0,COUNTIF($AB$14:AB50,AB49),"")</f>
        <v>4</v>
      </c>
      <c r="AB49">
        <f t="shared" si="5"/>
        <v>4</v>
      </c>
      <c r="AC49" s="108">
        <f t="shared" si="6"/>
        <v>0.46112268518518523</v>
      </c>
    </row>
    <row r="50" spans="1:29" ht="18" customHeight="1" x14ac:dyDescent="0.25">
      <c r="A50" s="151">
        <v>5</v>
      </c>
      <c r="B50" s="112">
        <v>34</v>
      </c>
      <c r="C50" s="112">
        <v>4</v>
      </c>
      <c r="D50" s="121">
        <v>0.44961805555555556</v>
      </c>
      <c r="E50" s="126">
        <f t="shared" si="10"/>
        <v>7.0717592592592915E-3</v>
      </c>
      <c r="F50" s="112">
        <v>37</v>
      </c>
      <c r="G50" s="112">
        <v>4</v>
      </c>
      <c r="H50" s="121">
        <v>0.46819444444444441</v>
      </c>
      <c r="I50" s="126">
        <f t="shared" si="7"/>
        <v>7.0717592592591805E-3</v>
      </c>
      <c r="J50" s="151">
        <v>5</v>
      </c>
      <c r="K50" s="7"/>
      <c r="L50" s="197">
        <v>0.70833333333333304</v>
      </c>
      <c r="M50" s="198">
        <v>0.74998842592592585</v>
      </c>
      <c r="N50" s="198"/>
      <c r="O50" s="192">
        <f t="shared" si="15"/>
        <v>9</v>
      </c>
      <c r="P50" s="192">
        <f t="shared" si="16"/>
        <v>8</v>
      </c>
      <c r="Q50" s="192"/>
      <c r="R50" s="191">
        <f t="shared" si="17"/>
        <v>17</v>
      </c>
      <c r="S50" s="8"/>
      <c r="T50" s="8"/>
      <c r="U50" t="str">
        <f t="shared" si="1"/>
        <v>6-5</v>
      </c>
      <c r="V50">
        <f>IF(W50&gt;0,COUNTIF($W$14:W51,W50),"")</f>
        <v>5</v>
      </c>
      <c r="W50">
        <f t="shared" si="18"/>
        <v>6</v>
      </c>
      <c r="X50" s="108">
        <f t="shared" si="19"/>
        <v>0.4566898148148148</v>
      </c>
      <c r="Y50" s="8"/>
      <c r="Z50" t="str">
        <f t="shared" si="4"/>
        <v>5-4</v>
      </c>
      <c r="AA50">
        <f>IF(AB50&gt;0,COUNTIF($AB$14:AB51,AB50),"")</f>
        <v>4</v>
      </c>
      <c r="AB50">
        <f t="shared" si="5"/>
        <v>5</v>
      </c>
      <c r="AC50" s="108">
        <f t="shared" si="6"/>
        <v>0.46819444444444441</v>
      </c>
    </row>
    <row r="51" spans="1:29" ht="18" customHeight="1" x14ac:dyDescent="0.25">
      <c r="A51" s="151">
        <v>6</v>
      </c>
      <c r="B51" s="112">
        <v>35</v>
      </c>
      <c r="C51" s="112">
        <v>5</v>
      </c>
      <c r="D51" s="121">
        <v>0.4566898148148148</v>
      </c>
      <c r="E51" s="126">
        <f t="shared" si="10"/>
        <v>7.071759259259236E-3</v>
      </c>
      <c r="F51" s="112">
        <v>38</v>
      </c>
      <c r="G51" s="112">
        <v>5</v>
      </c>
      <c r="H51" s="121">
        <v>0.4752662037037037</v>
      </c>
      <c r="I51" s="126">
        <f t="shared" si="7"/>
        <v>7.0717592592592915E-3</v>
      </c>
      <c r="J51" s="151">
        <v>6</v>
      </c>
      <c r="K51" s="7"/>
      <c r="L51" s="197">
        <v>0.75</v>
      </c>
      <c r="M51" s="198">
        <v>0.79165509259259259</v>
      </c>
      <c r="N51" s="198"/>
      <c r="O51" s="192">
        <f t="shared" si="15"/>
        <v>8</v>
      </c>
      <c r="P51" s="192">
        <f t="shared" si="16"/>
        <v>8</v>
      </c>
      <c r="Q51" s="192"/>
      <c r="R51" s="191">
        <f t="shared" si="17"/>
        <v>16</v>
      </c>
      <c r="S51" s="8"/>
      <c r="T51" s="8"/>
      <c r="U51" t="str">
        <f t="shared" si="1"/>
        <v>21-4</v>
      </c>
      <c r="V51">
        <f>IF(W51&gt;0,COUNTIF($W$14:W52,W51),"")</f>
        <v>4</v>
      </c>
      <c r="W51">
        <f t="shared" si="18"/>
        <v>21</v>
      </c>
      <c r="X51" s="108">
        <f t="shared" si="19"/>
        <v>0.46376157407407409</v>
      </c>
      <c r="Y51" s="8"/>
      <c r="Z51" t="str">
        <f t="shared" si="4"/>
        <v>6-5</v>
      </c>
      <c r="AA51">
        <f>IF(AB51&gt;0,COUNTIF($AB$14:AB52,AB51),"")</f>
        <v>5</v>
      </c>
      <c r="AB51">
        <f t="shared" si="5"/>
        <v>6</v>
      </c>
      <c r="AC51" s="108">
        <f t="shared" si="6"/>
        <v>0.4752662037037037</v>
      </c>
    </row>
    <row r="52" spans="1:29" ht="18" customHeight="1" x14ac:dyDescent="0.25">
      <c r="A52" s="151">
        <v>21</v>
      </c>
      <c r="B52" s="112">
        <v>36</v>
      </c>
      <c r="C52" s="112">
        <v>1</v>
      </c>
      <c r="D52" s="121">
        <v>0.46376157407407409</v>
      </c>
      <c r="E52" s="126">
        <f t="shared" si="10"/>
        <v>7.0717592592592915E-3</v>
      </c>
      <c r="F52" s="112">
        <v>39</v>
      </c>
      <c r="G52" s="112">
        <v>1</v>
      </c>
      <c r="H52" s="121">
        <v>0.48233796296296294</v>
      </c>
      <c r="I52" s="126">
        <f t="shared" si="7"/>
        <v>7.071759259259236E-3</v>
      </c>
      <c r="J52" s="151">
        <v>21</v>
      </c>
      <c r="K52" s="7"/>
      <c r="L52" s="197">
        <v>0.79166666666666696</v>
      </c>
      <c r="M52" s="198">
        <v>0.83332175925925922</v>
      </c>
      <c r="N52" s="198"/>
      <c r="O52" s="192">
        <f t="shared" si="15"/>
        <v>7</v>
      </c>
      <c r="P52" s="192">
        <f t="shared" si="16"/>
        <v>8</v>
      </c>
      <c r="Q52" s="192"/>
      <c r="R52" s="191">
        <f t="shared" si="17"/>
        <v>15</v>
      </c>
      <c r="S52" s="8"/>
      <c r="T52" s="8"/>
      <c r="U52" t="str">
        <f t="shared" si="1"/>
        <v>22-4</v>
      </c>
      <c r="V52">
        <f>IF(W52&gt;0,COUNTIF($W$14:W53,W52),"")</f>
        <v>4</v>
      </c>
      <c r="W52">
        <f t="shared" si="18"/>
        <v>22</v>
      </c>
      <c r="X52" s="108">
        <f t="shared" si="19"/>
        <v>0.47083333333333338</v>
      </c>
      <c r="Y52" s="8"/>
      <c r="Z52" t="str">
        <f t="shared" si="4"/>
        <v>21-4</v>
      </c>
      <c r="AA52">
        <f>IF(AB52&gt;0,COUNTIF($AB$14:AB53,AB52),"")</f>
        <v>4</v>
      </c>
      <c r="AB52">
        <f t="shared" si="5"/>
        <v>21</v>
      </c>
      <c r="AC52" s="108">
        <f t="shared" si="6"/>
        <v>0.48233796296296294</v>
      </c>
    </row>
    <row r="53" spans="1:29" ht="18" customHeight="1" x14ac:dyDescent="0.25">
      <c r="A53" s="151">
        <v>22</v>
      </c>
      <c r="B53" s="112">
        <v>37</v>
      </c>
      <c r="C53" s="112">
        <v>2</v>
      </c>
      <c r="D53" s="121">
        <v>0.47083333333333338</v>
      </c>
      <c r="E53" s="126">
        <f t="shared" si="10"/>
        <v>7.0717592592592915E-3</v>
      </c>
      <c r="F53" s="112">
        <v>40</v>
      </c>
      <c r="G53" s="112">
        <v>2</v>
      </c>
      <c r="H53" s="121">
        <v>0.48940972222222223</v>
      </c>
      <c r="I53" s="126">
        <f t="shared" si="7"/>
        <v>7.0717592592592915E-3</v>
      </c>
      <c r="J53" s="151">
        <v>22</v>
      </c>
      <c r="K53" s="7"/>
      <c r="L53" s="197">
        <v>0.83333333333333304</v>
      </c>
      <c r="M53" s="198">
        <v>0.87498842592592585</v>
      </c>
      <c r="N53" s="198"/>
      <c r="O53" s="192">
        <f t="shared" si="15"/>
        <v>6</v>
      </c>
      <c r="P53" s="192">
        <f t="shared" si="16"/>
        <v>7</v>
      </c>
      <c r="Q53" s="192"/>
      <c r="R53" s="191">
        <f t="shared" si="17"/>
        <v>13</v>
      </c>
      <c r="S53" s="8"/>
      <c r="T53" s="8"/>
      <c r="U53" t="str">
        <f t="shared" si="1"/>
        <v>7-5</v>
      </c>
      <c r="V53">
        <f>IF(W53&gt;0,COUNTIF($W$14:W54,W53),"")</f>
        <v>5</v>
      </c>
      <c r="W53">
        <f t="shared" si="18"/>
        <v>7</v>
      </c>
      <c r="X53" s="108">
        <f t="shared" si="19"/>
        <v>0.47790509259259256</v>
      </c>
      <c r="Y53" s="8"/>
      <c r="Z53" t="str">
        <f t="shared" si="4"/>
        <v>22-4</v>
      </c>
      <c r="AA53">
        <f>IF(AB53&gt;0,COUNTIF($AB$14:AB54,AB53),"")</f>
        <v>4</v>
      </c>
      <c r="AB53">
        <f t="shared" si="5"/>
        <v>22</v>
      </c>
      <c r="AC53" s="108">
        <f t="shared" si="6"/>
        <v>0.48940972222222223</v>
      </c>
    </row>
    <row r="54" spans="1:29" ht="18" customHeight="1" x14ac:dyDescent="0.25">
      <c r="A54" s="151">
        <v>7</v>
      </c>
      <c r="B54" s="112">
        <v>38</v>
      </c>
      <c r="C54" s="112">
        <v>3</v>
      </c>
      <c r="D54" s="121">
        <v>0.47790509259259256</v>
      </c>
      <c r="E54" s="126">
        <f t="shared" si="10"/>
        <v>7.0717592592591805E-3</v>
      </c>
      <c r="F54" s="112">
        <v>41</v>
      </c>
      <c r="G54" s="112">
        <v>3</v>
      </c>
      <c r="H54" s="121">
        <v>0.49648148148148147</v>
      </c>
      <c r="I54" s="126">
        <f t="shared" si="7"/>
        <v>7.071759259259236E-3</v>
      </c>
      <c r="J54" s="151">
        <v>7</v>
      </c>
      <c r="K54" s="7"/>
      <c r="L54" s="197">
        <v>0.875</v>
      </c>
      <c r="M54" s="198">
        <v>0.91665509259259259</v>
      </c>
      <c r="N54" s="198"/>
      <c r="O54" s="192">
        <f t="shared" si="15"/>
        <v>1</v>
      </c>
      <c r="P54" s="192">
        <f t="shared" si="16"/>
        <v>0</v>
      </c>
      <c r="Q54" s="192"/>
      <c r="R54" s="191">
        <f t="shared" si="17"/>
        <v>1</v>
      </c>
      <c r="S54" s="8"/>
      <c r="T54" s="8"/>
      <c r="U54" t="str">
        <f t="shared" si="1"/>
        <v>1-5</v>
      </c>
      <c r="V54">
        <f>IF(W54&gt;0,COUNTIF($W$14:W55,W54),"")</f>
        <v>5</v>
      </c>
      <c r="W54">
        <f t="shared" si="18"/>
        <v>1</v>
      </c>
      <c r="X54" s="108">
        <f t="shared" si="19"/>
        <v>0.48497685185185185</v>
      </c>
      <c r="Y54" s="8"/>
      <c r="Z54" t="str">
        <f t="shared" si="4"/>
        <v>7-5</v>
      </c>
      <c r="AA54">
        <f>IF(AB54&gt;0,COUNTIF($AB$14:AB55,AB54),"")</f>
        <v>5</v>
      </c>
      <c r="AB54">
        <f t="shared" si="5"/>
        <v>7</v>
      </c>
      <c r="AC54" s="108">
        <f t="shared" si="6"/>
        <v>0.49648148148148147</v>
      </c>
    </row>
    <row r="55" spans="1:29" ht="18" customHeight="1" x14ac:dyDescent="0.25">
      <c r="A55" s="151">
        <v>1</v>
      </c>
      <c r="B55" s="112">
        <v>39</v>
      </c>
      <c r="C55" s="112">
        <v>4</v>
      </c>
      <c r="D55" s="121">
        <v>0.48497685185185185</v>
      </c>
      <c r="E55" s="126">
        <f t="shared" si="10"/>
        <v>7.0717592592592915E-3</v>
      </c>
      <c r="F55" s="112">
        <v>42</v>
      </c>
      <c r="G55" s="112">
        <v>4</v>
      </c>
      <c r="H55" s="121">
        <v>0.5035532407407407</v>
      </c>
      <c r="I55" s="126">
        <f t="shared" si="7"/>
        <v>7.071759259259236E-3</v>
      </c>
      <c r="J55" s="151">
        <v>1</v>
      </c>
      <c r="K55" s="7"/>
      <c r="L55" s="197">
        <v>0.91666666666666696</v>
      </c>
      <c r="M55" s="198">
        <v>0.95832175925925922</v>
      </c>
      <c r="N55" s="198"/>
      <c r="O55" s="192">
        <f t="shared" si="15"/>
        <v>0</v>
      </c>
      <c r="P55" s="192">
        <f t="shared" si="16"/>
        <v>0</v>
      </c>
      <c r="Q55" s="192"/>
      <c r="R55" s="191">
        <f t="shared" si="17"/>
        <v>0</v>
      </c>
      <c r="S55" s="8"/>
      <c r="T55" s="8"/>
      <c r="U55" t="str">
        <f t="shared" si="1"/>
        <v>2-5</v>
      </c>
      <c r="V55">
        <f>IF(W55&gt;0,COUNTIF($W$14:W56,W55),"")</f>
        <v>5</v>
      </c>
      <c r="W55">
        <f t="shared" si="18"/>
        <v>2</v>
      </c>
      <c r="X55" s="108">
        <f t="shared" si="19"/>
        <v>0.49204861111111109</v>
      </c>
      <c r="Y55" s="8"/>
      <c r="Z55" t="str">
        <f t="shared" si="4"/>
        <v>1-5</v>
      </c>
      <c r="AA55">
        <f>IF(AB55&gt;0,COUNTIF($AB$14:AB56,AB55),"")</f>
        <v>5</v>
      </c>
      <c r="AB55">
        <f t="shared" si="5"/>
        <v>1</v>
      </c>
      <c r="AC55" s="108">
        <f t="shared" si="6"/>
        <v>0.5035532407407407</v>
      </c>
    </row>
    <row r="56" spans="1:29" ht="18" customHeight="1" x14ac:dyDescent="0.25">
      <c r="A56" s="151">
        <v>2</v>
      </c>
      <c r="B56" s="112">
        <v>40</v>
      </c>
      <c r="C56" s="112">
        <v>5</v>
      </c>
      <c r="D56" s="121">
        <v>0.49204861111111109</v>
      </c>
      <c r="E56" s="126">
        <f t="shared" si="10"/>
        <v>7.071759259259236E-3</v>
      </c>
      <c r="F56" s="112">
        <v>43</v>
      </c>
      <c r="G56" s="112">
        <v>5</v>
      </c>
      <c r="H56" s="121">
        <v>0.510625</v>
      </c>
      <c r="I56" s="126">
        <f t="shared" si="7"/>
        <v>7.0717592592592915E-3</v>
      </c>
      <c r="J56" s="151">
        <v>2</v>
      </c>
      <c r="K56" s="9"/>
      <c r="L56" s="197">
        <v>0.95833333333333304</v>
      </c>
      <c r="M56" s="198">
        <v>1</v>
      </c>
      <c r="N56" s="198"/>
      <c r="O56" s="192">
        <f t="shared" si="15"/>
        <v>0</v>
      </c>
      <c r="P56" s="192">
        <f t="shared" si="16"/>
        <v>0</v>
      </c>
      <c r="Q56" s="192"/>
      <c r="R56" s="191">
        <f t="shared" si="17"/>
        <v>0</v>
      </c>
      <c r="S56" s="8"/>
      <c r="T56" s="8"/>
      <c r="U56" t="str">
        <f t="shared" si="1"/>
        <v>3-5</v>
      </c>
      <c r="V56">
        <f>IF(W56&gt;0,COUNTIF($W$14:W57,W56),"")</f>
        <v>5</v>
      </c>
      <c r="W56">
        <f t="shared" si="18"/>
        <v>3</v>
      </c>
      <c r="X56" s="108">
        <f t="shared" si="19"/>
        <v>0.49912037037037038</v>
      </c>
      <c r="Y56" s="8"/>
      <c r="Z56" t="str">
        <f t="shared" si="4"/>
        <v>2-5</v>
      </c>
      <c r="AA56">
        <f>IF(AB56&gt;0,COUNTIF($AB$14:AB57,AB56),"")</f>
        <v>5</v>
      </c>
      <c r="AB56">
        <f t="shared" si="5"/>
        <v>2</v>
      </c>
      <c r="AC56" s="108">
        <f t="shared" si="6"/>
        <v>0.510625</v>
      </c>
    </row>
    <row r="57" spans="1:29" ht="18" customHeight="1" x14ac:dyDescent="0.25">
      <c r="A57" s="151">
        <v>3</v>
      </c>
      <c r="B57" s="112">
        <v>41</v>
      </c>
      <c r="C57" s="112">
        <v>1</v>
      </c>
      <c r="D57" s="121">
        <v>0.49912037037037038</v>
      </c>
      <c r="E57" s="126">
        <f t="shared" si="10"/>
        <v>7.0717592592592915E-3</v>
      </c>
      <c r="F57" s="112">
        <v>44</v>
      </c>
      <c r="G57" s="112">
        <v>1</v>
      </c>
      <c r="H57" s="121">
        <v>0.51769675925925929</v>
      </c>
      <c r="I57" s="126">
        <f t="shared" si="7"/>
        <v>7.0717592592592915E-3</v>
      </c>
      <c r="J57" s="151">
        <v>3</v>
      </c>
      <c r="K57" s="9"/>
      <c r="L57" s="197">
        <v>1</v>
      </c>
      <c r="M57" s="198">
        <v>1.0416666666666701</v>
      </c>
      <c r="N57" s="198"/>
      <c r="O57" s="192">
        <f t="shared" si="15"/>
        <v>0</v>
      </c>
      <c r="P57" s="192">
        <f t="shared" si="16"/>
        <v>0</v>
      </c>
      <c r="Q57" s="192"/>
      <c r="R57" s="191">
        <f t="shared" si="17"/>
        <v>0</v>
      </c>
      <c r="S57" s="8"/>
      <c r="T57" s="8"/>
      <c r="U57" t="str">
        <f t="shared" si="1"/>
        <v>4-5</v>
      </c>
      <c r="V57">
        <f>IF(W57&gt;0,COUNTIF($W$14:W58,W57),"")</f>
        <v>5</v>
      </c>
      <c r="W57">
        <f t="shared" si="18"/>
        <v>4</v>
      </c>
      <c r="X57" s="108">
        <f t="shared" si="19"/>
        <v>0.50619212962962956</v>
      </c>
      <c r="Y57" s="8"/>
      <c r="Z57" t="str">
        <f t="shared" si="4"/>
        <v>3-5</v>
      </c>
      <c r="AA57">
        <f>IF(AB57&gt;0,COUNTIF($AB$14:AB58,AB57),"")</f>
        <v>5</v>
      </c>
      <c r="AB57">
        <f t="shared" si="5"/>
        <v>3</v>
      </c>
      <c r="AC57" s="108">
        <f t="shared" si="6"/>
        <v>0.51769675925925929</v>
      </c>
    </row>
    <row r="58" spans="1:29" ht="18" customHeight="1" thickBot="1" x14ac:dyDescent="0.3">
      <c r="A58" s="151">
        <v>4</v>
      </c>
      <c r="B58" s="112">
        <v>42</v>
      </c>
      <c r="C58" s="112">
        <v>2</v>
      </c>
      <c r="D58" s="121">
        <v>0.50619212962962956</v>
      </c>
      <c r="E58" s="126">
        <f t="shared" si="10"/>
        <v>7.0717592592591805E-3</v>
      </c>
      <c r="F58" s="112">
        <v>45</v>
      </c>
      <c r="G58" s="112">
        <v>2</v>
      </c>
      <c r="H58" s="121">
        <v>0.52476851851851858</v>
      </c>
      <c r="I58" s="126">
        <f t="shared" si="7"/>
        <v>7.0717592592592915E-3</v>
      </c>
      <c r="J58" s="151">
        <v>4</v>
      </c>
      <c r="K58" s="9"/>
      <c r="L58" s="199"/>
      <c r="M58" s="200"/>
      <c r="N58" s="200"/>
      <c r="O58" s="201">
        <f t="shared" ref="O58:Q58" si="20">SUM(O39:O57)</f>
        <v>103</v>
      </c>
      <c r="P58" s="201">
        <f t="shared" si="20"/>
        <v>103</v>
      </c>
      <c r="Q58" s="201">
        <f t="shared" si="20"/>
        <v>0</v>
      </c>
      <c r="R58" s="201">
        <f>SUM(R39:R57)</f>
        <v>206</v>
      </c>
      <c r="S58" s="8"/>
      <c r="T58" s="8"/>
      <c r="U58" t="str">
        <f t="shared" si="1"/>
        <v>5-5</v>
      </c>
      <c r="V58">
        <f>IF(W58&gt;0,COUNTIF($W$14:W59,W58),"")</f>
        <v>5</v>
      </c>
      <c r="W58">
        <f t="shared" si="18"/>
        <v>5</v>
      </c>
      <c r="X58" s="108">
        <f t="shared" si="19"/>
        <v>0.51326388888888885</v>
      </c>
      <c r="Y58" s="8"/>
      <c r="Z58" t="str">
        <f t="shared" si="4"/>
        <v>4-5</v>
      </c>
      <c r="AA58">
        <f>IF(AB58&gt;0,COUNTIF($AB$14:AB59,AB58),"")</f>
        <v>5</v>
      </c>
      <c r="AB58">
        <f t="shared" si="5"/>
        <v>4</v>
      </c>
      <c r="AC58" s="108">
        <f t="shared" si="6"/>
        <v>0.52476851851851858</v>
      </c>
    </row>
    <row r="59" spans="1:29" ht="18" customHeight="1" x14ac:dyDescent="0.25">
      <c r="A59" s="266">
        <v>5</v>
      </c>
      <c r="B59" s="112">
        <v>43</v>
      </c>
      <c r="C59" s="112">
        <v>3</v>
      </c>
      <c r="D59" s="121">
        <v>0.51326388888888885</v>
      </c>
      <c r="E59" s="126">
        <f t="shared" si="10"/>
        <v>7.0717592592592915E-3</v>
      </c>
      <c r="F59" s="112">
        <v>46</v>
      </c>
      <c r="G59" s="112">
        <v>3</v>
      </c>
      <c r="H59" s="121">
        <v>0.53184027777777776</v>
      </c>
      <c r="I59" s="126">
        <f t="shared" si="7"/>
        <v>7.0717592592591805E-3</v>
      </c>
      <c r="J59" s="266">
        <v>5</v>
      </c>
      <c r="K59" s="9"/>
      <c r="L59" s="8"/>
      <c r="M59" s="8"/>
      <c r="N59" s="8"/>
      <c r="O59" s="123">
        <f t="shared" ref="O59:O90" si="21">COUNTIF($A$25:$A$136,N59)+COUNTIF($J$16:$J$136,N59)</f>
        <v>0</v>
      </c>
      <c r="P59" s="8"/>
      <c r="Q59" s="8"/>
      <c r="R59" s="8"/>
      <c r="S59" s="8"/>
      <c r="T59" s="8"/>
      <c r="U59" t="str">
        <f t="shared" si="1"/>
        <v>71-1</v>
      </c>
      <c r="V59">
        <f>IF(W59&gt;0,COUNTIF($W$14:W60,W59),"")</f>
        <v>1</v>
      </c>
      <c r="W59">
        <f t="shared" si="18"/>
        <v>71</v>
      </c>
      <c r="X59" s="108">
        <f t="shared" si="19"/>
        <v>0.52033564814814814</v>
      </c>
      <c r="Y59" s="8"/>
      <c r="Z59" t="str">
        <f t="shared" si="4"/>
        <v>5-5</v>
      </c>
      <c r="AA59">
        <f>IF(AB59&gt;0,COUNTIF($AB$14:AB60,AB59),"")</f>
        <v>5</v>
      </c>
      <c r="AB59">
        <f t="shared" si="5"/>
        <v>5</v>
      </c>
      <c r="AC59" s="108">
        <f t="shared" si="6"/>
        <v>0.53184027777777776</v>
      </c>
    </row>
    <row r="60" spans="1:29" ht="18" customHeight="1" x14ac:dyDescent="0.25">
      <c r="A60" s="151">
        <v>71</v>
      </c>
      <c r="B60" s="112">
        <v>44</v>
      </c>
      <c r="C60" s="112">
        <v>4</v>
      </c>
      <c r="D60" s="121">
        <v>0.52033564814814814</v>
      </c>
      <c r="E60" s="126">
        <f t="shared" si="10"/>
        <v>7.0717592592592915E-3</v>
      </c>
      <c r="F60" s="112">
        <v>47</v>
      </c>
      <c r="G60" s="112">
        <v>4</v>
      </c>
      <c r="H60" s="121">
        <v>0.53891203703703705</v>
      </c>
      <c r="I60" s="126">
        <f t="shared" si="7"/>
        <v>7.0717592592592915E-3</v>
      </c>
      <c r="J60" s="151">
        <v>71</v>
      </c>
      <c r="K60" s="9"/>
      <c r="L60" s="8"/>
      <c r="M60" s="8"/>
      <c r="N60" s="8"/>
      <c r="O60" s="123">
        <f t="shared" si="21"/>
        <v>0</v>
      </c>
      <c r="P60" s="8"/>
      <c r="Q60" s="8"/>
      <c r="R60" s="8"/>
      <c r="S60" s="8"/>
      <c r="T60" s="8"/>
      <c r="U60" t="str">
        <f t="shared" si="1"/>
        <v>72-1</v>
      </c>
      <c r="V60">
        <f>IF(W60&gt;0,COUNTIF($W$14:W61,W60),"")</f>
        <v>1</v>
      </c>
      <c r="W60">
        <f t="shared" si="18"/>
        <v>72</v>
      </c>
      <c r="X60" s="108">
        <f t="shared" si="19"/>
        <v>0.52740740740740744</v>
      </c>
      <c r="Y60" s="8"/>
      <c r="Z60" t="str">
        <f t="shared" si="4"/>
        <v>71-1</v>
      </c>
      <c r="AA60">
        <f>IF(AB60&gt;0,COUNTIF($AB$14:AB61,AB60),"")</f>
        <v>1</v>
      </c>
      <c r="AB60">
        <f t="shared" si="5"/>
        <v>71</v>
      </c>
      <c r="AC60" s="108">
        <f t="shared" si="6"/>
        <v>0.53891203703703705</v>
      </c>
    </row>
    <row r="61" spans="1:29" ht="18" customHeight="1" x14ac:dyDescent="0.25">
      <c r="A61" s="266">
        <v>72</v>
      </c>
      <c r="B61" s="112">
        <v>45</v>
      </c>
      <c r="C61" s="112">
        <v>5</v>
      </c>
      <c r="D61" s="121">
        <v>0.52740740740740744</v>
      </c>
      <c r="E61" s="126">
        <f t="shared" si="10"/>
        <v>7.0717592592592915E-3</v>
      </c>
      <c r="F61" s="112">
        <v>48</v>
      </c>
      <c r="G61" s="112">
        <v>5</v>
      </c>
      <c r="H61" s="121">
        <v>0.54598379629629623</v>
      </c>
      <c r="I61" s="126">
        <f t="shared" si="7"/>
        <v>7.0717592592591805E-3</v>
      </c>
      <c r="J61" s="266">
        <v>72</v>
      </c>
      <c r="K61" s="9"/>
      <c r="L61" s="8"/>
      <c r="M61" s="8"/>
      <c r="N61" s="8"/>
      <c r="O61" s="123">
        <f t="shared" si="21"/>
        <v>0</v>
      </c>
      <c r="P61" s="8"/>
      <c r="Q61" s="8"/>
      <c r="R61" s="8"/>
      <c r="S61" s="8"/>
      <c r="T61" s="8"/>
      <c r="U61" t="str">
        <f t="shared" si="1"/>
        <v>21-5</v>
      </c>
      <c r="V61">
        <f>IF(W61&gt;0,COUNTIF($W$14:W62,W61),"")</f>
        <v>5</v>
      </c>
      <c r="W61">
        <f t="shared" si="18"/>
        <v>21</v>
      </c>
      <c r="X61" s="108">
        <f t="shared" si="19"/>
        <v>0.53447916666666673</v>
      </c>
      <c r="Y61" s="8"/>
      <c r="Z61" t="str">
        <f t="shared" si="4"/>
        <v>72-1</v>
      </c>
      <c r="AA61">
        <f>IF(AB61&gt;0,COUNTIF($AB$14:AB62,AB61),"")</f>
        <v>1</v>
      </c>
      <c r="AB61">
        <f t="shared" si="5"/>
        <v>72</v>
      </c>
      <c r="AC61" s="108">
        <f t="shared" si="6"/>
        <v>0.54598379629629623</v>
      </c>
    </row>
    <row r="62" spans="1:29" ht="18" customHeight="1" x14ac:dyDescent="0.25">
      <c r="A62" s="266">
        <v>21</v>
      </c>
      <c r="B62" s="112">
        <v>46</v>
      </c>
      <c r="C62" s="112">
        <v>1</v>
      </c>
      <c r="D62" s="121">
        <v>0.53447916666666673</v>
      </c>
      <c r="E62" s="126">
        <f t="shared" si="10"/>
        <v>7.0717592592592915E-3</v>
      </c>
      <c r="F62" s="112">
        <v>49</v>
      </c>
      <c r="G62" s="112">
        <v>1</v>
      </c>
      <c r="H62" s="121">
        <v>0.55305555555555552</v>
      </c>
      <c r="I62" s="126">
        <f t="shared" si="7"/>
        <v>7.0717592592592915E-3</v>
      </c>
      <c r="J62" s="266">
        <v>21</v>
      </c>
      <c r="K62" s="9"/>
      <c r="L62" s="8"/>
      <c r="M62" s="8"/>
      <c r="N62" s="8"/>
      <c r="O62" s="123">
        <f t="shared" si="21"/>
        <v>0</v>
      </c>
      <c r="P62" s="8"/>
      <c r="Q62" s="8"/>
      <c r="R62" s="8"/>
      <c r="S62" s="8"/>
      <c r="T62" s="8"/>
      <c r="U62" t="str">
        <f t="shared" si="1"/>
        <v>22-5</v>
      </c>
      <c r="V62">
        <f>IF(W62&gt;0,COUNTIF($W$14:W63,W62),"")</f>
        <v>5</v>
      </c>
      <c r="W62">
        <f t="shared" si="18"/>
        <v>22</v>
      </c>
      <c r="X62" s="108">
        <f t="shared" si="19"/>
        <v>0.54155092592592591</v>
      </c>
      <c r="Y62" s="8"/>
      <c r="Z62" t="str">
        <f t="shared" si="4"/>
        <v>21-5</v>
      </c>
      <c r="AA62">
        <f>IF(AB62&gt;0,COUNTIF($AB$14:AB63,AB62),"")</f>
        <v>5</v>
      </c>
      <c r="AB62">
        <f t="shared" si="5"/>
        <v>21</v>
      </c>
      <c r="AC62" s="108">
        <f t="shared" si="6"/>
        <v>0.55305555555555552</v>
      </c>
    </row>
    <row r="63" spans="1:29" ht="18" customHeight="1" x14ac:dyDescent="0.25">
      <c r="A63" s="266">
        <v>22</v>
      </c>
      <c r="B63" s="112">
        <v>47</v>
      </c>
      <c r="C63" s="112">
        <v>2</v>
      </c>
      <c r="D63" s="121">
        <v>0.54155092592592591</v>
      </c>
      <c r="E63" s="126">
        <f t="shared" si="10"/>
        <v>7.0717592592591805E-3</v>
      </c>
      <c r="F63" s="112">
        <v>50</v>
      </c>
      <c r="G63" s="112">
        <v>2</v>
      </c>
      <c r="H63" s="121">
        <v>0.56012731481481481</v>
      </c>
      <c r="I63" s="126">
        <f t="shared" si="7"/>
        <v>7.0717592592592915E-3</v>
      </c>
      <c r="J63" s="266">
        <v>22</v>
      </c>
      <c r="K63" s="9"/>
      <c r="L63" s="8"/>
      <c r="M63" s="8"/>
      <c r="N63" s="8"/>
      <c r="O63" s="123">
        <f t="shared" si="21"/>
        <v>0</v>
      </c>
      <c r="P63" s="8"/>
      <c r="Q63" s="8"/>
      <c r="R63" s="8"/>
      <c r="S63" s="8"/>
      <c r="T63" s="8"/>
      <c r="U63" t="str">
        <f t="shared" si="1"/>
        <v>51-1</v>
      </c>
      <c r="V63">
        <f>IF(W63&gt;0,COUNTIF($W$14:W64,W63),"")</f>
        <v>1</v>
      </c>
      <c r="W63">
        <f t="shared" si="18"/>
        <v>51</v>
      </c>
      <c r="X63" s="108">
        <f t="shared" si="19"/>
        <v>0.5486226851851852</v>
      </c>
      <c r="Y63" s="8"/>
      <c r="Z63" t="str">
        <f t="shared" si="4"/>
        <v>22-5</v>
      </c>
      <c r="AA63">
        <f>IF(AB63&gt;0,COUNTIF($AB$14:AB64,AB63),"")</f>
        <v>5</v>
      </c>
      <c r="AB63">
        <f t="shared" si="5"/>
        <v>22</v>
      </c>
      <c r="AC63" s="108">
        <f t="shared" si="6"/>
        <v>0.56012731481481481</v>
      </c>
    </row>
    <row r="64" spans="1:29" ht="18" customHeight="1" x14ac:dyDescent="0.25">
      <c r="A64" s="266">
        <v>51</v>
      </c>
      <c r="B64" s="112">
        <v>48</v>
      </c>
      <c r="C64" s="112">
        <v>3</v>
      </c>
      <c r="D64" s="121">
        <v>0.5486226851851852</v>
      </c>
      <c r="E64" s="126">
        <f t="shared" si="10"/>
        <v>7.0717592592592915E-3</v>
      </c>
      <c r="F64" s="112">
        <v>51</v>
      </c>
      <c r="G64" s="112">
        <v>3</v>
      </c>
      <c r="H64" s="121">
        <v>0.56719907407407411</v>
      </c>
      <c r="I64" s="126">
        <f t="shared" si="7"/>
        <v>7.0717592592592915E-3</v>
      </c>
      <c r="J64" s="266">
        <v>51</v>
      </c>
      <c r="K64" s="9"/>
      <c r="L64" s="8"/>
      <c r="M64" s="8"/>
      <c r="N64" s="8"/>
      <c r="O64" s="123">
        <f t="shared" si="21"/>
        <v>0</v>
      </c>
      <c r="P64" s="8"/>
      <c r="Q64" s="8"/>
      <c r="R64" s="8"/>
      <c r="S64" s="8"/>
      <c r="T64" s="8"/>
      <c r="U64" t="str">
        <f t="shared" si="1"/>
        <v>73-1</v>
      </c>
      <c r="V64">
        <f>IF(W64&gt;0,COUNTIF($W$14:W65,W64),"")</f>
        <v>1</v>
      </c>
      <c r="W64">
        <f t="shared" si="18"/>
        <v>73</v>
      </c>
      <c r="X64" s="108">
        <f t="shared" si="19"/>
        <v>0.55569444444444438</v>
      </c>
      <c r="Y64" s="8"/>
      <c r="Z64" t="str">
        <f t="shared" si="4"/>
        <v>51-1</v>
      </c>
      <c r="AA64">
        <f>IF(AB64&gt;0,COUNTIF($AB$14:AB65,AB64),"")</f>
        <v>1</v>
      </c>
      <c r="AB64">
        <f t="shared" si="5"/>
        <v>51</v>
      </c>
      <c r="AC64" s="108">
        <f t="shared" si="6"/>
        <v>0.56719907407407411</v>
      </c>
    </row>
    <row r="65" spans="1:29" ht="18" customHeight="1" x14ac:dyDescent="0.25">
      <c r="A65" s="266">
        <v>73</v>
      </c>
      <c r="B65" s="112">
        <v>49</v>
      </c>
      <c r="C65" s="112">
        <v>4</v>
      </c>
      <c r="D65" s="121">
        <v>0.55569444444444438</v>
      </c>
      <c r="E65" s="126">
        <f t="shared" si="10"/>
        <v>7.0717592592591805E-3</v>
      </c>
      <c r="F65" s="112">
        <v>52</v>
      </c>
      <c r="G65" s="112">
        <v>4</v>
      </c>
      <c r="H65" s="121">
        <v>0.5742708333333334</v>
      </c>
      <c r="I65" s="126">
        <f t="shared" si="7"/>
        <v>7.0717592592592915E-3</v>
      </c>
      <c r="J65" s="266">
        <v>73</v>
      </c>
      <c r="K65" s="9"/>
      <c r="L65" s="8"/>
      <c r="M65" s="8"/>
      <c r="N65" s="8"/>
      <c r="O65" s="123">
        <f t="shared" si="21"/>
        <v>0</v>
      </c>
      <c r="P65" s="8"/>
      <c r="Q65" s="8"/>
      <c r="R65" s="8"/>
      <c r="S65" s="8"/>
      <c r="T65" s="8"/>
      <c r="U65" t="str">
        <f t="shared" si="1"/>
        <v>52-1</v>
      </c>
      <c r="V65">
        <f>IF(W65&gt;0,COUNTIF($W$14:W66,W65),"")</f>
        <v>1</v>
      </c>
      <c r="W65">
        <f t="shared" si="18"/>
        <v>52</v>
      </c>
      <c r="X65" s="108">
        <f t="shared" si="19"/>
        <v>0.56276620370370367</v>
      </c>
      <c r="Y65" s="8"/>
      <c r="Z65" t="str">
        <f t="shared" si="4"/>
        <v>73-1</v>
      </c>
      <c r="AA65">
        <f>IF(AB65&gt;0,COUNTIF($AB$14:AB66,AB65),"")</f>
        <v>1</v>
      </c>
      <c r="AB65">
        <f t="shared" si="5"/>
        <v>73</v>
      </c>
      <c r="AC65" s="108">
        <f t="shared" si="6"/>
        <v>0.5742708333333334</v>
      </c>
    </row>
    <row r="66" spans="1:29" ht="18" customHeight="1" x14ac:dyDescent="0.25">
      <c r="A66" s="266">
        <v>52</v>
      </c>
      <c r="B66" s="112">
        <v>50</v>
      </c>
      <c r="C66" s="112">
        <v>5</v>
      </c>
      <c r="D66" s="121">
        <v>0.56276620370370367</v>
      </c>
      <c r="E66" s="126">
        <f t="shared" si="10"/>
        <v>7.0717592592592915E-3</v>
      </c>
      <c r="F66" s="112">
        <v>53</v>
      </c>
      <c r="G66" s="112">
        <v>5</v>
      </c>
      <c r="H66" s="121">
        <v>0.58134259259259258</v>
      </c>
      <c r="I66" s="126">
        <f t="shared" si="7"/>
        <v>7.0717592592591805E-3</v>
      </c>
      <c r="J66" s="266">
        <v>52</v>
      </c>
      <c r="K66" s="9"/>
      <c r="L66" s="8"/>
      <c r="M66" s="8"/>
      <c r="N66" s="8"/>
      <c r="O66" s="123">
        <f t="shared" si="21"/>
        <v>0</v>
      </c>
      <c r="P66" s="8"/>
      <c r="Q66" s="8"/>
      <c r="R66" s="8"/>
      <c r="S66" s="8"/>
      <c r="T66" s="8"/>
      <c r="U66" t="str">
        <f t="shared" si="1"/>
        <v>74-1</v>
      </c>
      <c r="V66">
        <f>IF(W66&gt;0,COUNTIF($W$14:W67,W66),"")</f>
        <v>1</v>
      </c>
      <c r="W66">
        <f t="shared" si="18"/>
        <v>74</v>
      </c>
      <c r="X66" s="108">
        <f t="shared" si="19"/>
        <v>0.56983796296296296</v>
      </c>
      <c r="Y66" s="8"/>
      <c r="Z66" t="str">
        <f t="shared" si="4"/>
        <v>52-1</v>
      </c>
      <c r="AA66">
        <f>IF(AB66&gt;0,COUNTIF($AB$14:AB67,AB66),"")</f>
        <v>1</v>
      </c>
      <c r="AB66">
        <f t="shared" si="5"/>
        <v>52</v>
      </c>
      <c r="AC66" s="108">
        <f t="shared" si="6"/>
        <v>0.58134259259259258</v>
      </c>
    </row>
    <row r="67" spans="1:29" ht="18" customHeight="1" x14ac:dyDescent="0.25">
      <c r="A67" s="266">
        <v>74</v>
      </c>
      <c r="B67" s="112">
        <v>51</v>
      </c>
      <c r="C67" s="112">
        <v>1</v>
      </c>
      <c r="D67" s="121">
        <v>0.56983796296296296</v>
      </c>
      <c r="E67" s="126">
        <f t="shared" si="10"/>
        <v>7.0717592592592915E-3</v>
      </c>
      <c r="F67" s="112">
        <v>54</v>
      </c>
      <c r="G67" s="112">
        <v>1</v>
      </c>
      <c r="H67" s="121">
        <v>0.58841435185185187</v>
      </c>
      <c r="I67" s="126">
        <f t="shared" si="7"/>
        <v>7.0717592592592915E-3</v>
      </c>
      <c r="J67" s="266">
        <v>74</v>
      </c>
      <c r="K67" s="9"/>
      <c r="L67" s="8"/>
      <c r="M67" s="8"/>
      <c r="N67" s="8"/>
      <c r="O67" s="123">
        <f t="shared" si="21"/>
        <v>0</v>
      </c>
      <c r="P67" s="8"/>
      <c r="Q67" s="8"/>
      <c r="R67" s="8"/>
      <c r="S67" s="8"/>
      <c r="T67" s="8"/>
      <c r="U67" t="str">
        <f t="shared" si="1"/>
        <v>53-1</v>
      </c>
      <c r="V67">
        <f>IF(W67&gt;0,COUNTIF($W$14:W68,W67),"")</f>
        <v>1</v>
      </c>
      <c r="W67">
        <f t="shared" si="18"/>
        <v>53</v>
      </c>
      <c r="X67" s="108">
        <f t="shared" si="19"/>
        <v>0.57690972222222225</v>
      </c>
      <c r="Y67" s="8"/>
      <c r="Z67" t="str">
        <f t="shared" si="4"/>
        <v>74-1</v>
      </c>
      <c r="AA67">
        <f>IF(AB67&gt;0,COUNTIF($AB$14:AB68,AB67),"")</f>
        <v>1</v>
      </c>
      <c r="AB67">
        <f t="shared" si="5"/>
        <v>74</v>
      </c>
      <c r="AC67" s="108">
        <f t="shared" si="6"/>
        <v>0.58841435185185187</v>
      </c>
    </row>
    <row r="68" spans="1:29" ht="18" customHeight="1" x14ac:dyDescent="0.25">
      <c r="A68" s="266">
        <v>53</v>
      </c>
      <c r="B68" s="112">
        <v>52</v>
      </c>
      <c r="C68" s="112">
        <v>2</v>
      </c>
      <c r="D68" s="121">
        <v>0.57690972222222225</v>
      </c>
      <c r="E68" s="126">
        <f t="shared" si="10"/>
        <v>7.0717592592592915E-3</v>
      </c>
      <c r="F68" s="112">
        <v>55</v>
      </c>
      <c r="G68" s="112">
        <v>2</v>
      </c>
      <c r="H68" s="121">
        <v>0.59548611111111105</v>
      </c>
      <c r="I68" s="126">
        <f t="shared" si="7"/>
        <v>7.0717592592591805E-3</v>
      </c>
      <c r="J68" s="266">
        <v>53</v>
      </c>
      <c r="K68" s="9"/>
      <c r="L68" s="8"/>
      <c r="M68" s="8"/>
      <c r="N68" s="8"/>
      <c r="O68" s="123">
        <f t="shared" si="21"/>
        <v>0</v>
      </c>
      <c r="P68" s="8"/>
      <c r="Q68" s="8"/>
      <c r="R68" s="8"/>
      <c r="S68" s="8"/>
      <c r="T68" s="8"/>
      <c r="U68" t="str">
        <f t="shared" si="1"/>
        <v>54-1</v>
      </c>
      <c r="V68">
        <f>IF(W68&gt;0,COUNTIF($W$14:W69,W68),"")</f>
        <v>1</v>
      </c>
      <c r="W68">
        <f t="shared" si="18"/>
        <v>54</v>
      </c>
      <c r="X68" s="108">
        <f t="shared" si="19"/>
        <v>0.58398148148148155</v>
      </c>
      <c r="Y68" s="8"/>
      <c r="Z68" t="str">
        <f t="shared" si="4"/>
        <v>53-1</v>
      </c>
      <c r="AA68">
        <f>IF(AB68&gt;0,COUNTIF($AB$14:AB69,AB68),"")</f>
        <v>1</v>
      </c>
      <c r="AB68">
        <f t="shared" si="5"/>
        <v>53</v>
      </c>
      <c r="AC68" s="108">
        <f t="shared" si="6"/>
        <v>0.59548611111111105</v>
      </c>
    </row>
    <row r="69" spans="1:29" ht="18" customHeight="1" x14ac:dyDescent="0.25">
      <c r="A69" s="266">
        <v>54</v>
      </c>
      <c r="B69" s="112">
        <v>53</v>
      </c>
      <c r="C69" s="112">
        <v>3</v>
      </c>
      <c r="D69" s="121">
        <v>0.58398148148148155</v>
      </c>
      <c r="E69" s="126">
        <f t="shared" si="10"/>
        <v>7.0717592592592915E-3</v>
      </c>
      <c r="F69" s="112">
        <v>56</v>
      </c>
      <c r="G69" s="112">
        <v>3</v>
      </c>
      <c r="H69" s="121">
        <v>0.60255787037037034</v>
      </c>
      <c r="I69" s="126">
        <f t="shared" si="7"/>
        <v>7.0717592592592915E-3</v>
      </c>
      <c r="J69" s="266">
        <v>54</v>
      </c>
      <c r="K69" s="9"/>
      <c r="L69" s="8"/>
      <c r="M69" s="8"/>
      <c r="N69" s="8"/>
      <c r="O69" s="123">
        <f t="shared" si="21"/>
        <v>0</v>
      </c>
      <c r="P69" s="8"/>
      <c r="Q69" s="8"/>
      <c r="R69" s="8"/>
      <c r="S69" s="8"/>
      <c r="T69" s="8"/>
      <c r="U69" t="str">
        <f t="shared" si="1"/>
        <v>55-1</v>
      </c>
      <c r="V69">
        <f>IF(W69&gt;0,COUNTIF($W$14:W70,W69),"")</f>
        <v>1</v>
      </c>
      <c r="W69">
        <f t="shared" si="18"/>
        <v>55</v>
      </c>
      <c r="X69" s="108">
        <f t="shared" si="19"/>
        <v>0.59105324074074073</v>
      </c>
      <c r="Y69" s="8"/>
      <c r="Z69" t="str">
        <f t="shared" si="4"/>
        <v>54-1</v>
      </c>
      <c r="AA69">
        <f>IF(AB69&gt;0,COUNTIF($AB$14:AB70,AB69),"")</f>
        <v>1</v>
      </c>
      <c r="AB69">
        <f t="shared" si="5"/>
        <v>54</v>
      </c>
      <c r="AC69" s="108">
        <f t="shared" si="6"/>
        <v>0.60255787037037034</v>
      </c>
    </row>
    <row r="70" spans="1:29" ht="18" customHeight="1" x14ac:dyDescent="0.25">
      <c r="A70" s="266">
        <v>55</v>
      </c>
      <c r="B70" s="112">
        <v>54</v>
      </c>
      <c r="C70" s="112">
        <v>4</v>
      </c>
      <c r="D70" s="121">
        <v>0.59105324074074073</v>
      </c>
      <c r="E70" s="126">
        <f t="shared" si="10"/>
        <v>7.0717592592591805E-3</v>
      </c>
      <c r="F70" s="112">
        <v>57</v>
      </c>
      <c r="G70" s="112">
        <v>4</v>
      </c>
      <c r="H70" s="121">
        <v>0.60962962962962963</v>
      </c>
      <c r="I70" s="126">
        <f t="shared" si="7"/>
        <v>7.0717592592592915E-3</v>
      </c>
      <c r="J70" s="266">
        <v>55</v>
      </c>
      <c r="K70" s="9"/>
      <c r="L70" s="8"/>
      <c r="M70" s="8"/>
      <c r="N70" s="8"/>
      <c r="O70" s="123">
        <f t="shared" si="21"/>
        <v>0</v>
      </c>
      <c r="P70" s="8"/>
      <c r="Q70" s="8"/>
      <c r="R70" s="8"/>
      <c r="S70" s="8"/>
      <c r="T70" s="8"/>
      <c r="U70" t="str">
        <f t="shared" si="1"/>
        <v>71-2</v>
      </c>
      <c r="V70">
        <f>IF(W70&gt;0,COUNTIF($W$14:W71,W70),"")</f>
        <v>2</v>
      </c>
      <c r="W70">
        <f t="shared" si="18"/>
        <v>71</v>
      </c>
      <c r="X70" s="108">
        <f t="shared" si="19"/>
        <v>0.59812500000000002</v>
      </c>
      <c r="Y70" s="8"/>
      <c r="Z70" t="str">
        <f t="shared" si="4"/>
        <v>55-1</v>
      </c>
      <c r="AA70">
        <f>IF(AB70&gt;0,COUNTIF($AB$14:AB71,AB70),"")</f>
        <v>1</v>
      </c>
      <c r="AB70">
        <f t="shared" si="5"/>
        <v>55</v>
      </c>
      <c r="AC70" s="108">
        <f t="shared" si="6"/>
        <v>0.60962962962962963</v>
      </c>
    </row>
    <row r="71" spans="1:29" ht="18" customHeight="1" x14ac:dyDescent="0.25">
      <c r="A71" s="266">
        <v>71</v>
      </c>
      <c r="B71" s="112">
        <v>55</v>
      </c>
      <c r="C71" s="112">
        <v>5</v>
      </c>
      <c r="D71" s="121">
        <v>0.59812500000000002</v>
      </c>
      <c r="E71" s="126">
        <f t="shared" si="10"/>
        <v>7.0717592592592915E-3</v>
      </c>
      <c r="F71" s="112">
        <v>58</v>
      </c>
      <c r="G71" s="112">
        <v>5</v>
      </c>
      <c r="H71" s="121">
        <v>0.61670138888888892</v>
      </c>
      <c r="I71" s="126">
        <f t="shared" si="7"/>
        <v>7.0717592592592915E-3</v>
      </c>
      <c r="J71" s="266">
        <v>71</v>
      </c>
      <c r="K71" s="9"/>
      <c r="L71" s="8"/>
      <c r="M71" s="8"/>
      <c r="N71" s="8"/>
      <c r="O71" s="123">
        <f t="shared" si="21"/>
        <v>0</v>
      </c>
      <c r="P71" s="8"/>
      <c r="Q71" s="8"/>
      <c r="R71" s="8"/>
      <c r="S71" s="8"/>
      <c r="T71" s="8"/>
      <c r="U71" t="str">
        <f t="shared" si="1"/>
        <v>72-2</v>
      </c>
      <c r="V71">
        <f>IF(W71&gt;0,COUNTIF($W$14:W72,W71),"")</f>
        <v>2</v>
      </c>
      <c r="W71">
        <f t="shared" si="18"/>
        <v>72</v>
      </c>
      <c r="X71" s="108">
        <f t="shared" si="19"/>
        <v>0.6051967592592592</v>
      </c>
      <c r="Y71" s="8"/>
      <c r="Z71" t="str">
        <f t="shared" si="4"/>
        <v>71-2</v>
      </c>
      <c r="AA71">
        <f>IF(AB71&gt;0,COUNTIF($AB$14:AB72,AB71),"")</f>
        <v>2</v>
      </c>
      <c r="AB71">
        <f t="shared" si="5"/>
        <v>71</v>
      </c>
      <c r="AC71" s="108">
        <f t="shared" si="6"/>
        <v>0.61670138888888892</v>
      </c>
    </row>
    <row r="72" spans="1:29" ht="18" customHeight="1" x14ac:dyDescent="0.25">
      <c r="A72" s="266">
        <v>72</v>
      </c>
      <c r="B72" s="112">
        <v>56</v>
      </c>
      <c r="C72" s="112">
        <v>1</v>
      </c>
      <c r="D72" s="121">
        <v>0.6051967592592592</v>
      </c>
      <c r="E72" s="126">
        <f t="shared" si="10"/>
        <v>7.0717592592591805E-3</v>
      </c>
      <c r="F72" s="112">
        <v>59</v>
      </c>
      <c r="G72" s="112">
        <v>1</v>
      </c>
      <c r="H72" s="121">
        <v>0.62377314814814822</v>
      </c>
      <c r="I72" s="126">
        <f t="shared" si="7"/>
        <v>7.0717592592592915E-3</v>
      </c>
      <c r="J72" s="266">
        <v>72</v>
      </c>
      <c r="K72" s="9"/>
      <c r="L72" s="8"/>
      <c r="M72" s="8"/>
      <c r="N72" s="8"/>
      <c r="O72" s="123">
        <f t="shared" si="21"/>
        <v>0</v>
      </c>
      <c r="P72" s="8"/>
      <c r="Q72" s="8"/>
      <c r="R72" s="8"/>
      <c r="S72" s="8"/>
      <c r="T72" s="8"/>
      <c r="U72" t="str">
        <f t="shared" si="1"/>
        <v>21-6</v>
      </c>
      <c r="V72">
        <f>IF(W72&gt;0,COUNTIF($W$14:W73,W72),"")</f>
        <v>6</v>
      </c>
      <c r="W72">
        <f t="shared" si="18"/>
        <v>21</v>
      </c>
      <c r="X72" s="108">
        <f t="shared" si="19"/>
        <v>0.61226851851851849</v>
      </c>
      <c r="Y72" s="8"/>
      <c r="Z72" t="str">
        <f t="shared" si="4"/>
        <v>72-2</v>
      </c>
      <c r="AA72">
        <f>IF(AB72&gt;0,COUNTIF($AB$14:AB73,AB72),"")</f>
        <v>2</v>
      </c>
      <c r="AB72">
        <f t="shared" si="5"/>
        <v>72</v>
      </c>
      <c r="AC72" s="108">
        <f t="shared" si="6"/>
        <v>0.62377314814814822</v>
      </c>
    </row>
    <row r="73" spans="1:29" ht="18" customHeight="1" x14ac:dyDescent="0.25">
      <c r="A73" s="266">
        <v>21</v>
      </c>
      <c r="B73" s="112">
        <v>57</v>
      </c>
      <c r="C73" s="112">
        <v>2</v>
      </c>
      <c r="D73" s="121">
        <v>0.61226851851851849</v>
      </c>
      <c r="E73" s="126">
        <f t="shared" si="10"/>
        <v>7.0717592592592915E-3</v>
      </c>
      <c r="F73" s="112">
        <v>60</v>
      </c>
      <c r="G73" s="112">
        <v>2</v>
      </c>
      <c r="H73" s="121">
        <v>0.6308449074074074</v>
      </c>
      <c r="I73" s="126">
        <f t="shared" si="7"/>
        <v>7.0717592592591805E-3</v>
      </c>
      <c r="J73" s="266">
        <v>21</v>
      </c>
      <c r="K73" s="9"/>
      <c r="L73" s="8"/>
      <c r="M73" s="8"/>
      <c r="N73" s="8"/>
      <c r="O73" s="123">
        <f t="shared" si="21"/>
        <v>0</v>
      </c>
      <c r="P73" s="8"/>
      <c r="Q73" s="8"/>
      <c r="R73" s="8"/>
      <c r="S73" s="8"/>
      <c r="T73" s="8"/>
      <c r="U73" t="str">
        <f t="shared" si="1"/>
        <v>56-1</v>
      </c>
      <c r="V73">
        <f>IF(W73&gt;0,COUNTIF($W$14:W74,W73),"")</f>
        <v>1</v>
      </c>
      <c r="W73">
        <f t="shared" si="18"/>
        <v>56</v>
      </c>
      <c r="X73" s="108">
        <f t="shared" si="19"/>
        <v>0.61934027777777778</v>
      </c>
      <c r="Y73" s="8"/>
      <c r="Z73" t="str">
        <f t="shared" si="4"/>
        <v>21-6</v>
      </c>
      <c r="AA73">
        <f>IF(AB73&gt;0,COUNTIF($AB$14:AB74,AB73),"")</f>
        <v>6</v>
      </c>
      <c r="AB73">
        <f t="shared" si="5"/>
        <v>21</v>
      </c>
      <c r="AC73" s="108">
        <f t="shared" si="6"/>
        <v>0.6308449074074074</v>
      </c>
    </row>
    <row r="74" spans="1:29" ht="18" customHeight="1" x14ac:dyDescent="0.25">
      <c r="A74" s="266">
        <v>56</v>
      </c>
      <c r="B74" s="112">
        <v>58</v>
      </c>
      <c r="C74" s="112">
        <v>3</v>
      </c>
      <c r="D74" s="121">
        <v>0.61934027777777778</v>
      </c>
      <c r="E74" s="126">
        <f t="shared" si="10"/>
        <v>7.0717592592592915E-3</v>
      </c>
      <c r="F74" s="112">
        <v>61</v>
      </c>
      <c r="G74" s="112">
        <v>3</v>
      </c>
      <c r="H74" s="121">
        <v>0.63791666666666669</v>
      </c>
      <c r="I74" s="126">
        <f t="shared" si="7"/>
        <v>7.0717592592592915E-3</v>
      </c>
      <c r="J74" s="266">
        <v>56</v>
      </c>
      <c r="K74" s="9"/>
      <c r="L74" s="8"/>
      <c r="M74" s="8"/>
      <c r="N74" s="8"/>
      <c r="O74" s="123">
        <f t="shared" si="21"/>
        <v>0</v>
      </c>
      <c r="P74" s="8"/>
      <c r="Q74" s="8"/>
      <c r="R74" s="8"/>
      <c r="S74" s="8"/>
      <c r="T74" s="8"/>
      <c r="U74" t="str">
        <f t="shared" si="1"/>
        <v>51-2</v>
      </c>
      <c r="V74">
        <f>IF(W74&gt;0,COUNTIF($W$14:W75,W74),"")</f>
        <v>2</v>
      </c>
      <c r="W74">
        <f t="shared" si="18"/>
        <v>51</v>
      </c>
      <c r="X74" s="108">
        <f t="shared" si="19"/>
        <v>0.62641203703703707</v>
      </c>
      <c r="Y74" s="8"/>
      <c r="Z74" t="str">
        <f t="shared" si="4"/>
        <v>56-1</v>
      </c>
      <c r="AA74">
        <f>IF(AB74&gt;0,COUNTIF($AB$14:AB75,AB74),"")</f>
        <v>1</v>
      </c>
      <c r="AB74">
        <f t="shared" si="5"/>
        <v>56</v>
      </c>
      <c r="AC74" s="108">
        <f t="shared" si="6"/>
        <v>0.63791666666666669</v>
      </c>
    </row>
    <row r="75" spans="1:29" ht="18" customHeight="1" x14ac:dyDescent="0.25">
      <c r="A75" s="266">
        <v>51</v>
      </c>
      <c r="B75" s="112">
        <v>59</v>
      </c>
      <c r="C75" s="112">
        <v>4</v>
      </c>
      <c r="D75" s="121">
        <v>0.62641203703703707</v>
      </c>
      <c r="E75" s="126">
        <f t="shared" si="10"/>
        <v>7.0717592592592915E-3</v>
      </c>
      <c r="F75" s="112">
        <v>62</v>
      </c>
      <c r="G75" s="112">
        <v>4</v>
      </c>
      <c r="H75" s="121">
        <v>0.64498842592592587</v>
      </c>
      <c r="I75" s="126">
        <f t="shared" si="7"/>
        <v>7.0717592592591805E-3</v>
      </c>
      <c r="J75" s="266">
        <v>51</v>
      </c>
      <c r="K75" s="9"/>
      <c r="L75" s="8"/>
      <c r="M75" s="8"/>
      <c r="N75" s="8"/>
      <c r="O75" s="123">
        <f t="shared" si="21"/>
        <v>0</v>
      </c>
      <c r="P75" s="8"/>
      <c r="Q75" s="8"/>
      <c r="R75" s="8"/>
      <c r="S75" s="8"/>
      <c r="T75" s="8"/>
      <c r="U75" t="str">
        <f t="shared" si="1"/>
        <v>73-2</v>
      </c>
      <c r="V75">
        <f>IF(W75&gt;0,COUNTIF($W$14:W76,W75),"")</f>
        <v>2</v>
      </c>
      <c r="W75">
        <f t="shared" si="18"/>
        <v>73</v>
      </c>
      <c r="X75" s="108">
        <f t="shared" si="19"/>
        <v>0.63348379629629636</v>
      </c>
      <c r="Y75" s="8"/>
      <c r="Z75" t="str">
        <f t="shared" si="4"/>
        <v>51-2</v>
      </c>
      <c r="AA75">
        <f>IF(AB75&gt;0,COUNTIF($AB$14:AB76,AB75),"")</f>
        <v>2</v>
      </c>
      <c r="AB75">
        <f t="shared" si="5"/>
        <v>51</v>
      </c>
      <c r="AC75" s="108">
        <f t="shared" si="6"/>
        <v>0.64498842592592587</v>
      </c>
    </row>
    <row r="76" spans="1:29" ht="18" customHeight="1" x14ac:dyDescent="0.25">
      <c r="A76" s="266">
        <v>73</v>
      </c>
      <c r="B76" s="112">
        <v>60</v>
      </c>
      <c r="C76" s="112">
        <v>5</v>
      </c>
      <c r="D76" s="121">
        <v>0.63348379629629636</v>
      </c>
      <c r="E76" s="126">
        <f t="shared" si="10"/>
        <v>7.0717592592592915E-3</v>
      </c>
      <c r="F76" s="112">
        <v>63</v>
      </c>
      <c r="G76" s="112">
        <v>5</v>
      </c>
      <c r="H76" s="121">
        <v>0.65206018518518516</v>
      </c>
      <c r="I76" s="126">
        <f t="shared" si="7"/>
        <v>7.0717592592592915E-3</v>
      </c>
      <c r="J76" s="266">
        <v>73</v>
      </c>
      <c r="K76" s="9"/>
      <c r="L76" s="8"/>
      <c r="M76" s="8"/>
      <c r="N76" s="8"/>
      <c r="O76" s="123">
        <f t="shared" si="21"/>
        <v>0</v>
      </c>
      <c r="P76" s="8"/>
      <c r="Q76" s="8"/>
      <c r="R76" s="8"/>
      <c r="S76" s="8"/>
      <c r="T76" s="8"/>
      <c r="U76" t="str">
        <f t="shared" si="1"/>
        <v>52-2</v>
      </c>
      <c r="V76">
        <f>IF(W76&gt;0,COUNTIF($W$14:W77,W76),"")</f>
        <v>2</v>
      </c>
      <c r="W76">
        <f t="shared" si="18"/>
        <v>52</v>
      </c>
      <c r="X76" s="108">
        <f t="shared" si="19"/>
        <v>0.64055555555555554</v>
      </c>
      <c r="Y76" s="8"/>
      <c r="Z76" t="str">
        <f t="shared" si="4"/>
        <v>73-2</v>
      </c>
      <c r="AA76">
        <f>IF(AB76&gt;0,COUNTIF($AB$14:AB77,AB76),"")</f>
        <v>2</v>
      </c>
      <c r="AB76">
        <f t="shared" si="5"/>
        <v>73</v>
      </c>
      <c r="AC76" s="108">
        <f t="shared" si="6"/>
        <v>0.65206018518518516</v>
      </c>
    </row>
    <row r="77" spans="1:29" ht="18" customHeight="1" x14ac:dyDescent="0.25">
      <c r="A77" s="266">
        <v>52</v>
      </c>
      <c r="B77" s="112">
        <v>61</v>
      </c>
      <c r="C77" s="112">
        <v>1</v>
      </c>
      <c r="D77" s="121">
        <v>0.64055555555555554</v>
      </c>
      <c r="E77" s="126">
        <f t="shared" si="10"/>
        <v>7.0717592592591805E-3</v>
      </c>
      <c r="F77" s="112">
        <v>64</v>
      </c>
      <c r="G77" s="112">
        <v>1</v>
      </c>
      <c r="H77" s="121">
        <v>0.65913194444444445</v>
      </c>
      <c r="I77" s="126">
        <f t="shared" si="7"/>
        <v>7.0717592592592915E-3</v>
      </c>
      <c r="J77" s="266">
        <v>52</v>
      </c>
      <c r="K77" s="9"/>
      <c r="L77" s="8"/>
      <c r="M77" s="8"/>
      <c r="N77" s="8"/>
      <c r="O77" s="123">
        <f t="shared" si="21"/>
        <v>0</v>
      </c>
      <c r="P77" s="8"/>
      <c r="Q77" s="8"/>
      <c r="R77" s="8"/>
      <c r="S77" s="8"/>
      <c r="T77" s="8"/>
      <c r="U77" t="str">
        <f t="shared" si="1"/>
        <v>74-2</v>
      </c>
      <c r="V77">
        <f>IF(W77&gt;0,COUNTIF($W$14:W78,W77),"")</f>
        <v>2</v>
      </c>
      <c r="W77">
        <f t="shared" si="18"/>
        <v>74</v>
      </c>
      <c r="X77" s="108">
        <f t="shared" si="19"/>
        <v>0.64762731481481484</v>
      </c>
      <c r="Y77" s="8"/>
      <c r="Z77" t="str">
        <f t="shared" si="4"/>
        <v>52-2</v>
      </c>
      <c r="AA77">
        <f>IF(AB77&gt;0,COUNTIF($AB$14:AB78,AB77),"")</f>
        <v>2</v>
      </c>
      <c r="AB77">
        <f t="shared" si="5"/>
        <v>52</v>
      </c>
      <c r="AC77" s="108">
        <f t="shared" si="6"/>
        <v>0.65913194444444445</v>
      </c>
    </row>
    <row r="78" spans="1:29" ht="18" customHeight="1" x14ac:dyDescent="0.25">
      <c r="A78" s="266">
        <v>74</v>
      </c>
      <c r="B78" s="112">
        <v>62</v>
      </c>
      <c r="C78" s="112">
        <v>2</v>
      </c>
      <c r="D78" s="121">
        <v>0.64762731481481484</v>
      </c>
      <c r="E78" s="126">
        <f t="shared" si="10"/>
        <v>7.0717592592592915E-3</v>
      </c>
      <c r="F78" s="112">
        <v>65</v>
      </c>
      <c r="G78" s="112">
        <v>2</v>
      </c>
      <c r="H78" s="121">
        <v>0.66620370370370374</v>
      </c>
      <c r="I78" s="126">
        <f t="shared" si="7"/>
        <v>7.0717592592592915E-3</v>
      </c>
      <c r="J78" s="266">
        <v>74</v>
      </c>
      <c r="K78" s="9"/>
      <c r="L78" s="8"/>
      <c r="M78" s="8"/>
      <c r="N78" s="8"/>
      <c r="O78" s="123">
        <f t="shared" si="21"/>
        <v>0</v>
      </c>
      <c r="P78" s="8"/>
      <c r="Q78" s="8"/>
      <c r="R78" s="8"/>
      <c r="S78" s="8"/>
      <c r="T78" s="8"/>
      <c r="U78" t="str">
        <f t="shared" ref="U78:U136" si="22">IF(AND(W78&gt;0,V78&gt;0),CONCATENATE(W78,-V78),"")</f>
        <v>53-2</v>
      </c>
      <c r="V78">
        <f>IF(W78&gt;0,COUNTIF($W$14:W79,W78),"")</f>
        <v>2</v>
      </c>
      <c r="W78">
        <f t="shared" si="18"/>
        <v>53</v>
      </c>
      <c r="X78" s="108">
        <f t="shared" si="19"/>
        <v>0.65469907407407402</v>
      </c>
      <c r="Y78" s="8"/>
      <c r="Z78" t="str">
        <f t="shared" ref="Z78:Z136" si="23">IF(AND(AB78&gt;0,AA78&gt;0),CONCATENATE(AB78,-AA78),"")</f>
        <v>74-2</v>
      </c>
      <c r="AA78">
        <f>IF(AB78&gt;0,COUNTIF($AB$14:AB79,AB78),"")</f>
        <v>2</v>
      </c>
      <c r="AB78">
        <f t="shared" ref="AB78:AB136" si="24">J78</f>
        <v>74</v>
      </c>
      <c r="AC78" s="108">
        <f t="shared" ref="AC78:AC109" si="25">H78</f>
        <v>0.66620370370370374</v>
      </c>
    </row>
    <row r="79" spans="1:29" ht="18" customHeight="1" x14ac:dyDescent="0.25">
      <c r="A79" s="266">
        <v>53</v>
      </c>
      <c r="B79" s="112">
        <v>63</v>
      </c>
      <c r="C79" s="112">
        <v>3</v>
      </c>
      <c r="D79" s="121">
        <v>0.65469907407407402</v>
      </c>
      <c r="E79" s="126">
        <f t="shared" si="10"/>
        <v>7.0717592592591805E-3</v>
      </c>
      <c r="F79" s="112">
        <v>66</v>
      </c>
      <c r="G79" s="112">
        <v>3</v>
      </c>
      <c r="H79" s="121">
        <v>0.67327546296296292</v>
      </c>
      <c r="I79" s="126">
        <f t="shared" ref="I79:I116" si="26">H79-H78</f>
        <v>7.0717592592591805E-3</v>
      </c>
      <c r="J79" s="266">
        <v>53</v>
      </c>
      <c r="K79" s="9"/>
      <c r="L79" s="8"/>
      <c r="M79" s="8"/>
      <c r="N79" s="8"/>
      <c r="O79" s="123">
        <f t="shared" si="21"/>
        <v>0</v>
      </c>
      <c r="P79" s="8"/>
      <c r="Q79" s="8"/>
      <c r="R79" s="8"/>
      <c r="S79" s="8"/>
      <c r="T79" s="8"/>
      <c r="U79" t="str">
        <f t="shared" si="22"/>
        <v>54-2</v>
      </c>
      <c r="V79">
        <f>IF(W79&gt;0,COUNTIF($W$14:W80,W79),"")</f>
        <v>2</v>
      </c>
      <c r="W79">
        <f t="shared" ref="W79:W110" si="27">A80</f>
        <v>54</v>
      </c>
      <c r="X79" s="108">
        <f t="shared" ref="X79:X110" si="28">D80</f>
        <v>0.66177083333333331</v>
      </c>
      <c r="Y79" s="8"/>
      <c r="Z79" t="str">
        <f t="shared" si="23"/>
        <v>53-2</v>
      </c>
      <c r="AA79">
        <f>IF(AB79&gt;0,COUNTIF($AB$14:AB80,AB79),"")</f>
        <v>2</v>
      </c>
      <c r="AB79">
        <f t="shared" si="24"/>
        <v>53</v>
      </c>
      <c r="AC79" s="108">
        <f t="shared" si="25"/>
        <v>0.67327546296296292</v>
      </c>
    </row>
    <row r="80" spans="1:29" ht="18" customHeight="1" x14ac:dyDescent="0.25">
      <c r="A80" s="266">
        <v>54</v>
      </c>
      <c r="B80" s="112">
        <v>64</v>
      </c>
      <c r="C80" s="112">
        <v>4</v>
      </c>
      <c r="D80" s="121">
        <v>0.66177083333333331</v>
      </c>
      <c r="E80" s="126">
        <f t="shared" si="10"/>
        <v>7.0717592592592915E-3</v>
      </c>
      <c r="F80" s="112">
        <v>67</v>
      </c>
      <c r="G80" s="112">
        <v>4</v>
      </c>
      <c r="H80" s="121">
        <v>0.68034722222222221</v>
      </c>
      <c r="I80" s="126">
        <f t="shared" si="26"/>
        <v>7.0717592592592915E-3</v>
      </c>
      <c r="J80" s="266">
        <v>54</v>
      </c>
      <c r="K80" s="9"/>
      <c r="L80" s="8"/>
      <c r="M80" s="8"/>
      <c r="N80" s="8"/>
      <c r="O80" s="123">
        <f t="shared" si="21"/>
        <v>0</v>
      </c>
      <c r="P80" s="8"/>
      <c r="Q80" s="8"/>
      <c r="R80" s="8"/>
      <c r="S80" s="8"/>
      <c r="T80" s="8"/>
      <c r="U80" t="str">
        <f t="shared" si="22"/>
        <v>55-2</v>
      </c>
      <c r="V80">
        <f>IF(W80&gt;0,COUNTIF($W$14:W81,W80),"")</f>
        <v>2</v>
      </c>
      <c r="W80">
        <f t="shared" si="27"/>
        <v>55</v>
      </c>
      <c r="X80" s="108">
        <f t="shared" si="28"/>
        <v>0.6688425925925926</v>
      </c>
      <c r="Y80" s="8"/>
      <c r="Z80" t="str">
        <f t="shared" si="23"/>
        <v>54-2</v>
      </c>
      <c r="AA80">
        <f>IF(AB80&gt;0,COUNTIF($AB$14:AB81,AB80),"")</f>
        <v>2</v>
      </c>
      <c r="AB80">
        <f t="shared" si="24"/>
        <v>54</v>
      </c>
      <c r="AC80" s="108">
        <f t="shared" si="25"/>
        <v>0.68034722222222221</v>
      </c>
    </row>
    <row r="81" spans="1:29" ht="18" customHeight="1" x14ac:dyDescent="0.25">
      <c r="A81" s="266">
        <v>55</v>
      </c>
      <c r="B81" s="112">
        <v>65</v>
      </c>
      <c r="C81" s="112">
        <v>5</v>
      </c>
      <c r="D81" s="121">
        <v>0.6688425925925926</v>
      </c>
      <c r="E81" s="126">
        <f t="shared" si="10"/>
        <v>7.0717592592592915E-3</v>
      </c>
      <c r="F81" s="112">
        <v>68</v>
      </c>
      <c r="G81" s="112">
        <v>5</v>
      </c>
      <c r="H81" s="121">
        <v>0.68741898148148151</v>
      </c>
      <c r="I81" s="126">
        <f t="shared" si="26"/>
        <v>7.0717592592592915E-3</v>
      </c>
      <c r="J81" s="266">
        <v>55</v>
      </c>
      <c r="K81" s="9"/>
      <c r="L81" s="8"/>
      <c r="M81" s="8"/>
      <c r="N81" s="8"/>
      <c r="O81" s="123">
        <f t="shared" si="21"/>
        <v>0</v>
      </c>
      <c r="P81" s="8"/>
      <c r="Q81" s="8"/>
      <c r="R81" s="8"/>
      <c r="S81" s="8"/>
      <c r="T81" s="8"/>
      <c r="U81" t="str">
        <f t="shared" si="22"/>
        <v>71-3</v>
      </c>
      <c r="V81">
        <f>IF(W81&gt;0,COUNTIF($W$14:W82,W81),"")</f>
        <v>3</v>
      </c>
      <c r="W81">
        <f t="shared" si="27"/>
        <v>71</v>
      </c>
      <c r="X81" s="108">
        <f t="shared" si="28"/>
        <v>0.67388888888888887</v>
      </c>
      <c r="Y81" s="8"/>
      <c r="Z81" t="str">
        <f t="shared" si="23"/>
        <v>55-2</v>
      </c>
      <c r="AA81">
        <f>IF(AB81&gt;0,COUNTIF($AB$14:AB82,AB81),"")</f>
        <v>2</v>
      </c>
      <c r="AB81">
        <f t="shared" si="24"/>
        <v>55</v>
      </c>
      <c r="AC81" s="108">
        <f t="shared" si="25"/>
        <v>0.68741898148148151</v>
      </c>
    </row>
    <row r="82" spans="1:29" ht="18" customHeight="1" x14ac:dyDescent="0.25">
      <c r="A82" s="266">
        <v>71</v>
      </c>
      <c r="B82" s="112">
        <v>66</v>
      </c>
      <c r="C82" s="168">
        <v>8</v>
      </c>
      <c r="D82" s="130">
        <v>0.67388888888888887</v>
      </c>
      <c r="E82" s="131">
        <f t="shared" si="10"/>
        <v>5.046296296296271E-3</v>
      </c>
      <c r="F82" s="112">
        <v>69</v>
      </c>
      <c r="G82" s="112">
        <v>8</v>
      </c>
      <c r="H82" s="121">
        <v>0.69246527777777767</v>
      </c>
      <c r="I82" s="126">
        <f t="shared" si="26"/>
        <v>5.0462962962961599E-3</v>
      </c>
      <c r="J82" s="266">
        <v>71</v>
      </c>
      <c r="K82" s="9"/>
      <c r="L82" s="8"/>
      <c r="M82" s="8"/>
      <c r="N82" s="8"/>
      <c r="O82" s="123">
        <f t="shared" si="21"/>
        <v>0</v>
      </c>
      <c r="P82" s="8"/>
      <c r="Q82" s="8"/>
      <c r="R82" s="8"/>
      <c r="S82" s="8"/>
      <c r="T82" s="8"/>
      <c r="U82" t="str">
        <f t="shared" si="22"/>
        <v>72-3</v>
      </c>
      <c r="V82">
        <f>IF(W82&gt;0,COUNTIF($W$14:W83,W82),"")</f>
        <v>3</v>
      </c>
      <c r="W82">
        <f t="shared" si="27"/>
        <v>72</v>
      </c>
      <c r="X82" s="108">
        <f t="shared" si="28"/>
        <v>0.67893518518518514</v>
      </c>
      <c r="Y82" s="8"/>
      <c r="Z82" t="str">
        <f t="shared" si="23"/>
        <v>71-3</v>
      </c>
      <c r="AA82">
        <f>IF(AB82&gt;0,COUNTIF($AB$14:AB83,AB82),"")</f>
        <v>3</v>
      </c>
      <c r="AB82">
        <f t="shared" si="24"/>
        <v>71</v>
      </c>
      <c r="AC82" s="108">
        <f t="shared" si="25"/>
        <v>0.69246527777777767</v>
      </c>
    </row>
    <row r="83" spans="1:29" ht="18" customHeight="1" x14ac:dyDescent="0.25">
      <c r="A83" s="266">
        <v>72</v>
      </c>
      <c r="B83" s="112">
        <v>67</v>
      </c>
      <c r="C83" s="112">
        <v>1</v>
      </c>
      <c r="D83" s="121">
        <v>0.67893518518518514</v>
      </c>
      <c r="E83" s="126">
        <f t="shared" ref="E83:E119" si="29">D83-D82</f>
        <v>5.046296296296271E-3</v>
      </c>
      <c r="F83" s="112">
        <v>70</v>
      </c>
      <c r="G83" s="112">
        <v>1</v>
      </c>
      <c r="H83" s="121">
        <v>0.69751157407407405</v>
      </c>
      <c r="I83" s="126">
        <f t="shared" si="26"/>
        <v>5.046296296296382E-3</v>
      </c>
      <c r="J83" s="266">
        <v>72</v>
      </c>
      <c r="K83" s="9"/>
      <c r="L83" s="8"/>
      <c r="M83" s="8"/>
      <c r="N83" s="8"/>
      <c r="O83" s="123">
        <f t="shared" si="21"/>
        <v>0</v>
      </c>
      <c r="P83" s="8"/>
      <c r="Q83" s="8"/>
      <c r="R83" s="8"/>
      <c r="S83" s="8"/>
      <c r="T83" s="8"/>
      <c r="U83" t="str">
        <f t="shared" si="22"/>
        <v>56-2</v>
      </c>
      <c r="V83">
        <f>IF(W83&gt;0,COUNTIF($W$14:W84,W83),"")</f>
        <v>2</v>
      </c>
      <c r="W83">
        <f t="shared" si="27"/>
        <v>56</v>
      </c>
      <c r="X83" s="108">
        <f t="shared" si="28"/>
        <v>0.68398148148148152</v>
      </c>
      <c r="Y83" s="8"/>
      <c r="Z83" t="str">
        <f t="shared" si="23"/>
        <v>72-3</v>
      </c>
      <c r="AA83">
        <f>IF(AB83&gt;0,COUNTIF($AB$14:AB84,AB83),"")</f>
        <v>3</v>
      </c>
      <c r="AB83">
        <f t="shared" si="24"/>
        <v>72</v>
      </c>
      <c r="AC83" s="108">
        <f t="shared" si="25"/>
        <v>0.69751157407407405</v>
      </c>
    </row>
    <row r="84" spans="1:29" ht="18" customHeight="1" x14ac:dyDescent="0.25">
      <c r="A84" s="266">
        <v>56</v>
      </c>
      <c r="B84" s="112">
        <v>68</v>
      </c>
      <c r="C84" s="112">
        <v>2</v>
      </c>
      <c r="D84" s="121">
        <v>0.68398148148148152</v>
      </c>
      <c r="E84" s="126">
        <f t="shared" si="29"/>
        <v>5.046296296296382E-3</v>
      </c>
      <c r="F84" s="112">
        <v>71</v>
      </c>
      <c r="G84" s="112">
        <v>2</v>
      </c>
      <c r="H84" s="121">
        <v>0.70255787037037043</v>
      </c>
      <c r="I84" s="126">
        <f t="shared" si="26"/>
        <v>5.046296296296382E-3</v>
      </c>
      <c r="J84" s="266">
        <v>56</v>
      </c>
      <c r="K84" s="9"/>
      <c r="L84" s="8"/>
      <c r="M84" s="8"/>
      <c r="N84" s="8"/>
      <c r="O84" s="123">
        <f t="shared" si="21"/>
        <v>0</v>
      </c>
      <c r="P84" s="8"/>
      <c r="Q84" s="8"/>
      <c r="R84" s="8"/>
      <c r="S84" s="8"/>
      <c r="T84" s="8"/>
      <c r="U84" t="str">
        <f t="shared" si="22"/>
        <v>51-3</v>
      </c>
      <c r="V84">
        <f>IF(W84&gt;0,COUNTIF($W$14:W85,W84),"")</f>
        <v>3</v>
      </c>
      <c r="W84">
        <f t="shared" si="27"/>
        <v>51</v>
      </c>
      <c r="X84" s="108">
        <f t="shared" si="28"/>
        <v>0.68902777777777768</v>
      </c>
      <c r="Y84" s="8"/>
      <c r="Z84" t="str">
        <f t="shared" si="23"/>
        <v>56-2</v>
      </c>
      <c r="AA84">
        <f>IF(AB84&gt;0,COUNTIF($AB$14:AB85,AB84),"")</f>
        <v>2</v>
      </c>
      <c r="AB84">
        <f t="shared" si="24"/>
        <v>56</v>
      </c>
      <c r="AC84" s="108">
        <f t="shared" si="25"/>
        <v>0.70255787037037043</v>
      </c>
    </row>
    <row r="85" spans="1:29" ht="18" customHeight="1" x14ac:dyDescent="0.25">
      <c r="A85" s="266">
        <v>51</v>
      </c>
      <c r="B85" s="112">
        <v>69</v>
      </c>
      <c r="C85" s="168">
        <v>9</v>
      </c>
      <c r="D85" s="130">
        <v>0.68902777777777768</v>
      </c>
      <c r="E85" s="131">
        <f t="shared" si="29"/>
        <v>5.0462962962961599E-3</v>
      </c>
      <c r="F85" s="112">
        <v>72</v>
      </c>
      <c r="G85" s="112">
        <v>9</v>
      </c>
      <c r="H85" s="121">
        <v>0.7076041666666667</v>
      </c>
      <c r="I85" s="126">
        <f t="shared" si="26"/>
        <v>5.046296296296271E-3</v>
      </c>
      <c r="J85" s="266">
        <v>51</v>
      </c>
      <c r="K85" s="9"/>
      <c r="L85" s="8"/>
      <c r="M85" s="8"/>
      <c r="N85" s="8"/>
      <c r="O85" s="123">
        <f t="shared" si="21"/>
        <v>0</v>
      </c>
      <c r="P85" s="8"/>
      <c r="Q85" s="8"/>
      <c r="R85" s="8"/>
      <c r="S85" s="8"/>
      <c r="T85" s="8"/>
      <c r="U85" t="str">
        <f t="shared" si="22"/>
        <v>73-3</v>
      </c>
      <c r="V85">
        <f>IF(W85&gt;0,COUNTIF($W$14:W86,W85),"")</f>
        <v>3</v>
      </c>
      <c r="W85">
        <f t="shared" si="27"/>
        <v>73</v>
      </c>
      <c r="X85" s="108">
        <f t="shared" si="28"/>
        <v>0.69407407407407407</v>
      </c>
      <c r="Y85" s="8"/>
      <c r="Z85" t="str">
        <f t="shared" si="23"/>
        <v>51-3</v>
      </c>
      <c r="AA85">
        <f>IF(AB85&gt;0,COUNTIF($AB$14:AB86,AB85),"")</f>
        <v>3</v>
      </c>
      <c r="AB85">
        <f t="shared" si="24"/>
        <v>51</v>
      </c>
      <c r="AC85" s="108">
        <f t="shared" si="25"/>
        <v>0.7076041666666667</v>
      </c>
    </row>
    <row r="86" spans="1:29" ht="18" customHeight="1" x14ac:dyDescent="0.25">
      <c r="A86" s="266">
        <v>73</v>
      </c>
      <c r="B86" s="112">
        <v>70</v>
      </c>
      <c r="C86" s="112">
        <v>3</v>
      </c>
      <c r="D86" s="121">
        <v>0.69407407407407407</v>
      </c>
      <c r="E86" s="126">
        <f t="shared" si="29"/>
        <v>5.046296296296382E-3</v>
      </c>
      <c r="F86" s="112">
        <v>73</v>
      </c>
      <c r="G86" s="112">
        <v>3</v>
      </c>
      <c r="H86" s="121">
        <v>0.71265046296296297</v>
      </c>
      <c r="I86" s="126">
        <f t="shared" si="26"/>
        <v>5.046296296296271E-3</v>
      </c>
      <c r="J86" s="266">
        <v>73</v>
      </c>
      <c r="K86" s="9"/>
      <c r="L86" s="8"/>
      <c r="M86" s="8"/>
      <c r="N86" s="8"/>
      <c r="O86" s="123">
        <f t="shared" si="21"/>
        <v>0</v>
      </c>
      <c r="P86" s="8"/>
      <c r="Q86" s="8"/>
      <c r="R86" s="8"/>
      <c r="S86" s="8"/>
      <c r="T86" s="8"/>
      <c r="U86" t="str">
        <f t="shared" si="22"/>
        <v>52-3</v>
      </c>
      <c r="V86">
        <f>IF(W86&gt;0,COUNTIF($W$14:W87,W86),"")</f>
        <v>3</v>
      </c>
      <c r="W86">
        <f t="shared" si="27"/>
        <v>52</v>
      </c>
      <c r="X86" s="108">
        <f t="shared" si="28"/>
        <v>0.69912037037037045</v>
      </c>
      <c r="Y86" s="8"/>
      <c r="Z86" t="str">
        <f t="shared" si="23"/>
        <v>73-3</v>
      </c>
      <c r="AA86">
        <f>IF(AB86&gt;0,COUNTIF($AB$14:AB87,AB86),"")</f>
        <v>3</v>
      </c>
      <c r="AB86">
        <f t="shared" si="24"/>
        <v>73</v>
      </c>
      <c r="AC86" s="108">
        <f t="shared" si="25"/>
        <v>0.71265046296296297</v>
      </c>
    </row>
    <row r="87" spans="1:29" ht="18" customHeight="1" x14ac:dyDescent="0.25">
      <c r="A87" s="266">
        <v>52</v>
      </c>
      <c r="B87" s="112">
        <v>71</v>
      </c>
      <c r="C87" s="112">
        <v>4</v>
      </c>
      <c r="D87" s="121">
        <v>0.69912037037037045</v>
      </c>
      <c r="E87" s="126">
        <f t="shared" si="29"/>
        <v>5.046296296296382E-3</v>
      </c>
      <c r="F87" s="112">
        <v>74</v>
      </c>
      <c r="G87" s="112">
        <v>4</v>
      </c>
      <c r="H87" s="121">
        <v>0.71769675925925924</v>
      </c>
      <c r="I87" s="126">
        <f t="shared" si="26"/>
        <v>5.046296296296271E-3</v>
      </c>
      <c r="J87" s="266">
        <v>52</v>
      </c>
      <c r="K87" s="9"/>
      <c r="L87" s="8"/>
      <c r="M87" s="8"/>
      <c r="N87" s="8"/>
      <c r="O87" s="123">
        <f t="shared" si="21"/>
        <v>0</v>
      </c>
      <c r="P87" s="8"/>
      <c r="Q87" s="8"/>
      <c r="R87" s="8"/>
      <c r="S87" s="8"/>
      <c r="T87" s="8"/>
      <c r="U87" t="str">
        <f t="shared" si="22"/>
        <v>74-3</v>
      </c>
      <c r="V87">
        <f>IF(W87&gt;0,COUNTIF($W$14:W88,W87),"")</f>
        <v>3</v>
      </c>
      <c r="W87">
        <f t="shared" si="27"/>
        <v>74</v>
      </c>
      <c r="X87" s="108">
        <f t="shared" si="28"/>
        <v>0.70416666666666661</v>
      </c>
      <c r="Y87" s="8"/>
      <c r="Z87" t="str">
        <f t="shared" si="23"/>
        <v>52-3</v>
      </c>
      <c r="AA87">
        <f>IF(AB87&gt;0,COUNTIF($AB$14:AB88,AB87),"")</f>
        <v>3</v>
      </c>
      <c r="AB87">
        <f t="shared" si="24"/>
        <v>52</v>
      </c>
      <c r="AC87" s="108">
        <f t="shared" si="25"/>
        <v>0.71769675925925924</v>
      </c>
    </row>
    <row r="88" spans="1:29" ht="18" customHeight="1" x14ac:dyDescent="0.25">
      <c r="A88" s="266">
        <v>74</v>
      </c>
      <c r="B88" s="112">
        <v>72</v>
      </c>
      <c r="C88" s="112">
        <v>5</v>
      </c>
      <c r="D88" s="121">
        <v>0.70416666666666661</v>
      </c>
      <c r="E88" s="126">
        <f t="shared" si="29"/>
        <v>5.0462962962961599E-3</v>
      </c>
      <c r="F88" s="112">
        <v>75</v>
      </c>
      <c r="G88" s="112">
        <v>5</v>
      </c>
      <c r="H88" s="121">
        <v>0.72274305555555562</v>
      </c>
      <c r="I88" s="126">
        <f t="shared" si="26"/>
        <v>5.046296296296382E-3</v>
      </c>
      <c r="J88" s="266">
        <v>74</v>
      </c>
      <c r="K88" s="9"/>
      <c r="L88" s="8"/>
      <c r="M88" s="8"/>
      <c r="N88" s="8"/>
      <c r="O88" s="123">
        <f t="shared" si="21"/>
        <v>0</v>
      </c>
      <c r="P88" s="8"/>
      <c r="Q88" s="8"/>
      <c r="R88" s="8"/>
      <c r="S88" s="8"/>
      <c r="T88" s="8"/>
      <c r="U88" t="str">
        <f t="shared" si="22"/>
        <v>53-3</v>
      </c>
      <c r="V88">
        <f>IF(W88&gt;0,COUNTIF($W$14:W89,W88),"")</f>
        <v>3</v>
      </c>
      <c r="W88">
        <f t="shared" si="27"/>
        <v>53</v>
      </c>
      <c r="X88" s="108">
        <f t="shared" si="28"/>
        <v>0.70921296296296299</v>
      </c>
      <c r="Y88" s="8"/>
      <c r="Z88" t="str">
        <f t="shared" si="23"/>
        <v>74-3</v>
      </c>
      <c r="AA88">
        <f>IF(AB88&gt;0,COUNTIF($AB$14:AB89,AB88),"")</f>
        <v>3</v>
      </c>
      <c r="AB88">
        <f t="shared" si="24"/>
        <v>74</v>
      </c>
      <c r="AC88" s="108">
        <f t="shared" si="25"/>
        <v>0.72274305555555562</v>
      </c>
    </row>
    <row r="89" spans="1:29" ht="18" customHeight="1" x14ac:dyDescent="0.25">
      <c r="A89" s="266">
        <v>53</v>
      </c>
      <c r="B89" s="112">
        <v>73</v>
      </c>
      <c r="C89" s="112">
        <v>8</v>
      </c>
      <c r="D89" s="121">
        <v>0.70921296296296299</v>
      </c>
      <c r="E89" s="126">
        <f t="shared" si="29"/>
        <v>5.046296296296382E-3</v>
      </c>
      <c r="F89" s="112">
        <v>76</v>
      </c>
      <c r="G89" s="112">
        <v>8</v>
      </c>
      <c r="H89" s="121">
        <v>0.72778935185185178</v>
      </c>
      <c r="I89" s="126">
        <f t="shared" si="26"/>
        <v>5.0462962962961599E-3</v>
      </c>
      <c r="J89" s="266">
        <v>53</v>
      </c>
      <c r="K89" s="9"/>
      <c r="L89" s="8"/>
      <c r="M89" s="8"/>
      <c r="N89" s="8"/>
      <c r="O89" s="123">
        <f t="shared" si="21"/>
        <v>0</v>
      </c>
      <c r="P89" s="8"/>
      <c r="Q89" s="8"/>
      <c r="R89" s="8"/>
      <c r="S89" s="8"/>
      <c r="T89" s="8"/>
      <c r="U89" t="str">
        <f t="shared" si="22"/>
        <v>54-3</v>
      </c>
      <c r="V89">
        <f>IF(W89&gt;0,COUNTIF($W$14:W90,W89),"")</f>
        <v>3</v>
      </c>
      <c r="W89">
        <f t="shared" si="27"/>
        <v>54</v>
      </c>
      <c r="X89" s="108">
        <f t="shared" si="28"/>
        <v>0.71425925925925926</v>
      </c>
      <c r="Y89" s="8"/>
      <c r="Z89" t="str">
        <f t="shared" si="23"/>
        <v>53-3</v>
      </c>
      <c r="AA89">
        <f>IF(AB89&gt;0,COUNTIF($AB$14:AB90,AB89),"")</f>
        <v>3</v>
      </c>
      <c r="AB89">
        <f t="shared" si="24"/>
        <v>53</v>
      </c>
      <c r="AC89" s="108">
        <f t="shared" si="25"/>
        <v>0.72778935185185178</v>
      </c>
    </row>
    <row r="90" spans="1:29" ht="18" customHeight="1" x14ac:dyDescent="0.25">
      <c r="A90" s="266">
        <v>54</v>
      </c>
      <c r="B90" s="112">
        <v>74</v>
      </c>
      <c r="C90" s="112">
        <v>1</v>
      </c>
      <c r="D90" s="121">
        <v>0.71425925925925926</v>
      </c>
      <c r="E90" s="126">
        <f t="shared" si="29"/>
        <v>5.046296296296271E-3</v>
      </c>
      <c r="F90" s="112">
        <v>77</v>
      </c>
      <c r="G90" s="112">
        <v>1</v>
      </c>
      <c r="H90" s="121">
        <v>0.73283564814814817</v>
      </c>
      <c r="I90" s="126">
        <f t="shared" si="26"/>
        <v>5.046296296296382E-3</v>
      </c>
      <c r="J90" s="266">
        <v>54</v>
      </c>
      <c r="K90" s="9"/>
      <c r="L90" s="8"/>
      <c r="M90" s="8"/>
      <c r="N90" s="8"/>
      <c r="O90" s="123">
        <f t="shared" si="21"/>
        <v>0</v>
      </c>
      <c r="P90" s="8"/>
      <c r="Q90" s="8"/>
      <c r="R90" s="8"/>
      <c r="S90" s="8"/>
      <c r="T90" s="8"/>
      <c r="U90" t="str">
        <f t="shared" si="22"/>
        <v>55-3</v>
      </c>
      <c r="V90">
        <f>IF(W90&gt;0,COUNTIF($W$14:W91,W90),"")</f>
        <v>3</v>
      </c>
      <c r="W90">
        <f t="shared" si="27"/>
        <v>55</v>
      </c>
      <c r="X90" s="108">
        <f t="shared" si="28"/>
        <v>0.71930555555555553</v>
      </c>
      <c r="Y90" s="8"/>
      <c r="Z90" t="str">
        <f t="shared" si="23"/>
        <v>54-3</v>
      </c>
      <c r="AA90">
        <f>IF(AB90&gt;0,COUNTIF($AB$14:AB91,AB90),"")</f>
        <v>3</v>
      </c>
      <c r="AB90">
        <f t="shared" si="24"/>
        <v>54</v>
      </c>
      <c r="AC90" s="108">
        <f t="shared" si="25"/>
        <v>0.73283564814814817</v>
      </c>
    </row>
    <row r="91" spans="1:29" ht="18" customHeight="1" x14ac:dyDescent="0.25">
      <c r="A91" s="266">
        <v>55</v>
      </c>
      <c r="B91" s="112">
        <v>75</v>
      </c>
      <c r="C91" s="112">
        <v>2</v>
      </c>
      <c r="D91" s="121">
        <v>0.71930555555555553</v>
      </c>
      <c r="E91" s="126">
        <f t="shared" si="29"/>
        <v>5.046296296296271E-3</v>
      </c>
      <c r="F91" s="112">
        <v>78</v>
      </c>
      <c r="G91" s="112">
        <v>2</v>
      </c>
      <c r="H91" s="121">
        <v>0.73788194444444455</v>
      </c>
      <c r="I91" s="126">
        <f t="shared" si="26"/>
        <v>5.046296296296382E-3</v>
      </c>
      <c r="J91" s="266">
        <v>55</v>
      </c>
      <c r="K91" s="9"/>
      <c r="L91" s="8"/>
      <c r="M91" s="8"/>
      <c r="N91" s="8"/>
      <c r="O91" s="123">
        <f t="shared" ref="O91:O122" si="30">COUNTIF($A$25:$A$136,N91)+COUNTIF($J$16:$J$136,N91)</f>
        <v>0</v>
      </c>
      <c r="P91" s="8"/>
      <c r="Q91" s="8"/>
      <c r="R91" s="8"/>
      <c r="S91" s="8"/>
      <c r="T91" s="8"/>
      <c r="U91" t="str">
        <f t="shared" si="22"/>
        <v>71-4</v>
      </c>
      <c r="V91">
        <f>IF(W91&gt;0,COUNTIF($W$14:W92,W91),"")</f>
        <v>4</v>
      </c>
      <c r="W91">
        <f t="shared" si="27"/>
        <v>71</v>
      </c>
      <c r="X91" s="108">
        <f t="shared" si="28"/>
        <v>0.7243518518518518</v>
      </c>
      <c r="Y91" s="8"/>
      <c r="Z91" t="str">
        <f t="shared" si="23"/>
        <v>55-3</v>
      </c>
      <c r="AA91">
        <f>IF(AB91&gt;0,COUNTIF($AB$14:AB92,AB91),"")</f>
        <v>3</v>
      </c>
      <c r="AB91">
        <f t="shared" si="24"/>
        <v>55</v>
      </c>
      <c r="AC91" s="108">
        <f t="shared" si="25"/>
        <v>0.73788194444444455</v>
      </c>
    </row>
    <row r="92" spans="1:29" ht="18" customHeight="1" x14ac:dyDescent="0.25">
      <c r="A92" s="266">
        <v>71</v>
      </c>
      <c r="B92" s="112">
        <v>76</v>
      </c>
      <c r="C92" s="112">
        <v>9</v>
      </c>
      <c r="D92" s="121">
        <v>0.7243518518518518</v>
      </c>
      <c r="E92" s="126">
        <f t="shared" si="29"/>
        <v>5.046296296296271E-3</v>
      </c>
      <c r="F92" s="112">
        <v>79</v>
      </c>
      <c r="G92" s="112">
        <v>9</v>
      </c>
      <c r="H92" s="121">
        <v>0.74292824074074071</v>
      </c>
      <c r="I92" s="126">
        <f t="shared" si="26"/>
        <v>5.0462962962961599E-3</v>
      </c>
      <c r="J92" s="266">
        <v>71</v>
      </c>
      <c r="K92" s="9"/>
      <c r="L92" s="8"/>
      <c r="M92" s="8"/>
      <c r="N92" s="8"/>
      <c r="O92" s="123">
        <f t="shared" si="30"/>
        <v>0</v>
      </c>
      <c r="P92" s="8"/>
      <c r="Q92" s="8"/>
      <c r="R92" s="8"/>
      <c r="S92" s="8"/>
      <c r="T92" s="8"/>
      <c r="U92" t="str">
        <f t="shared" si="22"/>
        <v>72-4</v>
      </c>
      <c r="V92">
        <f>IF(W92&gt;0,COUNTIF($W$14:W93,W92),"")</f>
        <v>4</v>
      </c>
      <c r="W92">
        <f t="shared" si="27"/>
        <v>72</v>
      </c>
      <c r="X92" s="108">
        <f t="shared" si="28"/>
        <v>0.72939814814814818</v>
      </c>
      <c r="Y92" s="8"/>
      <c r="Z92" t="str">
        <f t="shared" si="23"/>
        <v>71-4</v>
      </c>
      <c r="AA92">
        <f>IF(AB92&gt;0,COUNTIF($AB$14:AB93,AB92),"")</f>
        <v>4</v>
      </c>
      <c r="AB92">
        <f t="shared" si="24"/>
        <v>71</v>
      </c>
      <c r="AC92" s="108">
        <f t="shared" si="25"/>
        <v>0.74292824074074071</v>
      </c>
    </row>
    <row r="93" spans="1:29" ht="18" customHeight="1" x14ac:dyDescent="0.25">
      <c r="A93" s="266">
        <v>72</v>
      </c>
      <c r="B93" s="112">
        <v>77</v>
      </c>
      <c r="C93" s="112">
        <v>3</v>
      </c>
      <c r="D93" s="121">
        <v>0.72939814814814818</v>
      </c>
      <c r="E93" s="126">
        <f t="shared" si="29"/>
        <v>5.046296296296382E-3</v>
      </c>
      <c r="F93" s="112">
        <v>80</v>
      </c>
      <c r="G93" s="112">
        <v>3</v>
      </c>
      <c r="H93" s="121">
        <v>0.74797453703703709</v>
      </c>
      <c r="I93" s="126">
        <f t="shared" si="26"/>
        <v>5.046296296296382E-3</v>
      </c>
      <c r="J93" s="266">
        <v>72</v>
      </c>
      <c r="K93" s="9"/>
      <c r="L93" s="8"/>
      <c r="M93" s="8"/>
      <c r="N93" s="8"/>
      <c r="O93" s="123">
        <f t="shared" si="30"/>
        <v>0</v>
      </c>
      <c r="P93" s="8"/>
      <c r="Q93" s="8"/>
      <c r="R93" s="8"/>
      <c r="S93" s="8"/>
      <c r="T93" s="8"/>
      <c r="U93" t="str">
        <f t="shared" si="22"/>
        <v>56-3</v>
      </c>
      <c r="V93">
        <f>IF(W93&gt;0,COUNTIF($W$14:W94,W93),"")</f>
        <v>3</v>
      </c>
      <c r="W93">
        <f t="shared" si="27"/>
        <v>56</v>
      </c>
      <c r="X93" s="108">
        <f t="shared" si="28"/>
        <v>0.73444444444444434</v>
      </c>
      <c r="Y93" s="8"/>
      <c r="Z93" t="str">
        <f t="shared" si="23"/>
        <v>72-4</v>
      </c>
      <c r="AA93">
        <f>IF(AB93&gt;0,COUNTIF($AB$14:AB94,AB93),"")</f>
        <v>4</v>
      </c>
      <c r="AB93">
        <f t="shared" si="24"/>
        <v>72</v>
      </c>
      <c r="AC93" s="108">
        <f t="shared" si="25"/>
        <v>0.74797453703703709</v>
      </c>
    </row>
    <row r="94" spans="1:29" ht="18" customHeight="1" x14ac:dyDescent="0.25">
      <c r="A94" s="266">
        <v>56</v>
      </c>
      <c r="B94" s="112">
        <v>78</v>
      </c>
      <c r="C94" s="112">
        <v>4</v>
      </c>
      <c r="D94" s="121">
        <v>0.73444444444444434</v>
      </c>
      <c r="E94" s="126">
        <f t="shared" si="29"/>
        <v>5.0462962962961599E-3</v>
      </c>
      <c r="F94" s="112">
        <v>81</v>
      </c>
      <c r="G94" s="112">
        <v>4</v>
      </c>
      <c r="H94" s="121">
        <v>0.75302083333333336</v>
      </c>
      <c r="I94" s="126">
        <f t="shared" si="26"/>
        <v>5.046296296296271E-3</v>
      </c>
      <c r="J94" s="266">
        <v>56</v>
      </c>
      <c r="K94" s="7"/>
      <c r="L94" s="8"/>
      <c r="M94" s="8"/>
      <c r="N94" s="8"/>
      <c r="O94" s="123">
        <f t="shared" si="30"/>
        <v>0</v>
      </c>
      <c r="P94" s="8"/>
      <c r="Q94" s="8"/>
      <c r="R94" s="8"/>
      <c r="S94" s="8"/>
      <c r="T94" s="8"/>
      <c r="U94" t="str">
        <f t="shared" si="22"/>
        <v>51-4</v>
      </c>
      <c r="V94">
        <f>IF(W94&gt;0,COUNTIF($W$14:W95,W94),"")</f>
        <v>4</v>
      </c>
      <c r="W94">
        <f t="shared" si="27"/>
        <v>51</v>
      </c>
      <c r="X94" s="108">
        <f t="shared" si="28"/>
        <v>0.73949074074074073</v>
      </c>
      <c r="Y94" s="8"/>
      <c r="Z94" t="str">
        <f t="shared" si="23"/>
        <v>56-3</v>
      </c>
      <c r="AA94">
        <f>IF(AB94&gt;0,COUNTIF($AB$14:AB95,AB94),"")</f>
        <v>3</v>
      </c>
      <c r="AB94">
        <f t="shared" si="24"/>
        <v>56</v>
      </c>
      <c r="AC94" s="108">
        <f t="shared" si="25"/>
        <v>0.75302083333333336</v>
      </c>
    </row>
    <row r="95" spans="1:29" ht="18" customHeight="1" x14ac:dyDescent="0.25">
      <c r="A95" s="266">
        <v>51</v>
      </c>
      <c r="B95" s="112">
        <v>79</v>
      </c>
      <c r="C95" s="112">
        <v>5</v>
      </c>
      <c r="D95" s="121">
        <v>0.73949074074074073</v>
      </c>
      <c r="E95" s="126">
        <f t="shared" si="29"/>
        <v>5.046296296296382E-3</v>
      </c>
      <c r="F95" s="112">
        <v>82</v>
      </c>
      <c r="G95" s="112">
        <v>5</v>
      </c>
      <c r="H95" s="121">
        <v>0.75806712962962963</v>
      </c>
      <c r="I95" s="126">
        <f t="shared" si="26"/>
        <v>5.046296296296271E-3</v>
      </c>
      <c r="J95" s="266">
        <v>51</v>
      </c>
      <c r="K95" s="7"/>
      <c r="L95" s="8"/>
      <c r="M95" s="8"/>
      <c r="N95" s="8"/>
      <c r="O95" s="123">
        <f t="shared" si="30"/>
        <v>0</v>
      </c>
      <c r="P95" s="8"/>
      <c r="Q95" s="8"/>
      <c r="R95" s="8"/>
      <c r="S95" s="8"/>
      <c r="T95" s="8"/>
      <c r="U95" t="str">
        <f t="shared" si="22"/>
        <v>73-4</v>
      </c>
      <c r="V95">
        <f>IF(W95&gt;0,COUNTIF($W$14:W96,W95),"")</f>
        <v>4</v>
      </c>
      <c r="W95">
        <f t="shared" si="27"/>
        <v>73</v>
      </c>
      <c r="X95" s="108">
        <f t="shared" si="28"/>
        <v>0.74453703703703711</v>
      </c>
      <c r="Y95" s="8"/>
      <c r="Z95" t="str">
        <f t="shared" si="23"/>
        <v>51-4</v>
      </c>
      <c r="AA95">
        <f>IF(AB95&gt;0,COUNTIF($AB$14:AB96,AB95),"")</f>
        <v>4</v>
      </c>
      <c r="AB95">
        <f t="shared" si="24"/>
        <v>51</v>
      </c>
      <c r="AC95" s="108">
        <f t="shared" si="25"/>
        <v>0.75806712962962963</v>
      </c>
    </row>
    <row r="96" spans="1:29" ht="18" customHeight="1" x14ac:dyDescent="0.25">
      <c r="A96" s="266">
        <v>73</v>
      </c>
      <c r="B96" s="112">
        <v>80</v>
      </c>
      <c r="C96" s="112">
        <v>8</v>
      </c>
      <c r="D96" s="121">
        <v>0.74453703703703711</v>
      </c>
      <c r="E96" s="126">
        <f t="shared" si="29"/>
        <v>5.046296296296382E-3</v>
      </c>
      <c r="F96" s="112">
        <v>83</v>
      </c>
      <c r="G96" s="112">
        <v>8</v>
      </c>
      <c r="H96" s="121">
        <v>0.7631134259259259</v>
      </c>
      <c r="I96" s="126">
        <f t="shared" si="26"/>
        <v>5.046296296296271E-3</v>
      </c>
      <c r="J96" s="266">
        <v>73</v>
      </c>
      <c r="K96" s="7"/>
      <c r="L96" s="8"/>
      <c r="M96" s="8"/>
      <c r="N96" s="8"/>
      <c r="O96" s="123">
        <f t="shared" si="30"/>
        <v>0</v>
      </c>
      <c r="P96" s="8"/>
      <c r="Q96" s="8"/>
      <c r="R96" s="8"/>
      <c r="S96" s="8"/>
      <c r="T96" s="8"/>
      <c r="U96" t="str">
        <f t="shared" si="22"/>
        <v>52-4</v>
      </c>
      <c r="V96">
        <f>IF(W96&gt;0,COUNTIF($W$14:W97,W96),"")</f>
        <v>4</v>
      </c>
      <c r="W96">
        <f t="shared" si="27"/>
        <v>52</v>
      </c>
      <c r="X96" s="108">
        <f t="shared" si="28"/>
        <v>0.74958333333333327</v>
      </c>
      <c r="Y96" s="8"/>
      <c r="Z96" t="str">
        <f t="shared" si="23"/>
        <v>73-4</v>
      </c>
      <c r="AA96">
        <f>IF(AB96&gt;0,COUNTIF($AB$14:AB97,AB96),"")</f>
        <v>4</v>
      </c>
      <c r="AB96">
        <f t="shared" si="24"/>
        <v>73</v>
      </c>
      <c r="AC96" s="108">
        <f t="shared" si="25"/>
        <v>0.7631134259259259</v>
      </c>
    </row>
    <row r="97" spans="1:29" ht="18" customHeight="1" x14ac:dyDescent="0.25">
      <c r="A97" s="266">
        <v>52</v>
      </c>
      <c r="B97" s="112">
        <v>81</v>
      </c>
      <c r="C97" s="112">
        <v>1</v>
      </c>
      <c r="D97" s="121">
        <v>0.74958333333333327</v>
      </c>
      <c r="E97" s="126">
        <f t="shared" si="29"/>
        <v>5.0462962962961599E-3</v>
      </c>
      <c r="F97" s="112">
        <v>84</v>
      </c>
      <c r="G97" s="112">
        <v>1</v>
      </c>
      <c r="H97" s="121">
        <v>0.76815972222222229</v>
      </c>
      <c r="I97" s="126">
        <f t="shared" si="26"/>
        <v>5.046296296296382E-3</v>
      </c>
      <c r="J97" s="266">
        <v>52</v>
      </c>
      <c r="K97" s="7"/>
      <c r="L97" s="8"/>
      <c r="M97" s="8"/>
      <c r="N97" s="8"/>
      <c r="O97" s="123">
        <f t="shared" si="30"/>
        <v>0</v>
      </c>
      <c r="P97" s="8"/>
      <c r="Q97" s="8"/>
      <c r="R97" s="8"/>
      <c r="S97" s="8"/>
      <c r="T97" s="8"/>
      <c r="U97" t="str">
        <f t="shared" si="22"/>
        <v>74-4</v>
      </c>
      <c r="V97">
        <f>IF(W97&gt;0,COUNTIF($W$14:W98,W97),"")</f>
        <v>4</v>
      </c>
      <c r="W97">
        <f t="shared" si="27"/>
        <v>74</v>
      </c>
      <c r="X97" s="108">
        <f t="shared" si="28"/>
        <v>0.75462962962962965</v>
      </c>
      <c r="Y97" s="8"/>
      <c r="Z97" t="str">
        <f t="shared" si="23"/>
        <v>52-4</v>
      </c>
      <c r="AA97">
        <f>IF(AB97&gt;0,COUNTIF($AB$14:AB98,AB97),"")</f>
        <v>4</v>
      </c>
      <c r="AB97">
        <f t="shared" si="24"/>
        <v>52</v>
      </c>
      <c r="AC97" s="108">
        <f t="shared" si="25"/>
        <v>0.76815972222222229</v>
      </c>
    </row>
    <row r="98" spans="1:29" ht="18" customHeight="1" x14ac:dyDescent="0.25">
      <c r="A98" s="266">
        <v>74</v>
      </c>
      <c r="B98" s="112">
        <v>82</v>
      </c>
      <c r="C98" s="112">
        <v>2</v>
      </c>
      <c r="D98" s="121">
        <v>0.75462962962962965</v>
      </c>
      <c r="E98" s="126">
        <f t="shared" si="29"/>
        <v>5.046296296296382E-3</v>
      </c>
      <c r="F98" s="112">
        <v>85</v>
      </c>
      <c r="G98" s="112">
        <v>2</v>
      </c>
      <c r="H98" s="121">
        <v>0.77320601851851845</v>
      </c>
      <c r="I98" s="126">
        <f t="shared" si="26"/>
        <v>5.0462962962961599E-3</v>
      </c>
      <c r="J98" s="266">
        <v>74</v>
      </c>
      <c r="K98" s="7"/>
      <c r="L98" s="8"/>
      <c r="M98" s="8"/>
      <c r="N98" s="8"/>
      <c r="O98" s="123">
        <f t="shared" si="30"/>
        <v>0</v>
      </c>
      <c r="P98" s="8"/>
      <c r="Q98" s="8"/>
      <c r="R98" s="8"/>
      <c r="S98" s="8"/>
      <c r="T98" s="8"/>
      <c r="U98" t="str">
        <f t="shared" si="22"/>
        <v>53-4</v>
      </c>
      <c r="V98">
        <f>IF(W98&gt;0,COUNTIF($W$14:W99,W98),"")</f>
        <v>4</v>
      </c>
      <c r="W98">
        <f t="shared" si="27"/>
        <v>53</v>
      </c>
      <c r="X98" s="108">
        <f t="shared" si="28"/>
        <v>0.75967592592592592</v>
      </c>
      <c r="Y98" s="8"/>
      <c r="Z98" t="str">
        <f t="shared" si="23"/>
        <v>74-4</v>
      </c>
      <c r="AA98">
        <f>IF(AB98&gt;0,COUNTIF($AB$14:AB99,AB98),"")</f>
        <v>4</v>
      </c>
      <c r="AB98">
        <f t="shared" si="24"/>
        <v>74</v>
      </c>
      <c r="AC98" s="108">
        <f t="shared" si="25"/>
        <v>0.77320601851851845</v>
      </c>
    </row>
    <row r="99" spans="1:29" ht="18" customHeight="1" x14ac:dyDescent="0.25">
      <c r="A99" s="266">
        <v>53</v>
      </c>
      <c r="B99" s="112">
        <v>83</v>
      </c>
      <c r="C99" s="112">
        <v>9</v>
      </c>
      <c r="D99" s="121">
        <v>0.75967592592592592</v>
      </c>
      <c r="E99" s="126">
        <f t="shared" si="29"/>
        <v>5.046296296296271E-3</v>
      </c>
      <c r="F99" s="112">
        <v>86</v>
      </c>
      <c r="G99" s="112">
        <v>9</v>
      </c>
      <c r="H99" s="121">
        <v>0.77825231481481483</v>
      </c>
      <c r="I99" s="126">
        <f t="shared" si="26"/>
        <v>5.046296296296382E-3</v>
      </c>
      <c r="J99" s="266">
        <v>53</v>
      </c>
      <c r="K99" s="7"/>
      <c r="L99" s="8"/>
      <c r="M99" s="8"/>
      <c r="N99" s="8"/>
      <c r="O99" s="123">
        <f t="shared" si="30"/>
        <v>0</v>
      </c>
      <c r="P99" s="8"/>
      <c r="Q99" s="8"/>
      <c r="R99" s="8"/>
      <c r="S99" s="8"/>
      <c r="T99" s="8"/>
      <c r="U99" t="str">
        <f t="shared" si="22"/>
        <v>54-4</v>
      </c>
      <c r="V99">
        <f>IF(W99&gt;0,COUNTIF($W$14:W100,W99),"")</f>
        <v>4</v>
      </c>
      <c r="W99">
        <f t="shared" si="27"/>
        <v>54</v>
      </c>
      <c r="X99" s="108">
        <f t="shared" si="28"/>
        <v>0.76472222222222219</v>
      </c>
      <c r="Y99" s="8"/>
      <c r="Z99" t="str">
        <f t="shared" si="23"/>
        <v>53-4</v>
      </c>
      <c r="AA99">
        <f>IF(AB99&gt;0,COUNTIF($AB$14:AB100,AB99),"")</f>
        <v>4</v>
      </c>
      <c r="AB99">
        <f t="shared" si="24"/>
        <v>53</v>
      </c>
      <c r="AC99" s="108">
        <f t="shared" si="25"/>
        <v>0.77825231481481483</v>
      </c>
    </row>
    <row r="100" spans="1:29" ht="18" customHeight="1" x14ac:dyDescent="0.25">
      <c r="A100" s="266">
        <v>54</v>
      </c>
      <c r="B100" s="112">
        <v>84</v>
      </c>
      <c r="C100" s="112">
        <v>3</v>
      </c>
      <c r="D100" s="121">
        <v>0.76472222222222219</v>
      </c>
      <c r="E100" s="126">
        <f t="shared" si="29"/>
        <v>5.046296296296271E-3</v>
      </c>
      <c r="F100" s="112">
        <v>87</v>
      </c>
      <c r="G100" s="112">
        <v>3</v>
      </c>
      <c r="H100" s="121">
        <v>0.78329861111111121</v>
      </c>
      <c r="I100" s="126">
        <f t="shared" si="26"/>
        <v>5.046296296296382E-3</v>
      </c>
      <c r="J100" s="266">
        <v>54</v>
      </c>
      <c r="K100" s="7"/>
      <c r="L100" s="8"/>
      <c r="M100" s="8"/>
      <c r="N100" s="8"/>
      <c r="O100" s="123">
        <f t="shared" si="30"/>
        <v>0</v>
      </c>
      <c r="P100" s="8"/>
      <c r="Q100" s="8"/>
      <c r="R100" s="8"/>
      <c r="S100" s="8"/>
      <c r="T100" s="8"/>
      <c r="U100" t="str">
        <f t="shared" si="22"/>
        <v>55-4</v>
      </c>
      <c r="V100">
        <f>IF(W100&gt;0,COUNTIF($W$14:W101,W100),"")</f>
        <v>4</v>
      </c>
      <c r="W100">
        <f t="shared" si="27"/>
        <v>55</v>
      </c>
      <c r="X100" s="108">
        <f t="shared" si="28"/>
        <v>0.76976851851851846</v>
      </c>
      <c r="Y100" s="8"/>
      <c r="Z100" t="str">
        <f t="shared" si="23"/>
        <v>54-4</v>
      </c>
      <c r="AA100">
        <f>IF(AB100&gt;0,COUNTIF($AB$14:AB101,AB100),"")</f>
        <v>4</v>
      </c>
      <c r="AB100">
        <f t="shared" si="24"/>
        <v>54</v>
      </c>
      <c r="AC100" s="108">
        <f t="shared" si="25"/>
        <v>0.78329861111111121</v>
      </c>
    </row>
    <row r="101" spans="1:29" ht="18" customHeight="1" x14ac:dyDescent="0.25">
      <c r="A101" s="266">
        <v>55</v>
      </c>
      <c r="B101" s="112">
        <v>85</v>
      </c>
      <c r="C101" s="112">
        <v>4</v>
      </c>
      <c r="D101" s="121">
        <v>0.76976851851851846</v>
      </c>
      <c r="E101" s="126">
        <f t="shared" si="29"/>
        <v>5.046296296296271E-3</v>
      </c>
      <c r="F101" s="112">
        <v>88</v>
      </c>
      <c r="G101" s="112">
        <v>4</v>
      </c>
      <c r="H101" s="121">
        <v>0.78834490740740737</v>
      </c>
      <c r="I101" s="126">
        <f t="shared" si="26"/>
        <v>5.0462962962961599E-3</v>
      </c>
      <c r="J101" s="266">
        <v>55</v>
      </c>
      <c r="K101" s="7"/>
      <c r="L101" s="8"/>
      <c r="M101" s="8"/>
      <c r="N101" s="8"/>
      <c r="O101" s="123">
        <f t="shared" si="30"/>
        <v>0</v>
      </c>
      <c r="P101" s="8"/>
      <c r="Q101" s="8"/>
      <c r="R101" s="8"/>
      <c r="S101" s="8"/>
      <c r="T101" s="8"/>
      <c r="U101" t="str">
        <f t="shared" si="22"/>
        <v>71-5</v>
      </c>
      <c r="V101">
        <f>IF(W101&gt;0,COUNTIF($W$14:W102,W101),"")</f>
        <v>5</v>
      </c>
      <c r="W101">
        <f t="shared" si="27"/>
        <v>71</v>
      </c>
      <c r="X101" s="108">
        <f t="shared" si="28"/>
        <v>0.77481481481481485</v>
      </c>
      <c r="Y101" s="8"/>
      <c r="Z101" t="str">
        <f t="shared" si="23"/>
        <v>55-4</v>
      </c>
      <c r="AA101">
        <f>IF(AB101&gt;0,COUNTIF($AB$14:AB102,AB101),"")</f>
        <v>4</v>
      </c>
      <c r="AB101">
        <f t="shared" si="24"/>
        <v>55</v>
      </c>
      <c r="AC101" s="108">
        <f t="shared" si="25"/>
        <v>0.78834490740740737</v>
      </c>
    </row>
    <row r="102" spans="1:29" ht="18" customHeight="1" x14ac:dyDescent="0.25">
      <c r="A102" s="266">
        <v>71</v>
      </c>
      <c r="B102" s="112">
        <v>86</v>
      </c>
      <c r="C102" s="112">
        <v>5</v>
      </c>
      <c r="D102" s="121">
        <v>0.77481481481481485</v>
      </c>
      <c r="E102" s="126">
        <f t="shared" si="29"/>
        <v>5.046296296296382E-3</v>
      </c>
      <c r="F102" s="112">
        <v>89</v>
      </c>
      <c r="G102" s="112">
        <v>5</v>
      </c>
      <c r="H102" s="121">
        <v>0.79339120370370375</v>
      </c>
      <c r="I102" s="126">
        <f t="shared" si="26"/>
        <v>5.046296296296382E-3</v>
      </c>
      <c r="J102" s="266">
        <v>71</v>
      </c>
      <c r="K102" s="7"/>
      <c r="L102" s="8"/>
      <c r="M102" s="8"/>
      <c r="N102" s="8"/>
      <c r="O102" s="123">
        <f t="shared" si="30"/>
        <v>0</v>
      </c>
      <c r="P102" s="8"/>
      <c r="Q102" s="8"/>
      <c r="R102" s="8"/>
      <c r="S102" s="8"/>
      <c r="T102" s="8"/>
      <c r="U102" t="str">
        <f t="shared" si="22"/>
        <v>72-5</v>
      </c>
      <c r="V102">
        <f>IF(W102&gt;0,COUNTIF($W$14:W103,W102),"")</f>
        <v>5</v>
      </c>
      <c r="W102">
        <f t="shared" si="27"/>
        <v>72</v>
      </c>
      <c r="X102" s="108">
        <f t="shared" si="28"/>
        <v>0.77986111111111101</v>
      </c>
      <c r="Y102" s="8"/>
      <c r="Z102" t="str">
        <f t="shared" si="23"/>
        <v>71-5</v>
      </c>
      <c r="AA102">
        <f>IF(AB102&gt;0,COUNTIF($AB$14:AB103,AB102),"")</f>
        <v>5</v>
      </c>
      <c r="AB102">
        <f t="shared" si="24"/>
        <v>71</v>
      </c>
      <c r="AC102" s="108">
        <f t="shared" si="25"/>
        <v>0.79339120370370375</v>
      </c>
    </row>
    <row r="103" spans="1:29" ht="18" customHeight="1" x14ac:dyDescent="0.25">
      <c r="A103" s="266">
        <v>72</v>
      </c>
      <c r="B103" s="112">
        <v>87</v>
      </c>
      <c r="C103" s="112">
        <v>8</v>
      </c>
      <c r="D103" s="121">
        <v>0.77986111111111101</v>
      </c>
      <c r="E103" s="126">
        <f t="shared" si="29"/>
        <v>5.0462962962961599E-3</v>
      </c>
      <c r="F103" s="112">
        <v>90</v>
      </c>
      <c r="G103" s="112">
        <v>8</v>
      </c>
      <c r="H103" s="121">
        <v>0.79843750000000002</v>
      </c>
      <c r="I103" s="126">
        <f t="shared" si="26"/>
        <v>5.046296296296271E-3</v>
      </c>
      <c r="J103" s="266">
        <v>72</v>
      </c>
      <c r="K103" s="7"/>
      <c r="L103" s="8"/>
      <c r="M103" s="8"/>
      <c r="N103" s="8"/>
      <c r="O103" s="123">
        <f t="shared" si="30"/>
        <v>0</v>
      </c>
      <c r="P103" s="8"/>
      <c r="Q103" s="8"/>
      <c r="R103" s="8"/>
      <c r="S103" s="8"/>
      <c r="T103" s="8"/>
      <c r="U103" t="str">
        <f t="shared" si="22"/>
        <v>56-4</v>
      </c>
      <c r="V103">
        <f>IF(W103&gt;0,COUNTIF($W$14:W104,W103),"")</f>
        <v>4</v>
      </c>
      <c r="W103">
        <f t="shared" si="27"/>
        <v>56</v>
      </c>
      <c r="X103" s="108">
        <f t="shared" si="28"/>
        <v>0.78490740740740739</v>
      </c>
      <c r="Y103" s="8"/>
      <c r="Z103" t="str">
        <f t="shared" si="23"/>
        <v>72-5</v>
      </c>
      <c r="AA103">
        <f>IF(AB103&gt;0,COUNTIF($AB$14:AB104,AB103),"")</f>
        <v>5</v>
      </c>
      <c r="AB103">
        <f t="shared" si="24"/>
        <v>72</v>
      </c>
      <c r="AC103" s="108">
        <f t="shared" si="25"/>
        <v>0.79843750000000002</v>
      </c>
    </row>
    <row r="104" spans="1:29" ht="18" customHeight="1" x14ac:dyDescent="0.25">
      <c r="A104" s="266">
        <v>56</v>
      </c>
      <c r="B104" s="112">
        <v>88</v>
      </c>
      <c r="C104" s="112">
        <v>1</v>
      </c>
      <c r="D104" s="121">
        <v>0.78490740740740739</v>
      </c>
      <c r="E104" s="126">
        <f t="shared" si="29"/>
        <v>5.046296296296382E-3</v>
      </c>
      <c r="F104" s="112">
        <v>91</v>
      </c>
      <c r="G104" s="112">
        <v>1</v>
      </c>
      <c r="H104" s="121">
        <v>0.80348379629629629</v>
      </c>
      <c r="I104" s="126">
        <f t="shared" si="26"/>
        <v>5.046296296296271E-3</v>
      </c>
      <c r="J104" s="266">
        <v>56</v>
      </c>
      <c r="K104" s="7"/>
      <c r="L104" s="8"/>
      <c r="M104" s="8"/>
      <c r="N104" s="8"/>
      <c r="O104" s="123">
        <f t="shared" si="30"/>
        <v>0</v>
      </c>
      <c r="P104" s="8"/>
      <c r="Q104" s="8"/>
      <c r="R104" s="8"/>
      <c r="S104" s="8"/>
      <c r="T104" s="8"/>
      <c r="U104" t="str">
        <f t="shared" si="22"/>
        <v>51-5</v>
      </c>
      <c r="V104">
        <f>IF(W104&gt;0,COUNTIF($W$14:W105,W104),"")</f>
        <v>5</v>
      </c>
      <c r="W104">
        <f t="shared" si="27"/>
        <v>51</v>
      </c>
      <c r="X104" s="108">
        <f t="shared" si="28"/>
        <v>0.78995370370370377</v>
      </c>
      <c r="Y104" s="8"/>
      <c r="Z104" t="str">
        <f t="shared" si="23"/>
        <v>56-4</v>
      </c>
      <c r="AA104">
        <f>IF(AB104&gt;0,COUNTIF($AB$14:AB105,AB104),"")</f>
        <v>4</v>
      </c>
      <c r="AB104">
        <f t="shared" si="24"/>
        <v>56</v>
      </c>
      <c r="AC104" s="108">
        <f t="shared" si="25"/>
        <v>0.80348379629629629</v>
      </c>
    </row>
    <row r="105" spans="1:29" ht="18" customHeight="1" x14ac:dyDescent="0.25">
      <c r="A105" s="266">
        <v>51</v>
      </c>
      <c r="B105" s="112">
        <v>89</v>
      </c>
      <c r="C105" s="112">
        <v>2</v>
      </c>
      <c r="D105" s="121">
        <v>0.78995370370370377</v>
      </c>
      <c r="E105" s="126">
        <f t="shared" si="29"/>
        <v>5.046296296296382E-3</v>
      </c>
      <c r="F105" s="112">
        <v>92</v>
      </c>
      <c r="G105" s="112">
        <v>2</v>
      </c>
      <c r="H105" s="121">
        <v>0.80853009259259256</v>
      </c>
      <c r="I105" s="126">
        <f t="shared" si="26"/>
        <v>5.046296296296271E-3</v>
      </c>
      <c r="J105" s="266">
        <v>51</v>
      </c>
      <c r="K105" s="7"/>
      <c r="L105" s="8"/>
      <c r="M105" s="8"/>
      <c r="N105" s="8"/>
      <c r="O105" s="123">
        <f t="shared" si="30"/>
        <v>0</v>
      </c>
      <c r="P105" s="8"/>
      <c r="Q105" s="8"/>
      <c r="R105" s="8"/>
      <c r="S105" s="8"/>
      <c r="T105" s="8"/>
      <c r="U105" t="str">
        <f t="shared" si="22"/>
        <v>73-5</v>
      </c>
      <c r="V105">
        <f>IF(W105&gt;0,COUNTIF($W$14:W106,W105),"")</f>
        <v>5</v>
      </c>
      <c r="W105">
        <f t="shared" si="27"/>
        <v>73</v>
      </c>
      <c r="X105" s="108">
        <f t="shared" si="28"/>
        <v>0.79499999999999993</v>
      </c>
      <c r="Y105" s="8"/>
      <c r="Z105" t="str">
        <f t="shared" si="23"/>
        <v>51-5</v>
      </c>
      <c r="AA105">
        <f>IF(AB105&gt;0,COUNTIF($AB$14:AB106,AB105),"")</f>
        <v>5</v>
      </c>
      <c r="AB105">
        <f t="shared" si="24"/>
        <v>51</v>
      </c>
      <c r="AC105" s="108">
        <f t="shared" si="25"/>
        <v>0.80853009259259256</v>
      </c>
    </row>
    <row r="106" spans="1:29" ht="18" customHeight="1" x14ac:dyDescent="0.25">
      <c r="A106" s="266">
        <v>73</v>
      </c>
      <c r="B106" s="112">
        <v>90</v>
      </c>
      <c r="C106" s="112">
        <v>9</v>
      </c>
      <c r="D106" s="121">
        <v>0.79499999999999993</v>
      </c>
      <c r="E106" s="126">
        <f t="shared" si="29"/>
        <v>5.0462962962961599E-3</v>
      </c>
      <c r="F106" s="112">
        <v>93</v>
      </c>
      <c r="G106" s="112">
        <v>9</v>
      </c>
      <c r="H106" s="121">
        <v>0.81357638888888895</v>
      </c>
      <c r="I106" s="126">
        <f t="shared" si="26"/>
        <v>5.046296296296382E-3</v>
      </c>
      <c r="J106" s="266">
        <v>73</v>
      </c>
      <c r="K106" s="7"/>
      <c r="L106" s="8"/>
      <c r="M106" s="8"/>
      <c r="N106" s="8"/>
      <c r="O106" s="123">
        <f t="shared" si="30"/>
        <v>0</v>
      </c>
      <c r="P106" s="8"/>
      <c r="Q106" s="8"/>
      <c r="R106" s="8"/>
      <c r="S106" s="8"/>
      <c r="T106" s="8"/>
      <c r="U106" t="str">
        <f t="shared" si="22"/>
        <v>52-5</v>
      </c>
      <c r="V106">
        <f>IF(W106&gt;0,COUNTIF($W$14:W107,W106),"")</f>
        <v>5</v>
      </c>
      <c r="W106">
        <f t="shared" si="27"/>
        <v>52</v>
      </c>
      <c r="X106" s="108">
        <f t="shared" si="28"/>
        <v>0.80004629629629631</v>
      </c>
      <c r="Y106" s="8"/>
      <c r="Z106" t="str">
        <f t="shared" si="23"/>
        <v>73-5</v>
      </c>
      <c r="AA106">
        <f>IF(AB106&gt;0,COUNTIF($AB$14:AB107,AB106),"")</f>
        <v>5</v>
      </c>
      <c r="AB106">
        <f t="shared" si="24"/>
        <v>73</v>
      </c>
      <c r="AC106" s="108">
        <f t="shared" si="25"/>
        <v>0.81357638888888895</v>
      </c>
    </row>
    <row r="107" spans="1:29" ht="18" customHeight="1" x14ac:dyDescent="0.25">
      <c r="A107" s="266">
        <v>52</v>
      </c>
      <c r="B107" s="112">
        <v>91</v>
      </c>
      <c r="C107" s="112">
        <v>3</v>
      </c>
      <c r="D107" s="121">
        <v>0.80004629629629631</v>
      </c>
      <c r="E107" s="126">
        <f t="shared" si="29"/>
        <v>5.046296296296382E-3</v>
      </c>
      <c r="F107" s="112">
        <v>94</v>
      </c>
      <c r="G107" s="132">
        <v>3</v>
      </c>
      <c r="H107" s="128">
        <v>0.81862268518518511</v>
      </c>
      <c r="I107" s="133">
        <f t="shared" si="26"/>
        <v>5.0462962962961599E-3</v>
      </c>
      <c r="J107" s="266">
        <v>52</v>
      </c>
      <c r="K107" s="7"/>
      <c r="L107" s="8"/>
      <c r="M107" s="8"/>
      <c r="N107" s="8"/>
      <c r="O107" s="123">
        <f t="shared" si="30"/>
        <v>0</v>
      </c>
      <c r="P107" s="8"/>
      <c r="Q107" s="8"/>
      <c r="R107" s="8"/>
      <c r="S107" s="8"/>
      <c r="T107" s="8"/>
      <c r="U107" t="str">
        <f t="shared" si="22"/>
        <v>74-5</v>
      </c>
      <c r="V107">
        <f>IF(W107&gt;0,COUNTIF($W$14:W108,W107),"")</f>
        <v>5</v>
      </c>
      <c r="W107">
        <f t="shared" si="27"/>
        <v>74</v>
      </c>
      <c r="X107" s="108">
        <f t="shared" si="28"/>
        <v>0.80509259259259258</v>
      </c>
      <c r="Y107" s="8"/>
      <c r="Z107" t="str">
        <f t="shared" si="23"/>
        <v>52-5</v>
      </c>
      <c r="AA107">
        <f>IF(AB107&gt;0,COUNTIF($AB$14:AB108,AB107),"")</f>
        <v>5</v>
      </c>
      <c r="AB107">
        <f t="shared" si="24"/>
        <v>52</v>
      </c>
      <c r="AC107" s="108">
        <f t="shared" si="25"/>
        <v>0.81862268518518511</v>
      </c>
    </row>
    <row r="108" spans="1:29" ht="18" customHeight="1" x14ac:dyDescent="0.25">
      <c r="A108" s="266">
        <v>74</v>
      </c>
      <c r="B108" s="112">
        <v>92</v>
      </c>
      <c r="C108" s="112">
        <v>4</v>
      </c>
      <c r="D108" s="121">
        <v>0.80509259259259258</v>
      </c>
      <c r="E108" s="126">
        <f t="shared" si="29"/>
        <v>5.046296296296271E-3</v>
      </c>
      <c r="F108" s="112">
        <v>95</v>
      </c>
      <c r="G108" s="112">
        <v>4</v>
      </c>
      <c r="H108" s="121">
        <v>0.82366898148148149</v>
      </c>
      <c r="I108" s="126">
        <f t="shared" si="26"/>
        <v>5.046296296296382E-3</v>
      </c>
      <c r="J108" s="266">
        <v>74</v>
      </c>
      <c r="K108" s="7"/>
      <c r="L108" s="8"/>
      <c r="M108" s="8"/>
      <c r="N108" s="8"/>
      <c r="O108" s="123">
        <f t="shared" si="30"/>
        <v>0</v>
      </c>
      <c r="P108" s="8"/>
      <c r="Q108" s="8"/>
      <c r="R108" s="8"/>
      <c r="S108" s="8"/>
      <c r="T108" s="8"/>
      <c r="U108" t="str">
        <f t="shared" si="22"/>
        <v>53-5</v>
      </c>
      <c r="V108">
        <f>IF(W108&gt;0,COUNTIF($W$14:W109,W108),"")</f>
        <v>5</v>
      </c>
      <c r="W108">
        <f t="shared" si="27"/>
        <v>53</v>
      </c>
      <c r="X108" s="108">
        <f t="shared" si="28"/>
        <v>0.81013888888888896</v>
      </c>
      <c r="Y108" s="8"/>
      <c r="Z108" t="str">
        <f t="shared" si="23"/>
        <v>74-5</v>
      </c>
      <c r="AA108">
        <f>IF(AB108&gt;0,COUNTIF($AB$14:AB109,AB108),"")</f>
        <v>5</v>
      </c>
      <c r="AB108">
        <f t="shared" si="24"/>
        <v>74</v>
      </c>
      <c r="AC108" s="108">
        <f t="shared" si="25"/>
        <v>0.82366898148148149</v>
      </c>
    </row>
    <row r="109" spans="1:29" ht="18" customHeight="1" x14ac:dyDescent="0.25">
      <c r="A109" s="266">
        <v>53</v>
      </c>
      <c r="B109" s="112">
        <v>93</v>
      </c>
      <c r="C109" s="112">
        <v>5</v>
      </c>
      <c r="D109" s="121">
        <v>0.81013888888888896</v>
      </c>
      <c r="E109" s="126">
        <f t="shared" si="29"/>
        <v>5.046296296296382E-3</v>
      </c>
      <c r="F109" s="112">
        <v>96</v>
      </c>
      <c r="G109" s="112">
        <v>5</v>
      </c>
      <c r="H109" s="121">
        <v>0.82871527777777787</v>
      </c>
      <c r="I109" s="126">
        <f t="shared" si="26"/>
        <v>5.046296296296382E-3</v>
      </c>
      <c r="J109" s="266">
        <v>53</v>
      </c>
      <c r="K109" s="7"/>
      <c r="L109" s="8"/>
      <c r="M109" s="8"/>
      <c r="N109" s="8"/>
      <c r="O109" s="123">
        <f t="shared" si="30"/>
        <v>0</v>
      </c>
      <c r="P109" s="8"/>
      <c r="Q109" s="8"/>
      <c r="R109" s="8"/>
      <c r="S109" s="8"/>
      <c r="T109" s="8"/>
      <c r="U109" t="str">
        <f t="shared" si="22"/>
        <v>54-5</v>
      </c>
      <c r="V109">
        <f>IF(W109&gt;0,COUNTIF($W$14:W110,W109),"")</f>
        <v>5</v>
      </c>
      <c r="W109">
        <f t="shared" si="27"/>
        <v>54</v>
      </c>
      <c r="X109" s="108">
        <f t="shared" si="28"/>
        <v>0.81518518518518512</v>
      </c>
      <c r="Y109" s="8"/>
      <c r="Z109" t="str">
        <f t="shared" si="23"/>
        <v>53-5</v>
      </c>
      <c r="AA109">
        <f>IF(AB109&gt;0,COUNTIF($AB$14:AB110,AB109),"")</f>
        <v>5</v>
      </c>
      <c r="AB109">
        <f t="shared" si="24"/>
        <v>53</v>
      </c>
      <c r="AC109" s="108">
        <f t="shared" si="25"/>
        <v>0.82871527777777787</v>
      </c>
    </row>
    <row r="110" spans="1:29" ht="18" customHeight="1" x14ac:dyDescent="0.25">
      <c r="A110" s="266">
        <v>54</v>
      </c>
      <c r="B110" s="112">
        <v>94</v>
      </c>
      <c r="C110" s="112">
        <v>8</v>
      </c>
      <c r="D110" s="121">
        <v>0.81518518518518512</v>
      </c>
      <c r="E110" s="126">
        <f t="shared" si="29"/>
        <v>5.0462962962961599E-3</v>
      </c>
      <c r="F110" s="112">
        <v>97</v>
      </c>
      <c r="G110" s="132">
        <v>8</v>
      </c>
      <c r="H110" s="128">
        <v>0.83376157407407403</v>
      </c>
      <c r="I110" s="133">
        <f t="shared" si="26"/>
        <v>5.0462962962961599E-3</v>
      </c>
      <c r="J110" s="266">
        <v>54</v>
      </c>
      <c r="K110" s="7"/>
      <c r="L110" s="8"/>
      <c r="M110" s="8"/>
      <c r="N110" s="8"/>
      <c r="O110" s="123">
        <f t="shared" si="30"/>
        <v>0</v>
      </c>
      <c r="P110" s="8"/>
      <c r="Q110" s="8"/>
      <c r="R110" s="8"/>
      <c r="S110" s="8"/>
      <c r="T110" s="8"/>
      <c r="U110" t="str">
        <f t="shared" si="22"/>
        <v>55-5</v>
      </c>
      <c r="V110">
        <f>IF(W110&gt;0,COUNTIF($W$14:W111,W110),"")</f>
        <v>5</v>
      </c>
      <c r="W110">
        <f t="shared" si="27"/>
        <v>55</v>
      </c>
      <c r="X110" s="108">
        <f t="shared" si="28"/>
        <v>0.82023148148148151</v>
      </c>
      <c r="Y110" s="8"/>
      <c r="Z110" t="str">
        <f t="shared" si="23"/>
        <v>54-5</v>
      </c>
      <c r="AA110">
        <f>IF(AB110&gt;0,COUNTIF($AB$14:AB111,AB110),"")</f>
        <v>5</v>
      </c>
      <c r="AB110">
        <f t="shared" si="24"/>
        <v>54</v>
      </c>
      <c r="AC110" s="108">
        <f t="shared" ref="AC110:AC134" si="31">H110</f>
        <v>0.83376157407407403</v>
      </c>
    </row>
    <row r="111" spans="1:29" ht="18" customHeight="1" x14ac:dyDescent="0.25">
      <c r="A111" s="266">
        <v>55</v>
      </c>
      <c r="B111" s="112">
        <v>95</v>
      </c>
      <c r="C111" s="112">
        <v>1</v>
      </c>
      <c r="D111" s="121">
        <v>0.82023148148148151</v>
      </c>
      <c r="E111" s="126">
        <f t="shared" si="29"/>
        <v>5.046296296296382E-3</v>
      </c>
      <c r="F111" s="112">
        <v>98</v>
      </c>
      <c r="G111" s="112">
        <v>1</v>
      </c>
      <c r="H111" s="121">
        <v>0.83880787037037041</v>
      </c>
      <c r="I111" s="126">
        <f t="shared" si="26"/>
        <v>5.046296296296382E-3</v>
      </c>
      <c r="J111" s="266">
        <v>55</v>
      </c>
      <c r="K111" s="7"/>
      <c r="L111" s="8"/>
      <c r="M111" s="8"/>
      <c r="N111" s="8"/>
      <c r="O111" s="123">
        <f t="shared" si="30"/>
        <v>0</v>
      </c>
      <c r="P111" s="8"/>
      <c r="Q111" s="8"/>
      <c r="R111" s="8"/>
      <c r="S111" s="8"/>
      <c r="T111" s="8"/>
      <c r="U111" t="str">
        <f t="shared" si="22"/>
        <v>71-6</v>
      </c>
      <c r="V111">
        <f>IF(W111&gt;0,COUNTIF($W$14:W112,W111),"")</f>
        <v>6</v>
      </c>
      <c r="W111">
        <f t="shared" ref="W111:W135" si="32">A112</f>
        <v>71</v>
      </c>
      <c r="X111" s="108">
        <f t="shared" ref="X111:X135" si="33">D112</f>
        <v>0.8273032407407408</v>
      </c>
      <c r="Y111" s="8"/>
      <c r="Z111" t="str">
        <f t="shared" si="23"/>
        <v>55-5</v>
      </c>
      <c r="AA111">
        <f>IF(AB111&gt;0,COUNTIF($AB$14:AB112,AB111),"")</f>
        <v>5</v>
      </c>
      <c r="AB111">
        <f t="shared" si="24"/>
        <v>55</v>
      </c>
      <c r="AC111" s="108">
        <f t="shared" si="31"/>
        <v>0.83880787037037041</v>
      </c>
    </row>
    <row r="112" spans="1:29" ht="18" customHeight="1" x14ac:dyDescent="0.25">
      <c r="A112" s="266">
        <v>71</v>
      </c>
      <c r="B112" s="112">
        <v>96</v>
      </c>
      <c r="C112" s="112">
        <v>2</v>
      </c>
      <c r="D112" s="121">
        <v>0.8273032407407408</v>
      </c>
      <c r="E112" s="126">
        <f t="shared" si="29"/>
        <v>7.0717592592592915E-3</v>
      </c>
      <c r="F112" s="112">
        <v>99</v>
      </c>
      <c r="G112" s="112">
        <v>2</v>
      </c>
      <c r="H112" s="121">
        <v>0.8458796296296297</v>
      </c>
      <c r="I112" s="126">
        <f t="shared" si="26"/>
        <v>7.0717592592592915E-3</v>
      </c>
      <c r="J112" s="266">
        <v>71</v>
      </c>
      <c r="K112" s="7"/>
      <c r="L112" s="8"/>
      <c r="M112" s="8"/>
      <c r="N112" s="8"/>
      <c r="O112" s="123">
        <f t="shared" si="30"/>
        <v>0</v>
      </c>
      <c r="P112" s="8"/>
      <c r="Q112" s="8"/>
      <c r="R112" s="8"/>
      <c r="S112" s="8"/>
      <c r="T112" s="8"/>
      <c r="U112" t="str">
        <f t="shared" si="22"/>
        <v>72-6</v>
      </c>
      <c r="V112">
        <f>IF(W112&gt;0,COUNTIF($W$14:W113,W112),"")</f>
        <v>6</v>
      </c>
      <c r="W112">
        <f t="shared" si="32"/>
        <v>72</v>
      </c>
      <c r="X112" s="108">
        <f t="shared" si="33"/>
        <v>0.83437499999999998</v>
      </c>
      <c r="Y112" s="8"/>
      <c r="Z112" t="str">
        <f t="shared" si="23"/>
        <v>71-6</v>
      </c>
      <c r="AA112">
        <f>IF(AB112&gt;0,COUNTIF($AB$14:AB113,AB112),"")</f>
        <v>6</v>
      </c>
      <c r="AB112">
        <f t="shared" si="24"/>
        <v>71</v>
      </c>
      <c r="AC112" s="108">
        <f t="shared" si="31"/>
        <v>0.8458796296296297</v>
      </c>
    </row>
    <row r="113" spans="1:29" ht="18" customHeight="1" x14ac:dyDescent="0.25">
      <c r="A113" s="266">
        <v>72</v>
      </c>
      <c r="B113" s="112">
        <v>97</v>
      </c>
      <c r="C113" s="112">
        <v>9</v>
      </c>
      <c r="D113" s="121">
        <v>0.83437499999999998</v>
      </c>
      <c r="E113" s="126">
        <f t="shared" si="29"/>
        <v>7.0717592592591805E-3</v>
      </c>
      <c r="F113" s="112">
        <v>100</v>
      </c>
      <c r="G113" s="112">
        <v>9</v>
      </c>
      <c r="H113" s="121">
        <v>0.85295138888888899</v>
      </c>
      <c r="I113" s="126">
        <f t="shared" si="26"/>
        <v>7.0717592592592915E-3</v>
      </c>
      <c r="J113" s="266">
        <v>72</v>
      </c>
      <c r="K113" s="7"/>
      <c r="L113" s="8"/>
      <c r="M113" s="8"/>
      <c r="N113" s="8"/>
      <c r="O113" s="123">
        <f t="shared" si="30"/>
        <v>0</v>
      </c>
      <c r="P113" s="8"/>
      <c r="Q113" s="8"/>
      <c r="R113" s="8"/>
      <c r="S113" s="8"/>
      <c r="T113" s="8"/>
      <c r="U113" t="str">
        <f t="shared" si="22"/>
        <v>56-5</v>
      </c>
      <c r="V113">
        <f>IF(W113&gt;0,COUNTIF($W$14:W114,W113),"")</f>
        <v>5</v>
      </c>
      <c r="W113">
        <f t="shared" si="32"/>
        <v>56</v>
      </c>
      <c r="X113" s="108">
        <f t="shared" si="33"/>
        <v>0.84144675925925927</v>
      </c>
      <c r="Y113" s="8"/>
      <c r="Z113" t="str">
        <f t="shared" si="23"/>
        <v>72-6</v>
      </c>
      <c r="AA113">
        <f>IF(AB113&gt;0,COUNTIF($AB$14:AB114,AB113),"")</f>
        <v>6</v>
      </c>
      <c r="AB113">
        <f t="shared" si="24"/>
        <v>72</v>
      </c>
      <c r="AC113" s="108">
        <f t="shared" si="31"/>
        <v>0.85295138888888899</v>
      </c>
    </row>
    <row r="114" spans="1:29" ht="18" customHeight="1" x14ac:dyDescent="0.25">
      <c r="A114" s="266">
        <v>56</v>
      </c>
      <c r="B114" s="112">
        <v>98</v>
      </c>
      <c r="C114" s="112">
        <v>4</v>
      </c>
      <c r="D114" s="121">
        <v>0.84144675925925927</v>
      </c>
      <c r="E114" s="126">
        <f t="shared" si="29"/>
        <v>7.0717592592592915E-3</v>
      </c>
      <c r="F114" s="112">
        <v>101</v>
      </c>
      <c r="G114" s="112">
        <v>4</v>
      </c>
      <c r="H114" s="121">
        <v>0.86002314814814806</v>
      </c>
      <c r="I114" s="126">
        <f t="shared" si="26"/>
        <v>7.0717592592590695E-3</v>
      </c>
      <c r="J114" s="266">
        <v>56</v>
      </c>
      <c r="K114" s="7"/>
      <c r="L114" s="8"/>
      <c r="M114" s="8"/>
      <c r="N114" s="8"/>
      <c r="O114" s="123">
        <f t="shared" si="30"/>
        <v>0</v>
      </c>
      <c r="P114" s="8"/>
      <c r="Q114" s="8"/>
      <c r="R114" s="8"/>
      <c r="S114" s="8"/>
      <c r="T114" s="8"/>
      <c r="U114" t="str">
        <f t="shared" si="22"/>
        <v>51-6</v>
      </c>
      <c r="V114">
        <f>IF(W114&gt;0,COUNTIF($W$14:W115,W114),"")</f>
        <v>6</v>
      </c>
      <c r="W114">
        <f t="shared" si="32"/>
        <v>51</v>
      </c>
      <c r="X114" s="108">
        <f t="shared" si="33"/>
        <v>0.84851851851851856</v>
      </c>
      <c r="Y114" s="8"/>
      <c r="Z114" t="str">
        <f t="shared" si="23"/>
        <v>56-5</v>
      </c>
      <c r="AA114">
        <f>IF(AB114&gt;0,COUNTIF($AB$14:AB115,AB114),"")</f>
        <v>5</v>
      </c>
      <c r="AB114">
        <f t="shared" si="24"/>
        <v>56</v>
      </c>
      <c r="AC114" s="108">
        <f t="shared" si="31"/>
        <v>0.86002314814814806</v>
      </c>
    </row>
    <row r="115" spans="1:29" ht="18" customHeight="1" x14ac:dyDescent="0.25">
      <c r="A115" s="266">
        <v>51</v>
      </c>
      <c r="B115" s="112">
        <v>99</v>
      </c>
      <c r="C115" s="112">
        <v>5</v>
      </c>
      <c r="D115" s="121">
        <v>0.84851851851851856</v>
      </c>
      <c r="E115" s="126">
        <f t="shared" si="29"/>
        <v>7.0717592592592915E-3</v>
      </c>
      <c r="F115" s="112">
        <v>102</v>
      </c>
      <c r="G115" s="132">
        <v>5</v>
      </c>
      <c r="H115" s="128">
        <v>0.86709490740740736</v>
      </c>
      <c r="I115" s="133">
        <f t="shared" si="26"/>
        <v>7.0717592592592915E-3</v>
      </c>
      <c r="J115" s="266">
        <v>51</v>
      </c>
      <c r="K115" s="7"/>
      <c r="L115" s="8"/>
      <c r="M115" s="8"/>
      <c r="N115" s="8"/>
      <c r="O115" s="123">
        <f t="shared" si="30"/>
        <v>0</v>
      </c>
      <c r="P115" s="8"/>
      <c r="Q115" s="8"/>
      <c r="R115" s="8"/>
      <c r="S115" s="8"/>
      <c r="T115" s="8"/>
      <c r="U115" t="str">
        <f t="shared" si="22"/>
        <v>52-6</v>
      </c>
      <c r="V115">
        <f>IF(W115&gt;0,COUNTIF($W$14:W116,W115),"")</f>
        <v>6</v>
      </c>
      <c r="W115">
        <f t="shared" si="32"/>
        <v>52</v>
      </c>
      <c r="X115" s="108">
        <f t="shared" si="33"/>
        <v>0.85559027777777785</v>
      </c>
      <c r="Y115" s="8"/>
      <c r="Z115" t="str">
        <f t="shared" si="23"/>
        <v>51-6</v>
      </c>
      <c r="AA115">
        <f>IF(AB115&gt;0,COUNTIF($AB$14:AB116,AB115),"")</f>
        <v>6</v>
      </c>
      <c r="AB115">
        <f t="shared" si="24"/>
        <v>51</v>
      </c>
      <c r="AC115" s="108">
        <f t="shared" si="31"/>
        <v>0.86709490740740736</v>
      </c>
    </row>
    <row r="116" spans="1:29" ht="18" customHeight="1" x14ac:dyDescent="0.25">
      <c r="A116" s="266">
        <v>52</v>
      </c>
      <c r="B116" s="112">
        <v>100</v>
      </c>
      <c r="C116" s="112">
        <v>1</v>
      </c>
      <c r="D116" s="121">
        <v>0.85559027777777785</v>
      </c>
      <c r="E116" s="126">
        <f t="shared" si="29"/>
        <v>7.0717592592592915E-3</v>
      </c>
      <c r="F116" s="112">
        <v>103</v>
      </c>
      <c r="G116" s="132">
        <v>1</v>
      </c>
      <c r="H116" s="128">
        <v>0.87416666666666665</v>
      </c>
      <c r="I116" s="133">
        <f t="shared" si="26"/>
        <v>7.0717592592592915E-3</v>
      </c>
      <c r="J116" s="266">
        <v>52</v>
      </c>
      <c r="K116" s="7"/>
      <c r="L116" s="8"/>
      <c r="M116" s="8"/>
      <c r="N116" s="8"/>
      <c r="O116" s="123">
        <f t="shared" si="30"/>
        <v>0</v>
      </c>
      <c r="P116" s="8"/>
      <c r="Q116" s="8"/>
      <c r="R116" s="8"/>
      <c r="S116" s="8"/>
      <c r="T116" s="8"/>
      <c r="U116" t="str">
        <f t="shared" si="22"/>
        <v>53-6</v>
      </c>
      <c r="V116">
        <f>IF(W116&gt;0,COUNTIF($W$14:W117,W116),"")</f>
        <v>6</v>
      </c>
      <c r="W116">
        <f t="shared" si="32"/>
        <v>53</v>
      </c>
      <c r="X116" s="108">
        <f t="shared" si="33"/>
        <v>0.86266203703703714</v>
      </c>
      <c r="Y116" s="8"/>
      <c r="Z116" t="str">
        <f t="shared" si="23"/>
        <v>52-6</v>
      </c>
      <c r="AA116">
        <f>IF(AB116&gt;0,COUNTIF($AB$14:AB117,AB116),"")</f>
        <v>6</v>
      </c>
      <c r="AB116">
        <f t="shared" si="24"/>
        <v>52</v>
      </c>
      <c r="AC116" s="108">
        <f t="shared" si="31"/>
        <v>0.87416666666666665</v>
      </c>
    </row>
    <row r="117" spans="1:29" ht="18" customHeight="1" x14ac:dyDescent="0.25">
      <c r="A117" s="267">
        <v>53</v>
      </c>
      <c r="B117" s="132">
        <v>101</v>
      </c>
      <c r="C117" s="132">
        <v>2</v>
      </c>
      <c r="D117" s="128">
        <v>0.86266203703703714</v>
      </c>
      <c r="E117" s="133">
        <f t="shared" si="29"/>
        <v>7.0717592592592915E-3</v>
      </c>
      <c r="F117" s="112">
        <v>104</v>
      </c>
      <c r="G117" s="112"/>
      <c r="H117" s="121"/>
      <c r="I117" s="126"/>
      <c r="J117" s="266"/>
      <c r="K117" s="7"/>
      <c r="L117" s="8"/>
      <c r="M117" s="8"/>
      <c r="N117" s="8"/>
      <c r="O117" s="123">
        <f t="shared" si="30"/>
        <v>0</v>
      </c>
      <c r="P117" s="8"/>
      <c r="Q117" s="8"/>
      <c r="R117" s="8"/>
      <c r="S117" s="8"/>
      <c r="T117" s="8"/>
      <c r="U117" t="str">
        <f t="shared" si="22"/>
        <v>54-6</v>
      </c>
      <c r="V117">
        <f>IF(W117&gt;0,COUNTIF($W$14:W118,W117),"")</f>
        <v>6</v>
      </c>
      <c r="W117">
        <f t="shared" si="32"/>
        <v>54</v>
      </c>
      <c r="X117" s="108">
        <f t="shared" si="33"/>
        <v>0.86973379629629621</v>
      </c>
      <c r="Y117" s="8"/>
      <c r="Z117" t="str">
        <f t="shared" si="23"/>
        <v/>
      </c>
      <c r="AA117" t="str">
        <f>IF(AB117&gt;0,COUNTIF($AB$14:AB118,AB117),"")</f>
        <v/>
      </c>
      <c r="AB117">
        <f t="shared" si="24"/>
        <v>0</v>
      </c>
      <c r="AC117" s="108">
        <f t="shared" si="31"/>
        <v>0</v>
      </c>
    </row>
    <row r="118" spans="1:29" ht="18" customHeight="1" x14ac:dyDescent="0.25">
      <c r="A118" s="267">
        <v>54</v>
      </c>
      <c r="B118" s="132">
        <v>102</v>
      </c>
      <c r="C118" s="132">
        <v>9</v>
      </c>
      <c r="D118" s="128">
        <v>0.86973379629629621</v>
      </c>
      <c r="E118" s="133">
        <f t="shared" si="29"/>
        <v>7.0717592592590695E-3</v>
      </c>
      <c r="F118" s="112">
        <v>105</v>
      </c>
      <c r="G118" s="112"/>
      <c r="H118" s="121"/>
      <c r="I118" s="126"/>
      <c r="J118" s="266"/>
      <c r="K118" s="7"/>
      <c r="L118" s="8"/>
      <c r="M118" s="8"/>
      <c r="N118" s="8"/>
      <c r="O118" s="123">
        <f t="shared" si="30"/>
        <v>0</v>
      </c>
      <c r="P118" s="8"/>
      <c r="Q118" s="8"/>
      <c r="R118" s="8"/>
      <c r="S118" s="8"/>
      <c r="T118" s="8"/>
      <c r="U118" t="str">
        <f t="shared" si="22"/>
        <v>55-6</v>
      </c>
      <c r="V118">
        <f>IF(W118&gt;0,COUNTIF($W$14:W119,W118),"")</f>
        <v>6</v>
      </c>
      <c r="W118">
        <f t="shared" si="32"/>
        <v>55</v>
      </c>
      <c r="X118" s="108">
        <f t="shared" si="33"/>
        <v>0.8768055555555555</v>
      </c>
      <c r="Y118" s="8"/>
      <c r="Z118" t="str">
        <f t="shared" si="23"/>
        <v/>
      </c>
      <c r="AA118" t="str">
        <f>IF(AB118&gt;0,COUNTIF($AB$14:AB119,AB118),"")</f>
        <v/>
      </c>
      <c r="AB118">
        <f t="shared" si="24"/>
        <v>0</v>
      </c>
      <c r="AC118" s="108">
        <f t="shared" si="31"/>
        <v>0</v>
      </c>
    </row>
    <row r="119" spans="1:29" ht="18" customHeight="1" x14ac:dyDescent="0.25">
      <c r="A119" s="267">
        <v>55</v>
      </c>
      <c r="B119" s="132">
        <v>103</v>
      </c>
      <c r="C119" s="132">
        <v>4</v>
      </c>
      <c r="D119" s="128">
        <v>0.8768055555555555</v>
      </c>
      <c r="E119" s="133">
        <f t="shared" si="29"/>
        <v>7.0717592592592915E-3</v>
      </c>
      <c r="F119" s="112">
        <v>106</v>
      </c>
      <c r="G119" s="112"/>
      <c r="H119" s="121"/>
      <c r="I119" s="126"/>
      <c r="J119" s="266"/>
      <c r="K119" s="7"/>
      <c r="L119" s="8"/>
      <c r="M119" s="8"/>
      <c r="N119" s="8"/>
      <c r="O119" s="123">
        <f t="shared" si="30"/>
        <v>0</v>
      </c>
      <c r="P119" s="8"/>
      <c r="Q119" s="8"/>
      <c r="R119" s="8"/>
      <c r="S119" s="8"/>
      <c r="T119" s="8"/>
      <c r="U119" t="str">
        <f t="shared" si="22"/>
        <v/>
      </c>
      <c r="V119" t="str">
        <f>IF(W119&gt;0,COUNTIF($W$14:W120,W119),"")</f>
        <v/>
      </c>
      <c r="W119">
        <f t="shared" si="32"/>
        <v>0</v>
      </c>
      <c r="X119" s="108">
        <f t="shared" si="33"/>
        <v>0</v>
      </c>
      <c r="Y119" s="8"/>
      <c r="Z119" t="str">
        <f t="shared" si="23"/>
        <v/>
      </c>
      <c r="AA119" t="str">
        <f>IF(AB119&gt;0,COUNTIF($AB$14:AB120,AB119),"")</f>
        <v/>
      </c>
      <c r="AB119">
        <f t="shared" si="24"/>
        <v>0</v>
      </c>
      <c r="AC119" s="108">
        <f t="shared" si="31"/>
        <v>0</v>
      </c>
    </row>
    <row r="120" spans="1:29" ht="18" customHeight="1" x14ac:dyDescent="0.25">
      <c r="A120" s="151"/>
      <c r="B120" s="112"/>
      <c r="C120" s="112"/>
      <c r="D120" s="121"/>
      <c r="E120" s="126"/>
      <c r="F120" s="112"/>
      <c r="G120" s="112"/>
      <c r="H120" s="121"/>
      <c r="I120" s="126"/>
      <c r="J120" s="154"/>
      <c r="K120" s="7"/>
      <c r="L120" s="8"/>
      <c r="M120" s="8"/>
      <c r="N120" s="8"/>
      <c r="O120" s="123">
        <f t="shared" si="30"/>
        <v>0</v>
      </c>
      <c r="P120" s="8"/>
      <c r="Q120" s="8"/>
      <c r="R120" s="8"/>
      <c r="S120" s="8"/>
      <c r="T120" s="8"/>
      <c r="U120" t="str">
        <f t="shared" si="22"/>
        <v/>
      </c>
      <c r="V120" t="str">
        <f>IF(W120&gt;0,COUNTIF($W$14:W121,W120),"")</f>
        <v/>
      </c>
      <c r="W120">
        <f t="shared" si="32"/>
        <v>0</v>
      </c>
      <c r="X120" s="108">
        <f t="shared" si="33"/>
        <v>0</v>
      </c>
      <c r="Y120" s="8"/>
      <c r="Z120" t="str">
        <f t="shared" si="23"/>
        <v/>
      </c>
      <c r="AA120" t="str">
        <f>IF(AB120&gt;0,COUNTIF($AB$14:AB121,AB120),"")</f>
        <v/>
      </c>
      <c r="AB120">
        <f t="shared" si="24"/>
        <v>0</v>
      </c>
      <c r="AC120" s="108">
        <f t="shared" si="31"/>
        <v>0</v>
      </c>
    </row>
    <row r="121" spans="1:29" ht="18" customHeight="1" x14ac:dyDescent="0.25">
      <c r="A121" s="151"/>
      <c r="B121" s="112"/>
      <c r="C121" s="112"/>
      <c r="D121" s="121"/>
      <c r="E121" s="126"/>
      <c r="F121" s="112"/>
      <c r="G121" s="112"/>
      <c r="H121" s="121"/>
      <c r="I121" s="126"/>
      <c r="J121" s="151"/>
      <c r="K121" s="7"/>
      <c r="L121" s="8"/>
      <c r="M121" s="8"/>
      <c r="N121" s="8"/>
      <c r="O121" s="123">
        <f t="shared" si="30"/>
        <v>0</v>
      </c>
      <c r="P121" s="8"/>
      <c r="Q121" s="8"/>
      <c r="R121" s="8"/>
      <c r="S121" s="8"/>
      <c r="T121" s="8"/>
      <c r="U121" t="str">
        <f t="shared" si="22"/>
        <v/>
      </c>
      <c r="V121" t="str">
        <f>IF(W121&gt;0,COUNTIF($W$14:W122,W121),"")</f>
        <v/>
      </c>
      <c r="W121">
        <f t="shared" si="32"/>
        <v>0</v>
      </c>
      <c r="X121" s="108">
        <f t="shared" si="33"/>
        <v>0</v>
      </c>
      <c r="Y121" s="8"/>
      <c r="Z121" t="str">
        <f t="shared" si="23"/>
        <v/>
      </c>
      <c r="AA121" t="str">
        <f>IF(AB121&gt;0,COUNTIF($AB$14:AB122,AB121),"")</f>
        <v/>
      </c>
      <c r="AB121">
        <f t="shared" si="24"/>
        <v>0</v>
      </c>
      <c r="AC121" s="108">
        <f t="shared" si="31"/>
        <v>0</v>
      </c>
    </row>
    <row r="122" spans="1:29" ht="18" customHeight="1" x14ac:dyDescent="0.25">
      <c r="A122" s="151"/>
      <c r="B122" s="112"/>
      <c r="C122" s="112"/>
      <c r="D122" s="121"/>
      <c r="E122" s="126"/>
      <c r="F122" s="112"/>
      <c r="G122" s="112"/>
      <c r="H122" s="121"/>
      <c r="I122" s="126"/>
      <c r="J122" s="151"/>
      <c r="K122" s="7"/>
      <c r="L122" s="8"/>
      <c r="M122" s="8"/>
      <c r="N122" s="8"/>
      <c r="O122" s="123">
        <f t="shared" si="30"/>
        <v>0</v>
      </c>
      <c r="P122" s="8"/>
      <c r="Q122" s="8"/>
      <c r="R122" s="8"/>
      <c r="S122" s="8"/>
      <c r="T122" s="8"/>
      <c r="U122" t="str">
        <f t="shared" si="22"/>
        <v/>
      </c>
      <c r="V122" t="str">
        <f>IF(W122&gt;0,COUNTIF($W$14:W123,W122),"")</f>
        <v/>
      </c>
      <c r="W122">
        <f t="shared" si="32"/>
        <v>0</v>
      </c>
      <c r="X122" s="108">
        <f t="shared" si="33"/>
        <v>0</v>
      </c>
      <c r="Y122" s="8"/>
      <c r="Z122" t="str">
        <f t="shared" si="23"/>
        <v/>
      </c>
      <c r="AA122" t="str">
        <f>IF(AB122&gt;0,COUNTIF($AB$14:AB123,AB122),"")</f>
        <v/>
      </c>
      <c r="AB122">
        <f t="shared" si="24"/>
        <v>0</v>
      </c>
      <c r="AC122" s="108">
        <f t="shared" si="31"/>
        <v>0</v>
      </c>
    </row>
    <row r="123" spans="1:29" ht="18" customHeight="1" x14ac:dyDescent="0.25">
      <c r="A123" s="151"/>
      <c r="B123" s="112"/>
      <c r="C123" s="112"/>
      <c r="D123" s="121"/>
      <c r="E123" s="126"/>
      <c r="F123" s="112"/>
      <c r="G123" s="112"/>
      <c r="H123" s="121"/>
      <c r="I123" s="126"/>
      <c r="J123" s="151"/>
      <c r="K123" s="7"/>
      <c r="L123" s="7"/>
      <c r="M123" s="8"/>
      <c r="N123" s="8"/>
      <c r="O123" s="8"/>
      <c r="P123" s="8"/>
      <c r="Q123" s="8"/>
      <c r="R123" s="8"/>
      <c r="S123" s="8"/>
      <c r="T123" s="8"/>
      <c r="U123" t="str">
        <f t="shared" si="22"/>
        <v/>
      </c>
      <c r="V123" t="str">
        <f>IF(W123&gt;0,COUNTIF($W$14:W124,W123),"")</f>
        <v/>
      </c>
      <c r="W123">
        <f t="shared" si="32"/>
        <v>0</v>
      </c>
      <c r="X123" s="108">
        <f t="shared" si="33"/>
        <v>0</v>
      </c>
      <c r="Y123" s="8"/>
      <c r="Z123" t="str">
        <f t="shared" si="23"/>
        <v/>
      </c>
      <c r="AA123" t="str">
        <f>IF(AB123&gt;0,COUNTIF($AB$14:AB124,AB123),"")</f>
        <v/>
      </c>
      <c r="AB123">
        <f t="shared" si="24"/>
        <v>0</v>
      </c>
      <c r="AC123" s="108">
        <f t="shared" si="31"/>
        <v>0</v>
      </c>
    </row>
    <row r="124" spans="1:29" ht="18" customHeight="1" x14ac:dyDescent="0.25">
      <c r="A124" s="151"/>
      <c r="B124" s="112"/>
      <c r="C124" s="112"/>
      <c r="D124" s="121"/>
      <c r="E124" s="126"/>
      <c r="F124" s="112"/>
      <c r="G124" s="112"/>
      <c r="H124" s="121"/>
      <c r="I124" s="126"/>
      <c r="J124" s="151"/>
      <c r="K124" s="7"/>
      <c r="L124" s="7"/>
      <c r="M124" s="8"/>
      <c r="N124" s="8"/>
      <c r="O124" s="8"/>
      <c r="P124" s="8"/>
      <c r="Q124" s="8"/>
      <c r="R124" s="8"/>
      <c r="S124" s="8"/>
      <c r="T124" s="8"/>
      <c r="U124" t="str">
        <f t="shared" si="22"/>
        <v/>
      </c>
      <c r="V124" t="str">
        <f>IF(W124&gt;0,COUNTIF($W$14:W125,W124),"")</f>
        <v/>
      </c>
      <c r="W124">
        <f t="shared" si="32"/>
        <v>0</v>
      </c>
      <c r="X124" s="108">
        <f t="shared" si="33"/>
        <v>0</v>
      </c>
      <c r="Y124" s="8"/>
      <c r="Z124" t="str">
        <f t="shared" si="23"/>
        <v/>
      </c>
      <c r="AA124" t="str">
        <f>IF(AB124&gt;0,COUNTIF($AB$14:AB125,AB124),"")</f>
        <v/>
      </c>
      <c r="AB124">
        <f t="shared" si="24"/>
        <v>0</v>
      </c>
      <c r="AC124" s="108">
        <f t="shared" si="31"/>
        <v>0</v>
      </c>
    </row>
    <row r="125" spans="1:29" ht="18" customHeight="1" x14ac:dyDescent="0.25">
      <c r="A125" s="151"/>
      <c r="B125" s="112"/>
      <c r="C125" s="112"/>
      <c r="D125" s="121"/>
      <c r="E125" s="126"/>
      <c r="F125" s="112"/>
      <c r="G125" s="112"/>
      <c r="H125" s="121"/>
      <c r="I125" s="126"/>
      <c r="J125" s="151"/>
      <c r="K125" s="7"/>
      <c r="L125" s="7"/>
      <c r="M125" s="8"/>
      <c r="N125" s="8"/>
      <c r="O125" s="8"/>
      <c r="P125" s="8"/>
      <c r="Q125" s="8"/>
      <c r="R125" s="8"/>
      <c r="S125" s="8"/>
      <c r="T125" s="8"/>
      <c r="U125" t="str">
        <f t="shared" si="22"/>
        <v/>
      </c>
      <c r="V125" t="str">
        <f>IF(W125&gt;0,COUNTIF($W$14:W126,W125),"")</f>
        <v/>
      </c>
      <c r="W125">
        <f t="shared" si="32"/>
        <v>0</v>
      </c>
      <c r="X125" s="108">
        <f t="shared" si="33"/>
        <v>0</v>
      </c>
      <c r="Y125" s="8"/>
      <c r="Z125" t="str">
        <f t="shared" si="23"/>
        <v/>
      </c>
      <c r="AA125" t="str">
        <f>IF(AB125&gt;0,COUNTIF($AB$14:AB126,AB125),"")</f>
        <v/>
      </c>
      <c r="AB125">
        <f t="shared" si="24"/>
        <v>0</v>
      </c>
      <c r="AC125" s="108">
        <f t="shared" si="31"/>
        <v>0</v>
      </c>
    </row>
    <row r="126" spans="1:29" ht="18" customHeight="1" x14ac:dyDescent="0.25">
      <c r="A126" s="151"/>
      <c r="B126" s="112"/>
      <c r="C126" s="112"/>
      <c r="D126" s="121"/>
      <c r="E126" s="126"/>
      <c r="F126" s="112"/>
      <c r="G126" s="112"/>
      <c r="H126" s="121"/>
      <c r="I126" s="126"/>
      <c r="J126" s="151"/>
      <c r="K126" s="7"/>
      <c r="L126" s="7"/>
      <c r="M126" s="8"/>
      <c r="N126" s="8"/>
      <c r="O126" s="8"/>
      <c r="P126" s="8"/>
      <c r="Q126" s="8"/>
      <c r="R126" s="8"/>
      <c r="S126" s="8"/>
      <c r="T126" s="8"/>
      <c r="U126" t="str">
        <f t="shared" si="22"/>
        <v/>
      </c>
      <c r="V126" t="str">
        <f>IF(W126&gt;0,COUNTIF($W$14:W127,W126),"")</f>
        <v/>
      </c>
      <c r="W126">
        <f t="shared" si="32"/>
        <v>0</v>
      </c>
      <c r="X126" s="108">
        <f t="shared" si="33"/>
        <v>0</v>
      </c>
      <c r="Y126" s="8"/>
      <c r="Z126" t="str">
        <f t="shared" si="23"/>
        <v/>
      </c>
      <c r="AA126" t="str">
        <f>IF(AB126&gt;0,COUNTIF($AB$14:AB127,AB126),"")</f>
        <v/>
      </c>
      <c r="AB126">
        <f t="shared" si="24"/>
        <v>0</v>
      </c>
      <c r="AC126" s="108">
        <f t="shared" si="31"/>
        <v>0</v>
      </c>
    </row>
    <row r="127" spans="1:29" ht="18" customHeight="1" x14ac:dyDescent="0.25">
      <c r="A127" s="151"/>
      <c r="B127" s="112"/>
      <c r="C127" s="112"/>
      <c r="D127" s="121"/>
      <c r="E127" s="126"/>
      <c r="F127" s="112"/>
      <c r="G127" s="112"/>
      <c r="H127" s="121"/>
      <c r="I127" s="126"/>
      <c r="J127" s="151"/>
      <c r="K127" s="7"/>
      <c r="L127" s="7"/>
      <c r="M127" s="8"/>
      <c r="N127" s="8"/>
      <c r="O127" s="8"/>
      <c r="P127" s="8"/>
      <c r="Q127" s="8"/>
      <c r="R127" s="8"/>
      <c r="S127" s="8"/>
      <c r="T127" s="8"/>
      <c r="U127" t="str">
        <f t="shared" si="22"/>
        <v/>
      </c>
      <c r="V127" t="str">
        <f>IF(W127&gt;0,COUNTIF($W$14:W128,W127),"")</f>
        <v/>
      </c>
      <c r="W127">
        <f t="shared" si="32"/>
        <v>0</v>
      </c>
      <c r="X127" s="108">
        <f t="shared" si="33"/>
        <v>0</v>
      </c>
      <c r="Y127" s="8"/>
      <c r="Z127" t="str">
        <f t="shared" si="23"/>
        <v/>
      </c>
      <c r="AA127" t="str">
        <f>IF(AB127&gt;0,COUNTIF($AB$14:AB128,AB127),"")</f>
        <v/>
      </c>
      <c r="AB127">
        <f t="shared" si="24"/>
        <v>0</v>
      </c>
      <c r="AC127" s="108">
        <f t="shared" si="31"/>
        <v>0</v>
      </c>
    </row>
    <row r="128" spans="1:29" ht="18" customHeight="1" x14ac:dyDescent="0.25">
      <c r="A128" s="151"/>
      <c r="B128" s="112"/>
      <c r="C128" s="112"/>
      <c r="D128" s="121"/>
      <c r="E128" s="126"/>
      <c r="F128" s="112"/>
      <c r="G128" s="112"/>
      <c r="H128" s="121"/>
      <c r="I128" s="126"/>
      <c r="J128" s="151"/>
      <c r="K128" s="7"/>
      <c r="L128" s="7"/>
      <c r="M128" s="8"/>
      <c r="N128" s="8"/>
      <c r="O128" s="8"/>
      <c r="P128" s="8"/>
      <c r="Q128" s="8"/>
      <c r="R128" s="8"/>
      <c r="S128" s="8"/>
      <c r="T128" s="8"/>
      <c r="U128" t="str">
        <f t="shared" si="22"/>
        <v/>
      </c>
      <c r="V128" t="str">
        <f>IF(W128&gt;0,COUNTIF($W$14:W129,W128),"")</f>
        <v/>
      </c>
      <c r="W128">
        <f t="shared" si="32"/>
        <v>0</v>
      </c>
      <c r="X128" s="108">
        <f t="shared" si="33"/>
        <v>0</v>
      </c>
      <c r="Y128" s="8"/>
      <c r="Z128" t="str">
        <f t="shared" si="23"/>
        <v/>
      </c>
      <c r="AA128" t="str">
        <f>IF(AB128&gt;0,COUNTIF($AB$14:AB129,AB128),"")</f>
        <v/>
      </c>
      <c r="AB128">
        <f t="shared" si="24"/>
        <v>0</v>
      </c>
      <c r="AC128" s="108">
        <f t="shared" si="31"/>
        <v>0</v>
      </c>
    </row>
    <row r="129" spans="1:29" ht="18" customHeight="1" x14ac:dyDescent="0.25">
      <c r="A129" s="151"/>
      <c r="B129" s="112"/>
      <c r="C129" s="112"/>
      <c r="D129" s="121"/>
      <c r="E129" s="126"/>
      <c r="F129" s="112"/>
      <c r="G129" s="112"/>
      <c r="H129" s="121"/>
      <c r="I129" s="126"/>
      <c r="J129" s="151"/>
      <c r="K129" s="7"/>
      <c r="L129" s="7"/>
      <c r="M129" s="8"/>
      <c r="N129" s="8"/>
      <c r="O129" s="8"/>
      <c r="P129" s="8"/>
      <c r="Q129" s="8"/>
      <c r="R129" s="8"/>
      <c r="S129" s="8"/>
      <c r="T129" s="8"/>
      <c r="U129" t="str">
        <f t="shared" si="22"/>
        <v/>
      </c>
      <c r="V129" t="str">
        <f>IF(W129&gt;0,COUNTIF($W$14:W130,W129),"")</f>
        <v/>
      </c>
      <c r="W129">
        <f t="shared" si="32"/>
        <v>0</v>
      </c>
      <c r="X129" s="108">
        <f t="shared" si="33"/>
        <v>0</v>
      </c>
      <c r="Y129" s="8"/>
      <c r="Z129" t="str">
        <f t="shared" si="23"/>
        <v/>
      </c>
      <c r="AA129" t="str">
        <f>IF(AB129&gt;0,COUNTIF($AB$14:AB130,AB129),"")</f>
        <v/>
      </c>
      <c r="AB129">
        <f t="shared" si="24"/>
        <v>0</v>
      </c>
      <c r="AC129" s="108">
        <f t="shared" si="31"/>
        <v>0</v>
      </c>
    </row>
    <row r="130" spans="1:29" ht="18" customHeight="1" x14ac:dyDescent="0.25">
      <c r="A130" s="154"/>
      <c r="B130" s="112"/>
      <c r="C130" s="112"/>
      <c r="D130" s="121"/>
      <c r="E130" s="126"/>
      <c r="F130" s="112"/>
      <c r="G130" s="112"/>
      <c r="H130" s="121"/>
      <c r="I130" s="126"/>
      <c r="J130" s="154"/>
      <c r="K130" s="7"/>
      <c r="L130" s="7"/>
      <c r="M130" s="8"/>
      <c r="N130" s="8"/>
      <c r="O130" s="8"/>
      <c r="P130" s="8"/>
      <c r="Q130" s="8"/>
      <c r="R130" s="8"/>
      <c r="S130" s="8"/>
      <c r="T130" s="8"/>
      <c r="U130" t="str">
        <f t="shared" si="22"/>
        <v/>
      </c>
      <c r="V130" t="str">
        <f>IF(W130&gt;0,COUNTIF($W$14:W131,W130),"")</f>
        <v/>
      </c>
      <c r="W130">
        <f t="shared" si="32"/>
        <v>0</v>
      </c>
      <c r="X130" s="108">
        <f t="shared" si="33"/>
        <v>0</v>
      </c>
      <c r="Y130" s="8"/>
      <c r="Z130" t="str">
        <f t="shared" si="23"/>
        <v/>
      </c>
      <c r="AA130" t="str">
        <f>IF(AB130&gt;0,COUNTIF($AB$14:AB131,AB130),"")</f>
        <v/>
      </c>
      <c r="AB130">
        <f t="shared" si="24"/>
        <v>0</v>
      </c>
      <c r="AC130" s="108">
        <f t="shared" si="31"/>
        <v>0</v>
      </c>
    </row>
    <row r="131" spans="1:29" ht="18" customHeight="1" x14ac:dyDescent="0.25">
      <c r="A131" s="154"/>
      <c r="B131" s="112"/>
      <c r="C131" s="112"/>
      <c r="D131" s="121"/>
      <c r="E131" s="126"/>
      <c r="F131" s="112"/>
      <c r="G131" s="112"/>
      <c r="H131" s="121"/>
      <c r="I131" s="126"/>
      <c r="J131" s="154"/>
      <c r="K131" s="7"/>
      <c r="L131" s="7"/>
      <c r="M131" s="8"/>
      <c r="N131" s="8"/>
      <c r="O131" s="8"/>
      <c r="P131" s="8"/>
      <c r="Q131" s="8"/>
      <c r="R131" s="8"/>
      <c r="S131" s="8"/>
      <c r="T131" s="8"/>
      <c r="U131" t="str">
        <f t="shared" si="22"/>
        <v/>
      </c>
      <c r="V131" t="str">
        <f>IF(W131&gt;0,COUNTIF($W$14:W132,W131),"")</f>
        <v/>
      </c>
      <c r="W131">
        <f t="shared" si="32"/>
        <v>0</v>
      </c>
      <c r="X131" s="108">
        <f t="shared" si="33"/>
        <v>0</v>
      </c>
      <c r="Y131" s="8"/>
      <c r="Z131" t="str">
        <f t="shared" si="23"/>
        <v/>
      </c>
      <c r="AA131" t="str">
        <f>IF(AB131&gt;0,COUNTIF($AB$14:AB132,AB131),"")</f>
        <v/>
      </c>
      <c r="AB131">
        <f t="shared" si="24"/>
        <v>0</v>
      </c>
      <c r="AC131" s="108">
        <f t="shared" si="31"/>
        <v>0</v>
      </c>
    </row>
    <row r="132" spans="1:29" ht="18" customHeight="1" x14ac:dyDescent="0.25">
      <c r="A132" s="151"/>
      <c r="B132" s="112"/>
      <c r="C132" s="112"/>
      <c r="D132" s="121"/>
      <c r="E132" s="126"/>
      <c r="F132" s="112"/>
      <c r="G132" s="132"/>
      <c r="H132" s="128"/>
      <c r="I132" s="133"/>
      <c r="J132" s="151"/>
      <c r="K132" s="7"/>
      <c r="L132" s="7"/>
      <c r="M132" s="8"/>
      <c r="N132" s="8"/>
      <c r="O132" s="8"/>
      <c r="P132" s="8"/>
      <c r="Q132" s="8"/>
      <c r="R132" s="8"/>
      <c r="S132" s="8"/>
      <c r="T132" s="8"/>
      <c r="U132" t="str">
        <f t="shared" si="22"/>
        <v/>
      </c>
      <c r="V132" t="str">
        <f>IF(W132&gt;0,COUNTIF($W$14:W133,W132),"")</f>
        <v/>
      </c>
      <c r="W132">
        <f t="shared" si="32"/>
        <v>0</v>
      </c>
      <c r="X132" s="108">
        <f t="shared" si="33"/>
        <v>0</v>
      </c>
      <c r="Y132" s="8"/>
      <c r="Z132" t="str">
        <f t="shared" si="23"/>
        <v/>
      </c>
      <c r="AA132" t="str">
        <f>IF(AB132&gt;0,COUNTIF($AB$14:AB133,AB132),"")</f>
        <v/>
      </c>
      <c r="AB132">
        <f t="shared" si="24"/>
        <v>0</v>
      </c>
      <c r="AC132" s="108">
        <f t="shared" si="31"/>
        <v>0</v>
      </c>
    </row>
    <row r="133" spans="1:29" ht="18" customHeight="1" x14ac:dyDescent="0.25">
      <c r="A133" s="151"/>
      <c r="B133" s="112"/>
      <c r="C133" s="112"/>
      <c r="D133" s="121"/>
      <c r="E133" s="126"/>
      <c r="F133" s="112"/>
      <c r="G133" s="132"/>
      <c r="H133" s="128"/>
      <c r="I133" s="133"/>
      <c r="J133" s="151"/>
      <c r="K133" s="7"/>
      <c r="L133" s="233">
        <v>1.4583333333333334E-3</v>
      </c>
      <c r="M133" s="8"/>
      <c r="N133" s="8"/>
      <c r="O133" s="8"/>
      <c r="P133" s="8"/>
      <c r="Q133" s="8"/>
      <c r="R133" s="8"/>
      <c r="S133" s="8"/>
      <c r="T133" s="8"/>
      <c r="U133" t="str">
        <f t="shared" si="22"/>
        <v/>
      </c>
      <c r="V133" t="str">
        <f>IF(W133&gt;0,COUNTIF($W$14:W134,W133),"")</f>
        <v/>
      </c>
      <c r="W133">
        <f t="shared" si="32"/>
        <v>0</v>
      </c>
      <c r="X133" s="108">
        <f t="shared" si="33"/>
        <v>0</v>
      </c>
      <c r="Y133" s="8"/>
      <c r="Z133" t="str">
        <f t="shared" si="23"/>
        <v/>
      </c>
      <c r="AA133" t="str">
        <f>IF(AB133&gt;0,COUNTIF($AB$14:AB134,AB133),"")</f>
        <v/>
      </c>
      <c r="AB133">
        <f t="shared" si="24"/>
        <v>0</v>
      </c>
      <c r="AC133" s="108">
        <f t="shared" si="31"/>
        <v>0</v>
      </c>
    </row>
    <row r="134" spans="1:29" ht="18" customHeight="1" x14ac:dyDescent="0.25">
      <c r="A134" s="151"/>
      <c r="B134" s="112"/>
      <c r="C134" s="112"/>
      <c r="D134" s="121"/>
      <c r="E134" s="126"/>
      <c r="F134" s="112"/>
      <c r="G134" s="132"/>
      <c r="H134" s="128"/>
      <c r="I134" s="133"/>
      <c r="J134" s="151"/>
      <c r="K134" s="7"/>
      <c r="L134" s="7"/>
      <c r="M134" s="8"/>
      <c r="N134" s="8"/>
      <c r="O134" s="8"/>
      <c r="P134" s="8"/>
      <c r="Q134" s="8"/>
      <c r="R134" s="8"/>
      <c r="S134" s="8"/>
      <c r="T134" s="8"/>
      <c r="U134" t="str">
        <f t="shared" si="22"/>
        <v/>
      </c>
      <c r="V134" t="str">
        <f>IF(W134&gt;0,COUNTIF($W$14:W135,W134),"")</f>
        <v/>
      </c>
      <c r="W134">
        <f t="shared" si="32"/>
        <v>0</v>
      </c>
      <c r="X134" s="108">
        <f t="shared" si="33"/>
        <v>0</v>
      </c>
      <c r="Y134" s="8"/>
      <c r="Z134" t="str">
        <f t="shared" si="23"/>
        <v/>
      </c>
      <c r="AA134" t="str">
        <f>IF(AB134&gt;0,COUNTIF($AB$14:AB135,AB134),"")</f>
        <v/>
      </c>
      <c r="AB134">
        <f t="shared" si="24"/>
        <v>0</v>
      </c>
      <c r="AC134" s="108">
        <f t="shared" si="31"/>
        <v>0</v>
      </c>
    </row>
    <row r="135" spans="1:29" ht="18" customHeight="1" x14ac:dyDescent="0.25">
      <c r="A135" s="151"/>
      <c r="B135" s="112"/>
      <c r="C135" s="132"/>
      <c r="D135" s="128"/>
      <c r="E135" s="133"/>
      <c r="F135" s="112"/>
      <c r="G135" s="112"/>
      <c r="H135" s="121"/>
      <c r="I135" s="29"/>
      <c r="J135" s="151"/>
      <c r="K135" s="7"/>
      <c r="L135" s="7"/>
      <c r="M135" s="8"/>
      <c r="N135" s="8"/>
      <c r="O135" s="8"/>
      <c r="P135" s="8"/>
      <c r="Q135" s="8"/>
      <c r="R135" s="8"/>
      <c r="S135" s="8"/>
      <c r="T135" s="8"/>
      <c r="U135" t="str">
        <f t="shared" si="22"/>
        <v/>
      </c>
      <c r="V135" t="str">
        <f>IF(W135&gt;0,COUNTIF($W$14:W136,W135),"")</f>
        <v/>
      </c>
      <c r="W135">
        <f t="shared" si="32"/>
        <v>0</v>
      </c>
      <c r="X135" s="108">
        <f t="shared" si="33"/>
        <v>0</v>
      </c>
      <c r="Y135" s="8"/>
      <c r="Z135" t="str">
        <f t="shared" si="23"/>
        <v/>
      </c>
      <c r="AA135" t="str">
        <f>IF(AB135&gt;0,COUNTIF($AB$14:AB136,AB135),"")</f>
        <v/>
      </c>
      <c r="AB135">
        <f t="shared" si="24"/>
        <v>0</v>
      </c>
      <c r="AC135" s="108">
        <f>'AKŞAM 6+4'!F19</f>
        <v>0</v>
      </c>
    </row>
    <row r="136" spans="1:29" ht="18" customHeight="1" x14ac:dyDescent="0.25">
      <c r="A136" s="151"/>
      <c r="B136" s="112"/>
      <c r="C136" s="132"/>
      <c r="D136" s="128"/>
      <c r="E136" s="133"/>
      <c r="F136" s="36"/>
      <c r="G136" s="112"/>
      <c r="H136" s="121"/>
      <c r="I136" s="29"/>
      <c r="J136" s="151"/>
      <c r="K136" s="7"/>
      <c r="L136" s="7"/>
      <c r="M136" s="8"/>
      <c r="N136" s="8"/>
      <c r="O136" s="8"/>
      <c r="P136" s="8"/>
      <c r="Q136" s="8"/>
      <c r="R136" s="8"/>
      <c r="S136" s="8"/>
      <c r="T136" s="8"/>
      <c r="U136" t="e">
        <f t="shared" si="22"/>
        <v>#REF!</v>
      </c>
      <c r="V136" t="e">
        <f>IF(W136&gt;0,COUNTIF($W$14:W136,W136),"")</f>
        <v>#REF!</v>
      </c>
      <c r="W136" t="e">
        <f>#REF!</f>
        <v>#REF!</v>
      </c>
      <c r="X136" s="108" t="e">
        <f>#REF!</f>
        <v>#REF!</v>
      </c>
      <c r="Y136" s="8"/>
      <c r="Z136" t="str">
        <f t="shared" si="23"/>
        <v/>
      </c>
      <c r="AA136" t="str">
        <f>IF(AB136&gt;0,COUNTIF($AB$14:AB136,AB136),"")</f>
        <v/>
      </c>
      <c r="AB136">
        <f t="shared" si="24"/>
        <v>0</v>
      </c>
      <c r="AC136" s="108">
        <f t="shared" ref="AC136" si="34">H136</f>
        <v>0</v>
      </c>
    </row>
    <row r="137" spans="1:29" x14ac:dyDescent="0.25">
      <c r="C137" s="115"/>
      <c r="D137" s="113"/>
      <c r="E137" s="32"/>
      <c r="G137" s="34"/>
      <c r="H137" s="111"/>
      <c r="J137" s="31"/>
      <c r="K137" s="7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spans="1:29" x14ac:dyDescent="0.25">
      <c r="C138" s="115"/>
      <c r="D138" s="113"/>
      <c r="E138" s="32"/>
      <c r="G138" s="34"/>
      <c r="H138" s="111"/>
      <c r="J138" s="31"/>
      <c r="K138" s="7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spans="1:29" x14ac:dyDescent="0.25">
      <c r="C139" s="115"/>
      <c r="D139" s="113"/>
      <c r="E139" s="32"/>
      <c r="G139" s="34"/>
      <c r="H139" s="111"/>
      <c r="J139" s="31"/>
      <c r="K139" s="7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spans="1:29" x14ac:dyDescent="0.25">
      <c r="C140" s="115"/>
      <c r="D140" s="113"/>
      <c r="E140" s="32"/>
      <c r="G140" s="34"/>
      <c r="H140" s="111"/>
      <c r="J140" s="31"/>
      <c r="K140" s="7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spans="1:29" x14ac:dyDescent="0.25">
      <c r="C141" s="115"/>
      <c r="D141" s="113"/>
      <c r="E141" s="32"/>
      <c r="G141" s="34"/>
      <c r="H141" s="111"/>
      <c r="J141" s="31"/>
      <c r="K141" s="7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spans="1:29" x14ac:dyDescent="0.25">
      <c r="C142" s="115"/>
      <c r="D142" s="113"/>
      <c r="E142" s="32"/>
      <c r="G142" s="34"/>
      <c r="H142" s="111"/>
      <c r="J142" s="31"/>
      <c r="K142" s="7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spans="1:29" x14ac:dyDescent="0.25">
      <c r="C143" s="115"/>
      <c r="D143" s="113"/>
      <c r="E143" s="32"/>
      <c r="G143" s="34"/>
      <c r="H143" s="111"/>
      <c r="J143" s="31"/>
      <c r="K143" s="7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spans="1:29" x14ac:dyDescent="0.25">
      <c r="C144" s="115"/>
      <c r="D144" s="113"/>
      <c r="E144" s="32"/>
      <c r="G144" s="34"/>
      <c r="H144" s="111"/>
      <c r="J144" s="31"/>
      <c r="K144" s="7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spans="3:29" x14ac:dyDescent="0.25">
      <c r="C145" s="115"/>
      <c r="D145" s="113"/>
      <c r="E145" s="32"/>
      <c r="G145" s="34"/>
      <c r="H145" s="111"/>
      <c r="J145" s="31"/>
      <c r="K145" s="7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spans="3:29" x14ac:dyDescent="0.25">
      <c r="C146" s="115"/>
      <c r="D146" s="113"/>
      <c r="E146" s="32"/>
      <c r="G146" s="34"/>
      <c r="H146" s="111"/>
      <c r="J146" s="31"/>
      <c r="K146" s="7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spans="3:29" x14ac:dyDescent="0.25">
      <c r="C147" s="115"/>
      <c r="D147" s="113"/>
      <c r="E147" s="32"/>
      <c r="G147" s="34"/>
      <c r="H147" s="111"/>
      <c r="J147" s="31"/>
      <c r="K147" s="7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spans="3:29" x14ac:dyDescent="0.25">
      <c r="C148" s="115"/>
      <c r="D148" s="113"/>
      <c r="E148" s="32"/>
      <c r="G148" s="34"/>
      <c r="H148" s="111"/>
      <c r="J148" s="31"/>
      <c r="K148" s="7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spans="3:29" x14ac:dyDescent="0.25">
      <c r="C149" s="115"/>
      <c r="D149" s="113"/>
      <c r="E149" s="32"/>
      <c r="G149" s="34"/>
      <c r="H149" s="111"/>
      <c r="J149" s="31"/>
      <c r="K149" s="7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spans="3:29" x14ac:dyDescent="0.25">
      <c r="C150" s="115"/>
      <c r="D150" s="113"/>
      <c r="E150" s="32"/>
      <c r="G150" s="34"/>
      <c r="H150" s="111"/>
      <c r="J150" s="31"/>
      <c r="K150" s="7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spans="3:29" x14ac:dyDescent="0.25">
      <c r="C151" s="115"/>
      <c r="D151" s="113"/>
      <c r="E151" s="32"/>
      <c r="G151" s="34"/>
      <c r="H151" s="111"/>
      <c r="J151" s="31"/>
      <c r="K151" s="7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spans="3:29" x14ac:dyDescent="0.25">
      <c r="C152" s="115"/>
      <c r="D152" s="113"/>
      <c r="E152" s="32"/>
      <c r="G152" s="34"/>
      <c r="H152" s="111"/>
      <c r="J152" s="31"/>
      <c r="K152" s="7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spans="3:29" x14ac:dyDescent="0.25">
      <c r="C153" s="115"/>
      <c r="D153" s="113"/>
      <c r="E153" s="32"/>
      <c r="G153" s="34"/>
      <c r="H153" s="111"/>
      <c r="J153" s="31"/>
      <c r="K153" s="7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spans="3:29" x14ac:dyDescent="0.25">
      <c r="C154" s="115"/>
      <c r="D154" s="113"/>
      <c r="E154" s="32"/>
      <c r="G154" s="34"/>
      <c r="H154" s="111"/>
      <c r="J154" s="31"/>
      <c r="K154" s="7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spans="3:29" x14ac:dyDescent="0.25">
      <c r="C155" s="115"/>
      <c r="D155" s="113"/>
      <c r="E155" s="32"/>
      <c r="G155" s="34"/>
      <c r="H155" s="111"/>
      <c r="J155" s="31"/>
      <c r="K155" s="7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spans="3:29" x14ac:dyDescent="0.25">
      <c r="C156" s="115"/>
      <c r="D156" s="113"/>
      <c r="E156" s="32"/>
      <c r="G156" s="34"/>
      <c r="H156" s="111"/>
      <c r="J156" s="31"/>
      <c r="K156" s="7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spans="3:29" x14ac:dyDescent="0.25">
      <c r="C157" s="115"/>
      <c r="D157" s="113"/>
      <c r="E157" s="32"/>
      <c r="G157" s="34"/>
      <c r="H157" s="111"/>
      <c r="J157" s="31"/>
      <c r="K157" s="7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spans="3:29" x14ac:dyDescent="0.25">
      <c r="C158" s="115"/>
      <c r="D158" s="113"/>
      <c r="E158" s="32"/>
      <c r="G158" s="34"/>
      <c r="H158" s="111"/>
      <c r="J158" s="31"/>
      <c r="K158" s="7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spans="3:29" x14ac:dyDescent="0.25">
      <c r="C159" s="115"/>
      <c r="D159" s="113"/>
      <c r="E159" s="32"/>
      <c r="G159" s="34"/>
      <c r="H159" s="111"/>
      <c r="J159" s="31"/>
      <c r="K159" s="7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spans="3:29" x14ac:dyDescent="0.25">
      <c r="C160" s="115"/>
      <c r="D160" s="113"/>
      <c r="E160" s="32"/>
      <c r="G160" s="34"/>
      <c r="H160" s="111"/>
      <c r="J160" s="31"/>
      <c r="K160" s="7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spans="3:29" x14ac:dyDescent="0.25">
      <c r="C161" s="115"/>
      <c r="D161" s="113"/>
      <c r="E161" s="32"/>
      <c r="G161" s="34"/>
      <c r="H161" s="111"/>
      <c r="J161" s="31"/>
      <c r="K161" s="7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spans="3:29" x14ac:dyDescent="0.25">
      <c r="C162" s="115"/>
      <c r="D162" s="113"/>
      <c r="E162" s="32"/>
      <c r="G162" s="34"/>
      <c r="H162" s="111"/>
      <c r="J162" s="31"/>
      <c r="K162" s="7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spans="3:29" x14ac:dyDescent="0.25">
      <c r="C163" s="115"/>
      <c r="D163" s="113"/>
      <c r="E163" s="32"/>
      <c r="G163" s="34"/>
      <c r="H163" s="111"/>
      <c r="J163" s="31"/>
      <c r="K163" s="7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spans="3:29" x14ac:dyDescent="0.25">
      <c r="C164" s="115"/>
      <c r="D164" s="113"/>
      <c r="E164" s="32"/>
      <c r="G164" s="34"/>
      <c r="H164" s="111"/>
      <c r="J164" s="31"/>
      <c r="K164" s="7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spans="3:29" x14ac:dyDescent="0.25">
      <c r="C165" s="115"/>
      <c r="D165" s="113"/>
      <c r="E165" s="32"/>
      <c r="G165" s="34"/>
      <c r="H165" s="111"/>
      <c r="J165" s="31"/>
      <c r="K165" s="7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spans="3:29" x14ac:dyDescent="0.25">
      <c r="C166" s="115"/>
      <c r="D166" s="113"/>
      <c r="E166" s="32"/>
      <c r="G166" s="34"/>
      <c r="H166" s="111"/>
      <c r="J166" s="31"/>
      <c r="K166" s="7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spans="3:29" x14ac:dyDescent="0.25">
      <c r="C167" s="115"/>
      <c r="D167" s="113"/>
      <c r="E167" s="32"/>
      <c r="G167" s="34"/>
      <c r="H167" s="111"/>
      <c r="J167" s="31"/>
      <c r="K167" s="7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spans="3:29" x14ac:dyDescent="0.25">
      <c r="C168" s="115"/>
      <c r="D168" s="113"/>
      <c r="E168" s="32"/>
      <c r="G168" s="34"/>
      <c r="H168" s="111"/>
      <c r="J168" s="31"/>
      <c r="K168" s="7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spans="3:29" x14ac:dyDescent="0.25">
      <c r="C169" s="115"/>
      <c r="D169" s="113"/>
      <c r="E169" s="32"/>
      <c r="G169" s="34"/>
      <c r="H169" s="111"/>
      <c r="J169" s="31"/>
      <c r="K169" s="7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spans="3:29" x14ac:dyDescent="0.25">
      <c r="C170" s="115"/>
      <c r="D170" s="113"/>
      <c r="E170" s="32"/>
      <c r="G170" s="34"/>
      <c r="H170" s="111"/>
      <c r="J170" s="31"/>
      <c r="K170" s="7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spans="3:29" x14ac:dyDescent="0.25">
      <c r="C171" s="115"/>
      <c r="D171" s="113"/>
      <c r="E171" s="32"/>
      <c r="G171" s="34"/>
      <c r="H171" s="111"/>
      <c r="J171" s="31"/>
      <c r="K171" s="7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spans="3:29" x14ac:dyDescent="0.25">
      <c r="C172" s="115"/>
      <c r="D172" s="113"/>
      <c r="E172" s="32"/>
      <c r="G172" s="34"/>
      <c r="H172" s="111"/>
      <c r="J172" s="31"/>
      <c r="K172" s="7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spans="3:29" x14ac:dyDescent="0.25">
      <c r="C173" s="115"/>
      <c r="D173" s="113"/>
      <c r="E173" s="32"/>
      <c r="G173" s="34"/>
      <c r="H173" s="111"/>
      <c r="J173" s="31"/>
      <c r="K173" s="7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spans="3:29" x14ac:dyDescent="0.25">
      <c r="C174" s="115"/>
      <c r="D174" s="113"/>
      <c r="E174" s="32"/>
      <c r="G174" s="34"/>
      <c r="H174" s="111"/>
      <c r="J174" s="31"/>
      <c r="K174" s="7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spans="3:29" x14ac:dyDescent="0.25">
      <c r="C175" s="115"/>
      <c r="D175" s="113"/>
      <c r="E175" s="32"/>
      <c r="G175" s="34"/>
      <c r="H175" s="111"/>
      <c r="J175" s="31"/>
      <c r="K175" s="7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spans="3:29" x14ac:dyDescent="0.25">
      <c r="C176" s="115"/>
      <c r="D176" s="113"/>
      <c r="E176" s="32"/>
      <c r="G176" s="34"/>
      <c r="H176" s="111"/>
      <c r="J176" s="31"/>
      <c r="K176" s="7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spans="3:29" x14ac:dyDescent="0.25">
      <c r="C177" s="115"/>
      <c r="D177" s="113"/>
      <c r="E177" s="32"/>
      <c r="G177" s="34"/>
      <c r="H177" s="111"/>
      <c r="J177" s="31"/>
      <c r="K177" s="7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spans="3:29" x14ac:dyDescent="0.25">
      <c r="C178" s="115"/>
      <c r="D178" s="113"/>
      <c r="E178" s="32"/>
      <c r="G178" s="34"/>
      <c r="H178" s="111"/>
      <c r="J178" s="31"/>
      <c r="K178" s="7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spans="3:29" x14ac:dyDescent="0.25">
      <c r="C179" s="115"/>
      <c r="D179" s="113"/>
      <c r="E179" s="32"/>
      <c r="G179" s="34"/>
      <c r="H179" s="111"/>
      <c r="J179" s="31"/>
      <c r="K179" s="7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spans="3:29" x14ac:dyDescent="0.25">
      <c r="C180" s="115"/>
      <c r="D180" s="113"/>
      <c r="E180" s="32"/>
      <c r="G180" s="34"/>
      <c r="H180" s="111"/>
      <c r="J180" s="31"/>
      <c r="K180" s="7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spans="3:29" x14ac:dyDescent="0.25">
      <c r="C181" s="115"/>
      <c r="D181" s="113"/>
      <c r="E181" s="32"/>
      <c r="G181" s="34"/>
      <c r="H181" s="111"/>
      <c r="J181" s="31"/>
      <c r="K181" s="7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spans="3:29" x14ac:dyDescent="0.25">
      <c r="C182" s="115"/>
      <c r="D182" s="113"/>
      <c r="E182" s="32"/>
      <c r="G182" s="34"/>
      <c r="H182" s="111"/>
      <c r="J182" s="31"/>
      <c r="K182" s="7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spans="3:29" x14ac:dyDescent="0.25">
      <c r="C183" s="115"/>
      <c r="D183" s="113"/>
      <c r="E183" s="32"/>
      <c r="G183" s="34"/>
      <c r="H183" s="111"/>
      <c r="J183" s="31"/>
      <c r="K183" s="7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spans="3:29" x14ac:dyDescent="0.25">
      <c r="C184" s="115"/>
      <c r="D184" s="113"/>
      <c r="E184" s="32"/>
      <c r="G184" s="34"/>
      <c r="H184" s="111"/>
      <c r="J184" s="31"/>
      <c r="K184" s="7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spans="3:29" x14ac:dyDescent="0.25">
      <c r="C185" s="115"/>
      <c r="D185" s="113"/>
      <c r="E185" s="32"/>
      <c r="G185" s="34"/>
      <c r="H185" s="111"/>
      <c r="J185" s="31"/>
      <c r="K185" s="7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spans="3:29" x14ac:dyDescent="0.25">
      <c r="C186" s="115"/>
      <c r="D186" s="113"/>
      <c r="E186" s="32"/>
      <c r="G186" s="34"/>
      <c r="H186" s="111"/>
      <c r="J186" s="31"/>
      <c r="K186" s="7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spans="3:29" x14ac:dyDescent="0.25">
      <c r="C187" s="115"/>
      <c r="D187" s="113"/>
      <c r="E187" s="32"/>
      <c r="G187" s="34"/>
      <c r="H187" s="111"/>
      <c r="J187" s="31"/>
      <c r="K187" s="7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spans="3:29" x14ac:dyDescent="0.25">
      <c r="C188" s="115"/>
      <c r="D188" s="113"/>
      <c r="E188" s="32"/>
      <c r="G188" s="34"/>
      <c r="H188" s="111"/>
      <c r="J188" s="31"/>
      <c r="K188" s="7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spans="3:29" x14ac:dyDescent="0.25">
      <c r="C189" s="115"/>
      <c r="D189" s="113"/>
      <c r="E189" s="32"/>
      <c r="G189" s="34"/>
      <c r="H189" s="111"/>
      <c r="J189" s="31"/>
      <c r="K189" s="7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spans="3:29" x14ac:dyDescent="0.25">
      <c r="C190" s="115"/>
      <c r="D190" s="113"/>
      <c r="E190" s="32"/>
      <c r="G190" s="34"/>
      <c r="H190" s="111"/>
      <c r="J190" s="31"/>
      <c r="K190" s="7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spans="3:29" x14ac:dyDescent="0.25">
      <c r="C191" s="115"/>
      <c r="D191" s="113"/>
      <c r="E191" s="32"/>
      <c r="G191" s="34"/>
      <c r="H191" s="111"/>
      <c r="J191" s="31"/>
      <c r="K191" s="7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spans="3:29" x14ac:dyDescent="0.25">
      <c r="C192" s="115"/>
      <c r="D192" s="113"/>
      <c r="E192" s="32"/>
      <c r="G192" s="34"/>
      <c r="H192" s="111"/>
      <c r="J192" s="31"/>
      <c r="K192" s="7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spans="3:29" x14ac:dyDescent="0.25">
      <c r="C193" s="115"/>
      <c r="D193" s="113"/>
      <c r="E193" s="32"/>
      <c r="G193" s="34"/>
      <c r="H193" s="111"/>
      <c r="J193" s="31"/>
      <c r="K193" s="7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spans="3:29" x14ac:dyDescent="0.25">
      <c r="C194" s="115"/>
      <c r="D194" s="113"/>
      <c r="E194" s="32"/>
      <c r="G194" s="34"/>
      <c r="H194" s="111"/>
      <c r="J194" s="31"/>
      <c r="K194" s="7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spans="3:29" x14ac:dyDescent="0.25">
      <c r="C195" s="115"/>
      <c r="D195" s="113"/>
      <c r="E195" s="32"/>
      <c r="G195" s="34"/>
      <c r="H195" s="111"/>
      <c r="J195" s="31"/>
      <c r="K195" s="7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spans="3:29" x14ac:dyDescent="0.25">
      <c r="C196" s="115"/>
      <c r="D196" s="113"/>
      <c r="E196" s="32"/>
      <c r="G196" s="34"/>
      <c r="H196" s="111"/>
      <c r="J196" s="31"/>
      <c r="K196" s="7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spans="3:29" x14ac:dyDescent="0.25">
      <c r="C197" s="115"/>
      <c r="D197" s="113"/>
      <c r="E197" s="32"/>
      <c r="G197" s="34"/>
      <c r="H197" s="111"/>
      <c r="J197" s="31"/>
      <c r="K197" s="7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spans="3:29" x14ac:dyDescent="0.25">
      <c r="C198" s="115"/>
      <c r="D198" s="113"/>
      <c r="E198" s="32"/>
      <c r="G198" s="34"/>
      <c r="H198" s="111"/>
      <c r="J198" s="31"/>
      <c r="K198" s="7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spans="3:29" x14ac:dyDescent="0.25">
      <c r="C199" s="115"/>
      <c r="D199" s="113"/>
      <c r="E199" s="32"/>
      <c r="G199" s="34"/>
      <c r="H199" s="111"/>
      <c r="J199" s="31"/>
      <c r="K199" s="7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spans="3:29" x14ac:dyDescent="0.25">
      <c r="C200" s="115"/>
      <c r="D200" s="113"/>
      <c r="E200" s="32"/>
      <c r="G200" s="34"/>
      <c r="H200" s="111"/>
      <c r="J200" s="31"/>
      <c r="K200" s="7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spans="3:29" x14ac:dyDescent="0.25">
      <c r="C201" s="115"/>
      <c r="D201" s="113"/>
      <c r="E201" s="32"/>
      <c r="G201" s="34"/>
      <c r="H201" s="111"/>
      <c r="J201" s="31"/>
      <c r="K201" s="7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spans="3:29" x14ac:dyDescent="0.25">
      <c r="C202" s="115"/>
      <c r="D202" s="113"/>
      <c r="E202" s="32"/>
      <c r="G202" s="34"/>
      <c r="H202" s="111"/>
      <c r="J202" s="31"/>
      <c r="K202" s="7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spans="3:29" x14ac:dyDescent="0.25">
      <c r="C203" s="115"/>
      <c r="D203" s="113"/>
      <c r="E203" s="32"/>
      <c r="G203" s="34"/>
      <c r="H203" s="111"/>
      <c r="J203" s="31"/>
      <c r="K203" s="7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spans="3:29" x14ac:dyDescent="0.25">
      <c r="C204" s="115"/>
      <c r="D204" s="113"/>
      <c r="E204" s="32"/>
      <c r="G204" s="34"/>
      <c r="H204" s="111"/>
      <c r="J204" s="31"/>
      <c r="K204" s="7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spans="3:29" x14ac:dyDescent="0.25">
      <c r="C205" s="115"/>
      <c r="D205" s="113"/>
      <c r="E205" s="32"/>
      <c r="G205" s="34"/>
      <c r="H205" s="111"/>
      <c r="J205" s="31"/>
      <c r="K205" s="7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spans="3:29" x14ac:dyDescent="0.25">
      <c r="C206" s="115"/>
      <c r="D206" s="113"/>
      <c r="E206" s="32"/>
      <c r="G206" s="34"/>
      <c r="H206" s="111"/>
      <c r="J206" s="31"/>
      <c r="K206" s="7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spans="3:29" x14ac:dyDescent="0.25">
      <c r="C207" s="115"/>
      <c r="D207" s="113"/>
      <c r="E207" s="32"/>
      <c r="G207" s="34"/>
      <c r="H207" s="111"/>
      <c r="J207" s="31"/>
      <c r="K207" s="7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spans="3:29" x14ac:dyDescent="0.25">
      <c r="C208" s="115"/>
      <c r="D208" s="113"/>
      <c r="E208" s="32"/>
      <c r="G208" s="34"/>
      <c r="H208" s="111"/>
      <c r="J208" s="31"/>
      <c r="K208" s="7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spans="3:29" x14ac:dyDescent="0.25">
      <c r="C209" s="115"/>
      <c r="D209" s="113"/>
      <c r="E209" s="32"/>
      <c r="G209" s="34"/>
      <c r="H209" s="111"/>
      <c r="J209" s="31"/>
      <c r="K209" s="7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3:29" x14ac:dyDescent="0.25">
      <c r="C210" s="115"/>
      <c r="D210" s="113"/>
      <c r="E210" s="32"/>
      <c r="G210" s="34"/>
      <c r="H210" s="111"/>
      <c r="J210" s="31"/>
      <c r="K210" s="7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3:29" x14ac:dyDescent="0.25">
      <c r="C211" s="115"/>
      <c r="D211" s="113"/>
      <c r="E211" s="32"/>
      <c r="G211" s="34"/>
      <c r="H211" s="111"/>
      <c r="J211" s="31"/>
      <c r="K211" s="7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3:29" x14ac:dyDescent="0.25">
      <c r="C212" s="115"/>
      <c r="D212" s="113"/>
      <c r="E212" s="32"/>
      <c r="G212" s="34"/>
      <c r="H212" s="111"/>
      <c r="J212" s="31"/>
      <c r="K212" s="7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3:29" x14ac:dyDescent="0.25">
      <c r="C213" s="115"/>
      <c r="D213" s="113"/>
      <c r="E213" s="32"/>
      <c r="G213" s="34"/>
      <c r="H213" s="111"/>
      <c r="J213" s="31"/>
      <c r="K213" s="7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3:29" x14ac:dyDescent="0.25">
      <c r="C214" s="115"/>
      <c r="D214" s="113"/>
      <c r="E214" s="32"/>
      <c r="G214" s="34"/>
      <c r="H214" s="111"/>
      <c r="J214" s="31"/>
      <c r="K214" s="7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3:29" x14ac:dyDescent="0.25">
      <c r="C215" s="115"/>
      <c r="D215" s="113"/>
      <c r="E215" s="32"/>
      <c r="G215" s="34"/>
      <c r="H215" s="111"/>
      <c r="J215" s="31"/>
      <c r="K215" s="7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3:29" x14ac:dyDescent="0.25">
      <c r="C216" s="115"/>
      <c r="D216" s="113"/>
      <c r="E216" s="32"/>
      <c r="G216" s="34"/>
      <c r="H216" s="111"/>
      <c r="J216" s="31"/>
      <c r="K216" s="7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3:29" x14ac:dyDescent="0.25">
      <c r="C217" s="115"/>
      <c r="D217" s="113"/>
      <c r="E217" s="32"/>
      <c r="G217" s="34"/>
      <c r="H217" s="111"/>
      <c r="J217" s="31"/>
      <c r="K217" s="7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3:29" x14ac:dyDescent="0.25">
      <c r="C218" s="115"/>
      <c r="D218" s="113"/>
      <c r="E218" s="32"/>
      <c r="G218" s="34"/>
      <c r="H218" s="111"/>
      <c r="J218" s="31"/>
      <c r="K218" s="7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3:29" x14ac:dyDescent="0.25">
      <c r="C219" s="115"/>
      <c r="D219" s="113"/>
      <c r="E219" s="32"/>
      <c r="G219" s="34"/>
      <c r="H219" s="111"/>
      <c r="J219" s="31"/>
      <c r="K219" s="7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3:29" x14ac:dyDescent="0.25">
      <c r="C220" s="115"/>
      <c r="D220" s="113"/>
      <c r="E220" s="32"/>
      <c r="G220" s="34"/>
      <c r="H220" s="111"/>
      <c r="J220" s="31"/>
      <c r="K220" s="7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3:29" x14ac:dyDescent="0.25">
      <c r="C221" s="115"/>
      <c r="D221" s="113"/>
      <c r="E221" s="32"/>
      <c r="G221" s="34"/>
      <c r="H221" s="111"/>
      <c r="J221" s="31"/>
      <c r="K221" s="7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spans="3:29" x14ac:dyDescent="0.25">
      <c r="C222" s="115"/>
      <c r="D222" s="113"/>
      <c r="E222" s="32"/>
      <c r="G222" s="34"/>
      <c r="H222" s="111"/>
      <c r="J222" s="31"/>
      <c r="K222" s="7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spans="3:29" x14ac:dyDescent="0.25">
      <c r="C223" s="115"/>
      <c r="D223" s="113"/>
      <c r="E223" s="32"/>
      <c r="G223" s="34"/>
      <c r="H223" s="111"/>
      <c r="J223" s="31"/>
      <c r="K223" s="7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spans="3:29" x14ac:dyDescent="0.25">
      <c r="C224" s="115"/>
      <c r="D224" s="113"/>
      <c r="E224" s="32"/>
      <c r="G224" s="34"/>
      <c r="H224" s="111"/>
      <c r="J224" s="31"/>
      <c r="K224" s="7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spans="3:29" x14ac:dyDescent="0.25">
      <c r="C225" s="115"/>
      <c r="D225" s="113"/>
      <c r="E225" s="32"/>
      <c r="G225" s="34"/>
      <c r="H225" s="111"/>
      <c r="J225" s="31"/>
      <c r="K225" s="7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spans="3:29" x14ac:dyDescent="0.25">
      <c r="C226" s="115"/>
      <c r="D226" s="113"/>
      <c r="E226" s="32"/>
      <c r="G226" s="34"/>
      <c r="H226" s="111"/>
      <c r="J226" s="31"/>
      <c r="K226" s="7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spans="3:29" x14ac:dyDescent="0.25">
      <c r="C227" s="115"/>
      <c r="D227" s="113"/>
      <c r="E227" s="32"/>
      <c r="G227" s="34"/>
      <c r="H227" s="111"/>
      <c r="J227" s="31"/>
      <c r="K227" s="7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spans="3:29" x14ac:dyDescent="0.25">
      <c r="C228" s="115"/>
      <c r="D228" s="113"/>
      <c r="E228" s="32"/>
      <c r="G228" s="34"/>
      <c r="H228" s="111"/>
      <c r="J228" s="31"/>
      <c r="K228" s="7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spans="3:29" x14ac:dyDescent="0.25">
      <c r="C229" s="115"/>
      <c r="D229" s="113"/>
      <c r="E229" s="32"/>
      <c r="G229" s="34"/>
      <c r="H229" s="111"/>
      <c r="J229" s="31"/>
      <c r="K229" s="7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spans="3:29" x14ac:dyDescent="0.25">
      <c r="C230" s="115"/>
      <c r="D230" s="113"/>
      <c r="E230" s="32"/>
      <c r="G230" s="34"/>
      <c r="H230" s="111"/>
      <c r="J230" s="31"/>
      <c r="K230" s="7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spans="3:29" x14ac:dyDescent="0.25">
      <c r="C231" s="115"/>
      <c r="D231" s="113"/>
      <c r="E231" s="32"/>
      <c r="G231" s="34"/>
      <c r="H231" s="111"/>
      <c r="J231" s="31"/>
      <c r="K231" s="7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spans="3:29" x14ac:dyDescent="0.25">
      <c r="C232" s="115"/>
      <c r="D232" s="113"/>
      <c r="E232" s="32"/>
      <c r="G232" s="34"/>
      <c r="H232" s="111"/>
      <c r="J232" s="31"/>
      <c r="K232" s="7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spans="3:29" x14ac:dyDescent="0.25">
      <c r="C233" s="115"/>
      <c r="D233" s="113"/>
      <c r="E233" s="32"/>
      <c r="G233" s="34"/>
      <c r="H233" s="111"/>
      <c r="J233" s="31"/>
      <c r="K233" s="7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spans="3:29" x14ac:dyDescent="0.25">
      <c r="C234" s="115"/>
      <c r="D234" s="113"/>
      <c r="E234" s="32"/>
      <c r="G234" s="34"/>
      <c r="H234" s="111"/>
      <c r="J234" s="31"/>
      <c r="K234" s="7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spans="3:29" x14ac:dyDescent="0.25">
      <c r="C235" s="115"/>
      <c r="D235" s="113"/>
      <c r="E235" s="32"/>
      <c r="G235" s="34"/>
      <c r="H235" s="111"/>
      <c r="J235" s="31"/>
      <c r="K235" s="7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spans="3:29" x14ac:dyDescent="0.25">
      <c r="C236" s="115"/>
      <c r="D236" s="113"/>
      <c r="E236" s="32"/>
      <c r="G236" s="34"/>
      <c r="H236" s="111"/>
      <c r="J236" s="31"/>
      <c r="K236" s="7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spans="3:29" x14ac:dyDescent="0.25">
      <c r="C237" s="115"/>
      <c r="D237" s="113"/>
      <c r="E237" s="32"/>
      <c r="G237" s="34"/>
      <c r="H237" s="111"/>
      <c r="J237" s="31"/>
      <c r="K237" s="7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spans="3:29" x14ac:dyDescent="0.25">
      <c r="C238" s="115"/>
      <c r="D238" s="113"/>
      <c r="E238" s="32"/>
      <c r="G238" s="34"/>
      <c r="H238" s="111"/>
      <c r="J238" s="31"/>
      <c r="K238" s="7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spans="3:29" x14ac:dyDescent="0.25">
      <c r="C239" s="115"/>
      <c r="D239" s="113"/>
      <c r="E239" s="32"/>
      <c r="G239" s="34"/>
      <c r="H239" s="111"/>
      <c r="J239" s="31"/>
      <c r="K239" s="7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spans="3:29" x14ac:dyDescent="0.25">
      <c r="C240" s="115"/>
      <c r="D240" s="113"/>
      <c r="E240" s="32"/>
      <c r="G240" s="34"/>
      <c r="H240" s="111"/>
      <c r="J240" s="31"/>
      <c r="K240" s="7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spans="3:29" x14ac:dyDescent="0.25">
      <c r="C241" s="115"/>
      <c r="D241" s="113"/>
      <c r="E241" s="32"/>
      <c r="G241" s="34"/>
      <c r="H241" s="111"/>
      <c r="J241" s="31"/>
      <c r="K241" s="7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spans="3:29" x14ac:dyDescent="0.25">
      <c r="C242" s="115"/>
      <c r="D242" s="113"/>
      <c r="E242" s="32"/>
      <c r="G242" s="34"/>
      <c r="H242" s="111"/>
      <c r="J242" s="31"/>
      <c r="K242" s="7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spans="3:29" x14ac:dyDescent="0.25">
      <c r="C243" s="115"/>
      <c r="D243" s="113"/>
      <c r="E243" s="32"/>
      <c r="G243" s="34"/>
      <c r="H243" s="111"/>
      <c r="J243" s="31"/>
      <c r="K243" s="7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spans="3:29" x14ac:dyDescent="0.25">
      <c r="C244" s="115"/>
      <c r="D244" s="113"/>
      <c r="E244" s="32"/>
      <c r="G244" s="34"/>
      <c r="H244" s="111"/>
      <c r="J244" s="31"/>
      <c r="K244" s="7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spans="3:29" x14ac:dyDescent="0.25">
      <c r="C245" s="115"/>
      <c r="D245" s="113"/>
      <c r="E245" s="32"/>
      <c r="G245" s="34"/>
      <c r="H245" s="111"/>
      <c r="J245" s="31"/>
      <c r="K245" s="7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spans="3:29" x14ac:dyDescent="0.25">
      <c r="C246" s="115"/>
      <c r="D246" s="113"/>
      <c r="E246" s="32"/>
      <c r="G246" s="34"/>
      <c r="H246" s="111"/>
      <c r="J246" s="31"/>
      <c r="K246" s="7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spans="3:29" x14ac:dyDescent="0.25">
      <c r="C247" s="115"/>
      <c r="D247" s="113"/>
      <c r="E247" s="32"/>
      <c r="G247" s="34"/>
      <c r="H247" s="111"/>
      <c r="J247" s="31"/>
      <c r="K247" s="7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spans="3:29" x14ac:dyDescent="0.25">
      <c r="C248" s="115"/>
      <c r="D248" s="113"/>
      <c r="E248" s="32"/>
      <c r="G248" s="34"/>
      <c r="H248" s="111"/>
      <c r="J248" s="31"/>
      <c r="K248" s="7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spans="3:29" x14ac:dyDescent="0.25">
      <c r="C249" s="115"/>
      <c r="D249" s="113"/>
      <c r="E249" s="32"/>
      <c r="G249" s="34"/>
      <c r="H249" s="111"/>
      <c r="J249" s="31"/>
      <c r="K249" s="7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spans="3:29" x14ac:dyDescent="0.25">
      <c r="C250" s="115"/>
      <c r="D250" s="113"/>
      <c r="E250" s="32"/>
      <c r="G250" s="34"/>
      <c r="H250" s="111"/>
      <c r="J250" s="31"/>
      <c r="K250" s="7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spans="3:29" x14ac:dyDescent="0.25">
      <c r="C251" s="115"/>
      <c r="D251" s="113"/>
      <c r="E251" s="32"/>
      <c r="G251" s="34"/>
      <c r="H251" s="111"/>
      <c r="J251" s="31"/>
      <c r="K251" s="7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spans="3:29" x14ac:dyDescent="0.25">
      <c r="C252" s="115"/>
      <c r="D252" s="113"/>
      <c r="E252" s="32"/>
      <c r="G252" s="34"/>
      <c r="H252" s="111"/>
      <c r="J252" s="31"/>
      <c r="K252" s="7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spans="3:29" x14ac:dyDescent="0.25">
      <c r="C253" s="115"/>
      <c r="D253" s="113"/>
      <c r="E253" s="32"/>
      <c r="G253" s="34"/>
      <c r="H253" s="111"/>
      <c r="J253" s="31"/>
      <c r="K253" s="7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spans="3:29" x14ac:dyDescent="0.25">
      <c r="C254" s="115"/>
      <c r="D254" s="113"/>
      <c r="E254" s="32"/>
      <c r="G254" s="34"/>
      <c r="H254" s="111"/>
      <c r="J254" s="31"/>
      <c r="K254" s="7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spans="3:29" x14ac:dyDescent="0.25">
      <c r="C255" s="115"/>
      <c r="D255" s="113"/>
      <c r="E255" s="32"/>
      <c r="G255" s="34"/>
      <c r="H255" s="111"/>
      <c r="J255" s="31"/>
      <c r="K255" s="7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spans="3:29" x14ac:dyDescent="0.25">
      <c r="C256" s="115"/>
      <c r="D256" s="113"/>
      <c r="E256" s="32"/>
      <c r="G256" s="34"/>
      <c r="H256" s="111"/>
      <c r="J256" s="31"/>
      <c r="K256" s="7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spans="3:29" x14ac:dyDescent="0.25">
      <c r="C257" s="115"/>
      <c r="D257" s="113"/>
      <c r="E257" s="32"/>
      <c r="G257" s="34"/>
      <c r="H257" s="111"/>
      <c r="J257" s="31"/>
      <c r="K257" s="7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spans="3:29" x14ac:dyDescent="0.25">
      <c r="C258" s="115"/>
      <c r="D258" s="113"/>
      <c r="E258" s="32"/>
      <c r="G258" s="34"/>
      <c r="H258" s="111"/>
      <c r="J258" s="31"/>
      <c r="K258" s="7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spans="3:29" x14ac:dyDescent="0.25">
      <c r="C259" s="115"/>
      <c r="D259" s="113"/>
      <c r="E259" s="32"/>
      <c r="G259" s="34"/>
      <c r="H259" s="111"/>
      <c r="J259" s="31"/>
      <c r="K259" s="7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spans="3:29" x14ac:dyDescent="0.25">
      <c r="C260" s="115"/>
      <c r="D260" s="113"/>
      <c r="E260" s="32"/>
      <c r="G260" s="34"/>
      <c r="H260" s="111"/>
      <c r="J260" s="31"/>
      <c r="K260" s="7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spans="3:29" x14ac:dyDescent="0.25">
      <c r="C261" s="115"/>
      <c r="D261" s="113"/>
      <c r="E261" s="32"/>
      <c r="G261" s="34"/>
      <c r="H261" s="111"/>
      <c r="J261" s="31"/>
      <c r="K261" s="7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spans="3:29" x14ac:dyDescent="0.25">
      <c r="C262" s="115"/>
      <c r="D262" s="113"/>
      <c r="E262" s="32"/>
      <c r="G262" s="34"/>
      <c r="H262" s="111"/>
      <c r="J262" s="31"/>
      <c r="K262" s="7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spans="3:29" x14ac:dyDescent="0.25">
      <c r="C263" s="115"/>
      <c r="D263" s="113"/>
      <c r="E263" s="32"/>
      <c r="G263" s="34"/>
      <c r="H263" s="111"/>
      <c r="J263" s="31"/>
      <c r="K263" s="7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spans="3:29" x14ac:dyDescent="0.25">
      <c r="C264" s="115"/>
      <c r="D264" s="113"/>
      <c r="E264" s="32"/>
      <c r="G264" s="34"/>
      <c r="H264" s="111"/>
      <c r="J264" s="31"/>
      <c r="K264" s="7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spans="3:29" x14ac:dyDescent="0.25">
      <c r="C265" s="115"/>
      <c r="D265" s="113"/>
      <c r="E265" s="32"/>
      <c r="G265" s="34"/>
      <c r="H265" s="111"/>
      <c r="J265" s="31"/>
      <c r="K265" s="7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spans="3:29" x14ac:dyDescent="0.25">
      <c r="C266" s="115"/>
      <c r="D266" s="113"/>
      <c r="E266" s="32"/>
      <c r="G266" s="34"/>
      <c r="H266" s="111"/>
      <c r="J266" s="31"/>
      <c r="K266" s="7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spans="3:29" x14ac:dyDescent="0.25">
      <c r="C267" s="115"/>
      <c r="D267" s="113"/>
      <c r="E267" s="32"/>
      <c r="G267" s="34"/>
      <c r="H267" s="111"/>
      <c r="J267" s="31"/>
      <c r="K267" s="7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spans="3:29" x14ac:dyDescent="0.25">
      <c r="C268" s="115"/>
      <c r="D268" s="113"/>
      <c r="E268" s="32"/>
      <c r="G268" s="34"/>
      <c r="H268" s="111"/>
      <c r="J268" s="31"/>
      <c r="K268" s="7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spans="3:29" x14ac:dyDescent="0.25">
      <c r="C269" s="115"/>
      <c r="D269" s="113"/>
      <c r="E269" s="32"/>
      <c r="G269" s="34"/>
      <c r="H269" s="111"/>
      <c r="J269" s="31"/>
      <c r="K269" s="7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spans="3:29" x14ac:dyDescent="0.25">
      <c r="C270" s="115"/>
      <c r="D270" s="113"/>
      <c r="E270" s="32"/>
      <c r="G270" s="34"/>
      <c r="H270" s="111"/>
      <c r="J270" s="31"/>
      <c r="K270" s="7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spans="3:29" x14ac:dyDescent="0.25">
      <c r="C271" s="115"/>
      <c r="D271" s="113"/>
      <c r="E271" s="32"/>
      <c r="G271" s="34"/>
      <c r="H271" s="111"/>
      <c r="J271" s="31"/>
      <c r="K271" s="7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spans="3:29" x14ac:dyDescent="0.25">
      <c r="C272" s="115"/>
      <c r="D272" s="113"/>
      <c r="E272" s="32"/>
      <c r="G272" s="34"/>
      <c r="H272" s="111"/>
      <c r="J272" s="31"/>
      <c r="K272" s="7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spans="3:29" x14ac:dyDescent="0.25">
      <c r="C273" s="115"/>
      <c r="D273" s="113"/>
      <c r="E273" s="32"/>
      <c r="G273" s="34"/>
      <c r="H273" s="111"/>
      <c r="J273" s="31"/>
      <c r="K273" s="7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spans="3:29" x14ac:dyDescent="0.25">
      <c r="C274" s="115"/>
      <c r="D274" s="113"/>
      <c r="E274" s="32"/>
      <c r="G274" s="34"/>
      <c r="H274" s="111"/>
      <c r="J274" s="31"/>
      <c r="K274" s="7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spans="3:29" x14ac:dyDescent="0.25">
      <c r="C275" s="115"/>
      <c r="D275" s="113"/>
      <c r="E275" s="32"/>
      <c r="G275" s="34"/>
      <c r="H275" s="111"/>
      <c r="J275" s="31"/>
      <c r="K275" s="7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spans="3:29" x14ac:dyDescent="0.25">
      <c r="C276" s="115"/>
      <c r="D276" s="113"/>
      <c r="E276" s="32"/>
      <c r="G276" s="34"/>
      <c r="H276" s="111"/>
      <c r="J276" s="31"/>
      <c r="K276" s="7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spans="3:29" x14ac:dyDescent="0.25">
      <c r="C277" s="115"/>
      <c r="D277" s="113"/>
      <c r="E277" s="32"/>
      <c r="G277" s="34"/>
      <c r="H277" s="111"/>
      <c r="J277" s="31"/>
      <c r="K277" s="7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spans="3:29" x14ac:dyDescent="0.25">
      <c r="C278" s="115"/>
      <c r="D278" s="113"/>
      <c r="E278" s="32"/>
      <c r="G278" s="34"/>
      <c r="H278" s="111"/>
      <c r="J278" s="31"/>
      <c r="K278" s="7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spans="3:29" x14ac:dyDescent="0.25">
      <c r="C279" s="115"/>
      <c r="D279" s="113"/>
      <c r="E279" s="32"/>
      <c r="G279" s="34"/>
      <c r="H279" s="111"/>
      <c r="J279" s="31"/>
      <c r="K279" s="7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spans="3:29" x14ac:dyDescent="0.25">
      <c r="C280" s="115"/>
      <c r="D280" s="113"/>
      <c r="E280" s="32"/>
      <c r="G280" s="34"/>
      <c r="H280" s="111"/>
      <c r="J280" s="31"/>
      <c r="K280" s="7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spans="3:29" x14ac:dyDescent="0.25">
      <c r="C281" s="115"/>
      <c r="D281" s="113"/>
      <c r="E281" s="32"/>
      <c r="G281" s="34"/>
      <c r="H281" s="111"/>
      <c r="J281" s="31"/>
      <c r="K281" s="7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spans="3:29" x14ac:dyDescent="0.25">
      <c r="C282" s="115"/>
      <c r="D282" s="113"/>
      <c r="E282" s="32"/>
      <c r="G282" s="34"/>
      <c r="H282" s="111"/>
      <c r="J282" s="31"/>
      <c r="K282" s="7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spans="3:29" x14ac:dyDescent="0.25">
      <c r="C283" s="115"/>
      <c r="D283" s="113"/>
      <c r="E283" s="32"/>
      <c r="G283" s="34"/>
      <c r="H283" s="111"/>
      <c r="J283" s="31"/>
      <c r="K283" s="7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spans="3:29" x14ac:dyDescent="0.25">
      <c r="C284" s="115"/>
      <c r="D284" s="113"/>
      <c r="E284" s="32"/>
      <c r="G284" s="34"/>
      <c r="H284" s="111"/>
      <c r="J284" s="31"/>
      <c r="K284" s="7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spans="3:29" x14ac:dyDescent="0.25">
      <c r="C285" s="115"/>
      <c r="D285" s="113"/>
      <c r="E285" s="32"/>
      <c r="G285" s="34"/>
      <c r="H285" s="111"/>
      <c r="J285" s="31"/>
      <c r="K285" s="7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spans="3:29" x14ac:dyDescent="0.25">
      <c r="C286" s="115"/>
      <c r="D286" s="113"/>
      <c r="E286" s="32"/>
      <c r="G286" s="34"/>
      <c r="H286" s="111"/>
      <c r="J286" s="31"/>
      <c r="K286" s="7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spans="3:29" x14ac:dyDescent="0.25">
      <c r="C287" s="115"/>
      <c r="D287" s="113"/>
      <c r="E287" s="32"/>
      <c r="G287" s="34"/>
      <c r="H287" s="111"/>
      <c r="J287" s="31"/>
      <c r="K287" s="7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spans="3:29" x14ac:dyDescent="0.25">
      <c r="C288" s="115"/>
      <c r="D288" s="113"/>
      <c r="E288" s="32"/>
      <c r="G288" s="34"/>
      <c r="H288" s="111"/>
      <c r="J288" s="31"/>
      <c r="K288" s="7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spans="3:29" x14ac:dyDescent="0.25">
      <c r="C289" s="115"/>
      <c r="D289" s="113"/>
      <c r="E289" s="32"/>
      <c r="G289" s="34"/>
      <c r="H289" s="111"/>
      <c r="J289" s="31"/>
      <c r="K289" s="7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spans="3:29" x14ac:dyDescent="0.25">
      <c r="C290" s="115"/>
      <c r="D290" s="113"/>
      <c r="E290" s="32"/>
      <c r="G290" s="34"/>
      <c r="H290" s="111"/>
      <c r="J290" s="31"/>
      <c r="K290" s="7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spans="3:29" x14ac:dyDescent="0.25">
      <c r="C291" s="115"/>
      <c r="D291" s="113"/>
      <c r="E291" s="32"/>
      <c r="G291" s="34"/>
      <c r="H291" s="111"/>
      <c r="J291" s="31"/>
      <c r="K291" s="7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spans="3:29" x14ac:dyDescent="0.25">
      <c r="C292" s="115"/>
      <c r="D292" s="113"/>
      <c r="E292" s="32"/>
      <c r="G292" s="34"/>
      <c r="H292" s="111"/>
      <c r="J292" s="31"/>
      <c r="K292" s="7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spans="3:29" x14ac:dyDescent="0.25">
      <c r="C293" s="115"/>
      <c r="D293" s="113"/>
      <c r="E293" s="32"/>
      <c r="G293" s="34"/>
      <c r="H293" s="111"/>
      <c r="J293" s="31"/>
      <c r="K293" s="7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spans="3:29" x14ac:dyDescent="0.25">
      <c r="C294" s="115"/>
      <c r="D294" s="113"/>
      <c r="E294" s="32"/>
      <c r="G294" s="34"/>
      <c r="H294" s="111"/>
      <c r="J294" s="31"/>
      <c r="K294" s="7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spans="3:29" x14ac:dyDescent="0.25">
      <c r="C295" s="115"/>
      <c r="D295" s="113"/>
      <c r="E295" s="32"/>
      <c r="G295" s="34"/>
      <c r="H295" s="111"/>
      <c r="J295" s="31"/>
      <c r="K295" s="7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spans="3:29" x14ac:dyDescent="0.25">
      <c r="C296" s="115"/>
      <c r="D296" s="113"/>
      <c r="E296" s="32"/>
      <c r="G296" s="34"/>
      <c r="H296" s="111"/>
      <c r="J296" s="31"/>
      <c r="K296" s="7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spans="3:29" x14ac:dyDescent="0.25">
      <c r="C297" s="115"/>
      <c r="D297" s="113"/>
      <c r="E297" s="32"/>
      <c r="G297" s="34"/>
      <c r="H297" s="111"/>
      <c r="J297" s="31"/>
      <c r="K297" s="7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spans="3:29" x14ac:dyDescent="0.25">
      <c r="C298" s="115"/>
      <c r="D298" s="113"/>
      <c r="E298" s="32"/>
      <c r="G298" s="34"/>
      <c r="H298" s="111"/>
      <c r="J298" s="31"/>
      <c r="K298" s="7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spans="3:29" x14ac:dyDescent="0.25">
      <c r="C299" s="115"/>
      <c r="D299" s="113"/>
      <c r="E299" s="32"/>
      <c r="G299" s="34"/>
      <c r="H299" s="111"/>
      <c r="J299" s="31"/>
      <c r="K299" s="7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spans="3:29" x14ac:dyDescent="0.25">
      <c r="C300" s="115"/>
      <c r="D300" s="113"/>
      <c r="E300" s="32"/>
      <c r="G300" s="34"/>
      <c r="H300" s="111"/>
      <c r="J300" s="31"/>
      <c r="K300" s="7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spans="3:29" x14ac:dyDescent="0.25">
      <c r="C301" s="115"/>
      <c r="D301" s="113"/>
      <c r="E301" s="32"/>
      <c r="G301" s="34"/>
      <c r="H301" s="111"/>
      <c r="J301" s="31"/>
      <c r="K301" s="7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spans="3:29" x14ac:dyDescent="0.25">
      <c r="C302" s="115"/>
      <c r="D302" s="113"/>
      <c r="E302" s="32"/>
      <c r="G302" s="34"/>
      <c r="H302" s="111"/>
      <c r="J302" s="31"/>
      <c r="K302" s="7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spans="3:29" x14ac:dyDescent="0.25">
      <c r="C303" s="115"/>
      <c r="D303" s="113"/>
      <c r="E303" s="32"/>
      <c r="G303" s="34"/>
      <c r="H303" s="111"/>
      <c r="J303" s="31"/>
      <c r="K303" s="7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spans="3:29" x14ac:dyDescent="0.25">
      <c r="C304" s="115"/>
      <c r="D304" s="113"/>
      <c r="E304" s="32"/>
      <c r="G304" s="34"/>
      <c r="H304" s="111"/>
      <c r="J304" s="31"/>
      <c r="K304" s="7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spans="3:29" x14ac:dyDescent="0.25">
      <c r="C305" s="115"/>
      <c r="D305" s="113"/>
      <c r="E305" s="32"/>
      <c r="G305" s="34"/>
      <c r="H305" s="111"/>
      <c r="J305" s="31"/>
      <c r="K305" s="7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spans="3:29" x14ac:dyDescent="0.25">
      <c r="C306" s="115"/>
      <c r="D306" s="113"/>
      <c r="E306" s="32"/>
      <c r="G306" s="34"/>
      <c r="H306" s="111"/>
      <c r="J306" s="31"/>
      <c r="K306" s="7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spans="3:29" x14ac:dyDescent="0.25">
      <c r="C307" s="115"/>
      <c r="D307" s="113"/>
      <c r="E307" s="32"/>
      <c r="G307" s="34"/>
      <c r="H307" s="111"/>
      <c r="J307" s="31"/>
      <c r="K307" s="7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spans="3:29" x14ac:dyDescent="0.25">
      <c r="C308" s="115"/>
      <c r="D308" s="113"/>
      <c r="E308" s="32"/>
      <c r="G308" s="34"/>
      <c r="H308" s="111"/>
      <c r="J308" s="31"/>
      <c r="K308" s="7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spans="3:29" x14ac:dyDescent="0.25">
      <c r="C309" s="115"/>
      <c r="D309" s="113"/>
      <c r="E309" s="32"/>
      <c r="G309" s="34"/>
      <c r="H309" s="111"/>
      <c r="J309" s="31"/>
      <c r="K309" s="7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spans="3:29" x14ac:dyDescent="0.25">
      <c r="C310" s="115"/>
      <c r="D310" s="113"/>
      <c r="E310" s="32"/>
      <c r="G310" s="34"/>
      <c r="H310" s="111"/>
      <c r="J310" s="31"/>
      <c r="K310" s="7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spans="3:29" x14ac:dyDescent="0.25">
      <c r="C311" s="115"/>
      <c r="D311" s="113"/>
      <c r="E311" s="32"/>
      <c r="G311" s="34"/>
      <c r="H311" s="111"/>
      <c r="J311" s="31"/>
      <c r="K311" s="7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spans="3:29" x14ac:dyDescent="0.25">
      <c r="C312" s="115"/>
      <c r="D312" s="113"/>
      <c r="E312" s="32"/>
      <c r="G312" s="34"/>
      <c r="H312" s="111"/>
      <c r="J312" s="31"/>
      <c r="K312" s="7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spans="3:29" x14ac:dyDescent="0.25">
      <c r="C313" s="115"/>
      <c r="D313" s="113"/>
      <c r="E313" s="32"/>
      <c r="G313" s="34"/>
      <c r="H313" s="111"/>
      <c r="J313" s="31"/>
      <c r="K313" s="7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spans="3:29" x14ac:dyDescent="0.25">
      <c r="C314" s="115"/>
      <c r="D314" s="113"/>
      <c r="E314" s="32"/>
      <c r="G314" s="34"/>
      <c r="H314" s="111"/>
      <c r="J314" s="31"/>
      <c r="K314" s="7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spans="3:29" x14ac:dyDescent="0.25">
      <c r="C315" s="115"/>
      <c r="D315" s="113"/>
      <c r="E315" s="32"/>
      <c r="G315" s="34"/>
      <c r="H315" s="111"/>
      <c r="J315" s="31"/>
      <c r="K315" s="7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spans="3:29" x14ac:dyDescent="0.25">
      <c r="C316" s="115"/>
      <c r="D316" s="113"/>
      <c r="E316" s="32"/>
      <c r="G316" s="34"/>
      <c r="H316" s="111"/>
      <c r="J316" s="31"/>
      <c r="K316" s="7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spans="3:29" x14ac:dyDescent="0.25">
      <c r="C317" s="115"/>
      <c r="D317" s="113"/>
      <c r="E317" s="32"/>
      <c r="G317" s="34"/>
      <c r="H317" s="111"/>
      <c r="J317" s="31"/>
      <c r="K317" s="7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spans="3:29" x14ac:dyDescent="0.25">
      <c r="C318" s="115"/>
      <c r="D318" s="113"/>
      <c r="E318" s="32"/>
      <c r="G318" s="34"/>
      <c r="H318" s="111"/>
      <c r="J318" s="31"/>
      <c r="K318" s="7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spans="3:29" x14ac:dyDescent="0.25">
      <c r="C319" s="115"/>
      <c r="D319" s="113"/>
      <c r="E319" s="32"/>
      <c r="G319" s="34"/>
      <c r="H319" s="111"/>
      <c r="J319" s="31"/>
      <c r="K319" s="7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spans="3:29" x14ac:dyDescent="0.25">
      <c r="C320" s="115"/>
      <c r="D320" s="113"/>
      <c r="E320" s="32"/>
      <c r="G320" s="34"/>
      <c r="H320" s="111"/>
      <c r="J320" s="31"/>
      <c r="K320" s="7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spans="3:29" x14ac:dyDescent="0.25">
      <c r="C321" s="115"/>
      <c r="D321" s="113"/>
      <c r="E321" s="32"/>
      <c r="G321" s="34"/>
      <c r="H321" s="111"/>
      <c r="J321" s="31"/>
      <c r="K321" s="7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spans="3:29" x14ac:dyDescent="0.25">
      <c r="C322" s="115"/>
      <c r="D322" s="113"/>
      <c r="E322" s="32"/>
      <c r="G322" s="34"/>
      <c r="H322" s="111"/>
      <c r="J322" s="31"/>
      <c r="K322" s="7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spans="3:29" x14ac:dyDescent="0.25">
      <c r="C323" s="115"/>
      <c r="D323" s="113"/>
      <c r="E323" s="32"/>
      <c r="G323" s="34"/>
      <c r="H323" s="111"/>
      <c r="J323" s="31"/>
      <c r="K323" s="7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spans="3:29" x14ac:dyDescent="0.25">
      <c r="C324" s="115"/>
      <c r="D324" s="113"/>
      <c r="E324" s="32"/>
      <c r="G324" s="34"/>
      <c r="H324" s="111"/>
      <c r="J324" s="31"/>
      <c r="K324" s="7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spans="3:29" x14ac:dyDescent="0.25">
      <c r="C325" s="115"/>
      <c r="D325" s="113"/>
      <c r="E325" s="32"/>
      <c r="G325" s="34"/>
      <c r="H325" s="111"/>
      <c r="J325" s="31"/>
      <c r="K325" s="7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spans="3:29" x14ac:dyDescent="0.25">
      <c r="C326" s="115"/>
      <c r="D326" s="113"/>
      <c r="E326" s="32"/>
      <c r="G326" s="34"/>
      <c r="H326" s="111"/>
      <c r="J326" s="31"/>
      <c r="K326" s="7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spans="3:29" x14ac:dyDescent="0.25">
      <c r="C327" s="115"/>
      <c r="D327" s="113"/>
      <c r="E327" s="32"/>
      <c r="G327" s="34"/>
      <c r="H327" s="111"/>
      <c r="J327" s="31"/>
      <c r="K327" s="7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spans="3:29" x14ac:dyDescent="0.25">
      <c r="C328" s="115"/>
      <c r="D328" s="113"/>
      <c r="E328" s="32"/>
      <c r="G328" s="34"/>
      <c r="H328" s="111"/>
      <c r="J328" s="31"/>
      <c r="K328" s="7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spans="3:29" x14ac:dyDescent="0.25">
      <c r="C329" s="115"/>
      <c r="D329" s="113"/>
      <c r="E329" s="32"/>
      <c r="G329" s="34"/>
      <c r="H329" s="111"/>
      <c r="J329" s="31"/>
      <c r="K329" s="7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spans="3:29" x14ac:dyDescent="0.25">
      <c r="C330" s="115"/>
      <c r="D330" s="113"/>
      <c r="E330" s="32"/>
      <c r="G330" s="34"/>
      <c r="H330" s="111"/>
      <c r="J330" s="31"/>
      <c r="K330" s="7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spans="3:29" x14ac:dyDescent="0.25">
      <c r="C331" s="115"/>
      <c r="D331" s="113"/>
      <c r="E331" s="32"/>
      <c r="G331" s="34"/>
      <c r="H331" s="111"/>
      <c r="J331" s="31"/>
      <c r="K331" s="7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spans="3:29" x14ac:dyDescent="0.25">
      <c r="C332" s="115"/>
      <c r="D332" s="113"/>
      <c r="E332" s="32"/>
      <c r="G332" s="34"/>
      <c r="H332" s="111"/>
      <c r="J332" s="31"/>
      <c r="K332" s="7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spans="3:29" x14ac:dyDescent="0.25">
      <c r="C333" s="115"/>
      <c r="D333" s="113"/>
      <c r="E333" s="32"/>
      <c r="G333" s="34"/>
      <c r="H333" s="111"/>
      <c r="J333" s="31"/>
      <c r="K333" s="7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spans="3:29" x14ac:dyDescent="0.25">
      <c r="C334" s="115"/>
      <c r="D334" s="113"/>
      <c r="E334" s="32"/>
      <c r="G334" s="34"/>
      <c r="H334" s="111"/>
      <c r="J334" s="31"/>
      <c r="K334" s="7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spans="3:29" x14ac:dyDescent="0.25">
      <c r="C335" s="115"/>
      <c r="D335" s="113"/>
      <c r="E335" s="32"/>
      <c r="G335" s="34"/>
      <c r="H335" s="111"/>
      <c r="J335" s="31"/>
      <c r="K335" s="7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spans="3:29" x14ac:dyDescent="0.25">
      <c r="C336" s="115"/>
      <c r="D336" s="113"/>
      <c r="E336" s="32"/>
      <c r="G336" s="34"/>
      <c r="H336" s="111"/>
      <c r="J336" s="31"/>
      <c r="K336" s="7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spans="3:29" x14ac:dyDescent="0.25">
      <c r="C337" s="115"/>
      <c r="D337" s="113"/>
      <c r="E337" s="32"/>
      <c r="G337" s="34"/>
      <c r="H337" s="111"/>
      <c r="J337" s="31"/>
      <c r="K337" s="7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spans="3:29" x14ac:dyDescent="0.25">
      <c r="C338" s="115"/>
      <c r="D338" s="113"/>
      <c r="E338" s="32"/>
      <c r="G338" s="34"/>
      <c r="H338" s="111"/>
      <c r="J338" s="31"/>
      <c r="K338" s="7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spans="3:29" x14ac:dyDescent="0.25">
      <c r="C339" s="115"/>
      <c r="D339" s="113"/>
      <c r="E339" s="32"/>
      <c r="G339" s="34"/>
      <c r="H339" s="111"/>
      <c r="J339" s="31"/>
      <c r="K339" s="7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spans="3:29" x14ac:dyDescent="0.25">
      <c r="C340" s="115"/>
      <c r="D340" s="113"/>
      <c r="E340" s="32"/>
      <c r="G340" s="34"/>
      <c r="H340" s="111"/>
      <c r="J340" s="31"/>
      <c r="K340" s="7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spans="3:29" x14ac:dyDescent="0.25">
      <c r="C341" s="115"/>
      <c r="D341" s="113"/>
      <c r="E341" s="32"/>
      <c r="G341" s="34"/>
      <c r="H341" s="111"/>
      <c r="J341" s="31"/>
      <c r="K341" s="7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spans="3:29" x14ac:dyDescent="0.25">
      <c r="C342" s="115"/>
      <c r="D342" s="113"/>
      <c r="E342" s="32"/>
      <c r="G342" s="34"/>
      <c r="H342" s="111"/>
      <c r="J342" s="31"/>
      <c r="K342" s="7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spans="3:29" x14ac:dyDescent="0.25">
      <c r="C343" s="115"/>
      <c r="D343" s="113"/>
      <c r="E343" s="32"/>
      <c r="G343" s="34"/>
      <c r="H343" s="111"/>
      <c r="J343" s="31"/>
      <c r="K343" s="7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spans="3:29" x14ac:dyDescent="0.25">
      <c r="C344" s="115"/>
      <c r="D344" s="113"/>
      <c r="E344" s="32"/>
      <c r="G344" s="34"/>
      <c r="H344" s="111"/>
      <c r="J344" s="31"/>
      <c r="K344" s="7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spans="3:29" x14ac:dyDescent="0.25">
      <c r="C345" s="115"/>
      <c r="D345" s="113"/>
      <c r="E345" s="32"/>
      <c r="G345" s="34"/>
      <c r="H345" s="111"/>
      <c r="J345" s="31"/>
      <c r="K345" s="7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spans="3:29" x14ac:dyDescent="0.25">
      <c r="C346" s="115"/>
      <c r="D346" s="113"/>
      <c r="E346" s="32"/>
      <c r="G346" s="34"/>
      <c r="H346" s="111"/>
      <c r="J346" s="31"/>
      <c r="K346" s="7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spans="3:29" x14ac:dyDescent="0.25">
      <c r="C347" s="115"/>
      <c r="D347" s="113"/>
      <c r="E347" s="32"/>
      <c r="G347" s="34"/>
      <c r="H347" s="111"/>
      <c r="J347" s="31"/>
      <c r="K347" s="7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spans="3:29" x14ac:dyDescent="0.25">
      <c r="C348" s="115"/>
      <c r="D348" s="113"/>
      <c r="E348" s="32"/>
      <c r="G348" s="34"/>
      <c r="H348" s="111"/>
      <c r="J348" s="31"/>
      <c r="K348" s="7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spans="3:29" x14ac:dyDescent="0.25">
      <c r="C349" s="115"/>
      <c r="D349" s="113"/>
      <c r="E349" s="32"/>
      <c r="G349" s="34"/>
      <c r="H349" s="111"/>
      <c r="J349" s="31"/>
      <c r="K349" s="7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spans="3:29" x14ac:dyDescent="0.25">
      <c r="C350" s="115"/>
      <c r="D350" s="113"/>
      <c r="E350" s="32"/>
      <c r="G350" s="34"/>
      <c r="H350" s="111"/>
      <c r="J350" s="31"/>
      <c r="K350" s="7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spans="3:29" x14ac:dyDescent="0.25">
      <c r="C351" s="115"/>
      <c r="D351" s="113"/>
      <c r="E351" s="32"/>
      <c r="G351" s="34"/>
      <c r="H351" s="111"/>
      <c r="J351" s="31"/>
      <c r="K351" s="7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spans="3:29" x14ac:dyDescent="0.25">
      <c r="C352" s="115"/>
      <c r="D352" s="113"/>
      <c r="G352" s="34"/>
      <c r="H352" s="111"/>
      <c r="J352" s="31"/>
      <c r="K352" s="7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spans="3:29" x14ac:dyDescent="0.25">
      <c r="C353" s="115"/>
      <c r="D353" s="113"/>
      <c r="G353" s="34"/>
      <c r="H353" s="111"/>
      <c r="J353" s="31"/>
      <c r="K353" s="7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spans="3:29" x14ac:dyDescent="0.25">
      <c r="C354" s="115"/>
      <c r="D354" s="113"/>
      <c r="G354" s="34"/>
      <c r="H354" s="111"/>
      <c r="J354" s="31"/>
      <c r="K354" s="7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spans="3:29" x14ac:dyDescent="0.25">
      <c r="C355" s="115"/>
      <c r="D355" s="113"/>
      <c r="G355" s="34"/>
      <c r="H355" s="111"/>
      <c r="J355" s="31"/>
      <c r="K355" s="7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spans="3:29" x14ac:dyDescent="0.25">
      <c r="C356" s="115"/>
      <c r="G356" s="34"/>
      <c r="H356" s="111"/>
      <c r="J356" s="31"/>
      <c r="K356" s="7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spans="3:29" x14ac:dyDescent="0.25">
      <c r="C357" s="115"/>
      <c r="G357" s="34"/>
      <c r="H357" s="111"/>
      <c r="J357" s="31"/>
      <c r="K357" s="7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spans="3:29" x14ac:dyDescent="0.25">
      <c r="C358" s="115"/>
      <c r="G358" s="34"/>
      <c r="H358" s="111"/>
      <c r="J358" s="31"/>
      <c r="K358" s="7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spans="3:29" x14ac:dyDescent="0.25">
      <c r="C359" s="115"/>
      <c r="G359" s="34"/>
      <c r="H359" s="111"/>
      <c r="J359" s="31"/>
      <c r="K359" s="7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spans="3:29" x14ac:dyDescent="0.25">
      <c r="G360" s="34"/>
      <c r="H360" s="111"/>
      <c r="J360" s="31"/>
      <c r="K360" s="7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spans="3:29" x14ac:dyDescent="0.25">
      <c r="G361" s="34"/>
      <c r="H361" s="111"/>
      <c r="J361" s="31"/>
      <c r="K361" s="7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spans="3:29" x14ac:dyDescent="0.25">
      <c r="G362" s="34"/>
      <c r="H362" s="111"/>
      <c r="J362" s="31"/>
      <c r="K362" s="7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spans="3:29" x14ac:dyDescent="0.25">
      <c r="G363" s="34"/>
      <c r="H363" s="111"/>
      <c r="J363" s="31"/>
      <c r="K363" s="7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spans="3:29" x14ac:dyDescent="0.25">
      <c r="G364" s="34"/>
      <c r="H364" s="111"/>
      <c r="J364" s="31"/>
      <c r="K364" s="7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spans="3:29" x14ac:dyDescent="0.25">
      <c r="G365" s="34"/>
      <c r="H365" s="111"/>
      <c r="J365" s="31"/>
      <c r="K365" s="7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spans="3:29" x14ac:dyDescent="0.25">
      <c r="G366" s="34"/>
      <c r="H366" s="111"/>
      <c r="J366" s="31"/>
      <c r="K366" s="7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spans="3:29" x14ac:dyDescent="0.25">
      <c r="G367" s="34"/>
      <c r="H367" s="111"/>
      <c r="J367" s="31"/>
      <c r="K367" s="7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spans="3:29" x14ac:dyDescent="0.25">
      <c r="G368" s="34"/>
      <c r="H368" s="111"/>
      <c r="J368" s="31"/>
      <c r="K368" s="7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spans="7:29" x14ac:dyDescent="0.25">
      <c r="G369" s="34"/>
      <c r="H369" s="111"/>
      <c r="J369" s="31"/>
      <c r="K369" s="7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spans="7:29" x14ac:dyDescent="0.25">
      <c r="G370" s="34"/>
      <c r="H370" s="111"/>
      <c r="J370" s="31"/>
      <c r="K370" s="7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spans="7:29" x14ac:dyDescent="0.25">
      <c r="G371" s="34"/>
      <c r="H371" s="111"/>
      <c r="J371" s="31"/>
      <c r="K371" s="7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spans="7:29" x14ac:dyDescent="0.25">
      <c r="G372" s="34"/>
      <c r="H372" s="111"/>
      <c r="J372" s="31"/>
      <c r="K372" s="7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spans="7:29" x14ac:dyDescent="0.25">
      <c r="G373" s="34"/>
      <c r="H373" s="111"/>
      <c r="J373" s="31"/>
      <c r="K373" s="7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spans="7:29" x14ac:dyDescent="0.25">
      <c r="G374" s="34"/>
      <c r="H374" s="111"/>
      <c r="J374" s="31"/>
      <c r="K374" s="7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spans="7:29" x14ac:dyDescent="0.25">
      <c r="G375" s="34"/>
      <c r="H375" s="111"/>
      <c r="J375" s="31"/>
      <c r="K375" s="7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spans="7:29" x14ac:dyDescent="0.25">
      <c r="G376" s="34"/>
      <c r="H376" s="111"/>
      <c r="J376" s="31"/>
      <c r="K376" s="7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spans="7:29" x14ac:dyDescent="0.25">
      <c r="G377" s="34"/>
      <c r="H377" s="111"/>
      <c r="J377" s="31"/>
      <c r="K377" s="7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spans="7:29" x14ac:dyDescent="0.25">
      <c r="G378" s="34"/>
      <c r="H378" s="111"/>
      <c r="J378" s="31"/>
      <c r="K378" s="7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spans="7:29" x14ac:dyDescent="0.25">
      <c r="G379" s="34"/>
      <c r="H379" s="111"/>
      <c r="J379" s="31"/>
      <c r="K379" s="7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spans="7:29" x14ac:dyDescent="0.25">
      <c r="G380" s="34"/>
      <c r="H380" s="111"/>
      <c r="J380" s="31"/>
      <c r="K380" s="7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spans="7:29" x14ac:dyDescent="0.25">
      <c r="G381" s="34"/>
      <c r="H381" s="111"/>
      <c r="J381" s="31"/>
      <c r="K381" s="7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spans="7:29" x14ac:dyDescent="0.25">
      <c r="G382" s="34"/>
      <c r="H382" s="111"/>
      <c r="J382" s="31"/>
      <c r="K382" s="7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spans="7:29" x14ac:dyDescent="0.25">
      <c r="G383" s="34"/>
      <c r="H383" s="111"/>
      <c r="J383" s="31"/>
      <c r="K383" s="7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spans="7:29" x14ac:dyDescent="0.25">
      <c r="G384" s="34"/>
      <c r="H384" s="111"/>
      <c r="J384" s="31"/>
      <c r="K384" s="7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spans="7:29" x14ac:dyDescent="0.25">
      <c r="G385" s="34"/>
      <c r="H385" s="111"/>
      <c r="J385" s="31"/>
      <c r="K385" s="7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spans="7:29" x14ac:dyDescent="0.25">
      <c r="G386" s="34"/>
      <c r="H386" s="111"/>
      <c r="J386" s="31"/>
      <c r="K386" s="7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spans="7:29" x14ac:dyDescent="0.25">
      <c r="G387" s="34"/>
      <c r="H387" s="111"/>
      <c r="J387" s="31"/>
      <c r="K387" s="7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spans="7:29" x14ac:dyDescent="0.25">
      <c r="G388" s="34"/>
      <c r="H388" s="111"/>
      <c r="J388" s="31"/>
      <c r="K388" s="7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spans="7:29" x14ac:dyDescent="0.25">
      <c r="G389" s="34"/>
      <c r="H389" s="111"/>
      <c r="J389" s="31"/>
      <c r="K389" s="7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spans="7:29" x14ac:dyDescent="0.25">
      <c r="G390" s="34"/>
      <c r="H390" s="111"/>
      <c r="J390" s="31"/>
      <c r="K390" s="7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spans="7:29" x14ac:dyDescent="0.25">
      <c r="G391" s="34"/>
      <c r="H391" s="111"/>
      <c r="J391" s="31"/>
      <c r="K391" s="7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spans="7:29" x14ac:dyDescent="0.25">
      <c r="G392" s="34"/>
      <c r="H392" s="111"/>
      <c r="J392" s="31"/>
      <c r="K392" s="7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spans="7:29" x14ac:dyDescent="0.25">
      <c r="G393" s="34"/>
      <c r="H393" s="111"/>
      <c r="J393" s="31"/>
      <c r="K393" s="7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spans="7:29" x14ac:dyDescent="0.25">
      <c r="G394" s="34"/>
      <c r="H394" s="111"/>
      <c r="J394" s="31"/>
      <c r="K394" s="7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spans="7:29" x14ac:dyDescent="0.25">
      <c r="G395" s="34"/>
      <c r="H395" s="111"/>
      <c r="J395" s="31"/>
      <c r="K395" s="7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spans="7:29" x14ac:dyDescent="0.25">
      <c r="G396" s="34"/>
      <c r="H396" s="111"/>
      <c r="J396" s="31"/>
      <c r="K396" s="7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spans="7:29" x14ac:dyDescent="0.25">
      <c r="G397" s="34"/>
      <c r="H397" s="111"/>
      <c r="J397" s="31"/>
      <c r="K397" s="7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spans="7:29" x14ac:dyDescent="0.25">
      <c r="G398" s="34"/>
      <c r="H398" s="111"/>
      <c r="J398" s="31"/>
      <c r="K398" s="7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spans="7:29" x14ac:dyDescent="0.25">
      <c r="G399" s="34"/>
      <c r="H399" s="111"/>
      <c r="J399" s="31"/>
      <c r="K399" s="7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spans="7:29" x14ac:dyDescent="0.25">
      <c r="G400" s="34"/>
      <c r="H400" s="111"/>
      <c r="J400" s="31"/>
      <c r="K400" s="7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spans="7:10" x14ac:dyDescent="0.25">
      <c r="G401" s="34"/>
      <c r="H401" s="111"/>
      <c r="J401" s="31"/>
    </row>
    <row r="402" spans="7:10" x14ac:dyDescent="0.25">
      <c r="G402" s="34"/>
      <c r="H402" s="111"/>
      <c r="J402" s="31"/>
    </row>
    <row r="403" spans="7:10" x14ac:dyDescent="0.25">
      <c r="G403" s="34"/>
      <c r="H403" s="111"/>
      <c r="J403" s="31"/>
    </row>
    <row r="404" spans="7:10" x14ac:dyDescent="0.25">
      <c r="G404" s="34"/>
      <c r="H404" s="111"/>
      <c r="J404" s="31"/>
    </row>
    <row r="405" spans="7:10" x14ac:dyDescent="0.25">
      <c r="G405" s="34"/>
      <c r="H405" s="111"/>
      <c r="J405" s="31"/>
    </row>
    <row r="406" spans="7:10" x14ac:dyDescent="0.25">
      <c r="G406" s="34"/>
      <c r="H406" s="111"/>
      <c r="J406" s="31"/>
    </row>
    <row r="407" spans="7:10" x14ac:dyDescent="0.25">
      <c r="G407" s="34"/>
      <c r="H407" s="111"/>
      <c r="J407" s="31"/>
    </row>
    <row r="408" spans="7:10" x14ac:dyDescent="0.25">
      <c r="G408" s="34"/>
      <c r="H408" s="111"/>
      <c r="J408" s="31"/>
    </row>
    <row r="409" spans="7:10" x14ac:dyDescent="0.25">
      <c r="G409" s="34"/>
      <c r="H409" s="111"/>
      <c r="J409" s="31"/>
    </row>
    <row r="410" spans="7:10" x14ac:dyDescent="0.25">
      <c r="G410" s="34"/>
      <c r="H410" s="111"/>
      <c r="J410" s="31"/>
    </row>
    <row r="411" spans="7:10" x14ac:dyDescent="0.25">
      <c r="G411" s="34"/>
      <c r="H411" s="111"/>
      <c r="J411" s="31"/>
    </row>
    <row r="412" spans="7:10" x14ac:dyDescent="0.25">
      <c r="G412" s="34"/>
      <c r="H412" s="111"/>
      <c r="J412" s="31"/>
    </row>
    <row r="413" spans="7:10" x14ac:dyDescent="0.25">
      <c r="G413" s="34"/>
      <c r="H413" s="111"/>
      <c r="J413" s="31"/>
    </row>
    <row r="414" spans="7:10" x14ac:dyDescent="0.25">
      <c r="G414" s="34"/>
      <c r="H414" s="111"/>
      <c r="J414" s="31"/>
    </row>
    <row r="415" spans="7:10" x14ac:dyDescent="0.25">
      <c r="G415" s="34"/>
      <c r="H415" s="111"/>
      <c r="J415" s="31"/>
    </row>
    <row r="416" spans="7:10" x14ac:dyDescent="0.25">
      <c r="G416" s="34"/>
      <c r="H416" s="111"/>
      <c r="J416" s="31"/>
    </row>
    <row r="417" spans="7:10" x14ac:dyDescent="0.25">
      <c r="G417" s="34"/>
      <c r="H417" s="111"/>
      <c r="J417" s="31"/>
    </row>
    <row r="418" spans="7:10" x14ac:dyDescent="0.25">
      <c r="G418" s="34"/>
      <c r="H418" s="111"/>
      <c r="J418" s="31"/>
    </row>
    <row r="419" spans="7:10" x14ac:dyDescent="0.25">
      <c r="G419" s="34"/>
      <c r="H419" s="111"/>
      <c r="J419" s="31"/>
    </row>
    <row r="420" spans="7:10" x14ac:dyDescent="0.25">
      <c r="G420" s="34"/>
      <c r="H420" s="111"/>
      <c r="J420" s="31"/>
    </row>
    <row r="421" spans="7:10" x14ac:dyDescent="0.25">
      <c r="G421" s="34"/>
      <c r="H421" s="111"/>
      <c r="J421" s="31"/>
    </row>
    <row r="422" spans="7:10" x14ac:dyDescent="0.25">
      <c r="G422" s="34"/>
      <c r="H422" s="111"/>
      <c r="J422" s="31"/>
    </row>
    <row r="423" spans="7:10" x14ac:dyDescent="0.25">
      <c r="G423" s="34"/>
      <c r="H423" s="111"/>
      <c r="J423" s="31"/>
    </row>
    <row r="424" spans="7:10" x14ac:dyDescent="0.25">
      <c r="G424" s="34"/>
      <c r="H424" s="111"/>
      <c r="J424" s="31"/>
    </row>
    <row r="425" spans="7:10" x14ac:dyDescent="0.25">
      <c r="G425" s="34"/>
      <c r="H425" s="111"/>
      <c r="J425" s="31"/>
    </row>
    <row r="426" spans="7:10" x14ac:dyDescent="0.25">
      <c r="G426" s="34"/>
      <c r="H426" s="111"/>
      <c r="J426" s="31"/>
    </row>
    <row r="427" spans="7:10" x14ac:dyDescent="0.25">
      <c r="G427" s="34"/>
      <c r="H427" s="111"/>
      <c r="J427" s="31"/>
    </row>
    <row r="428" spans="7:10" x14ac:dyDescent="0.25">
      <c r="G428" s="34"/>
      <c r="H428" s="111"/>
      <c r="J428" s="31"/>
    </row>
    <row r="429" spans="7:10" x14ac:dyDescent="0.25">
      <c r="G429" s="34"/>
      <c r="H429" s="111"/>
      <c r="J429" s="31"/>
    </row>
    <row r="430" spans="7:10" x14ac:dyDescent="0.25">
      <c r="G430" s="34"/>
      <c r="H430" s="111"/>
      <c r="J430" s="31"/>
    </row>
    <row r="431" spans="7:10" x14ac:dyDescent="0.25">
      <c r="G431" s="34"/>
      <c r="H431" s="111"/>
      <c r="J431" s="31"/>
    </row>
    <row r="432" spans="7:10" x14ac:dyDescent="0.25">
      <c r="G432" s="34"/>
      <c r="H432" s="111"/>
      <c r="J432" s="31"/>
    </row>
    <row r="433" spans="7:10" x14ac:dyDescent="0.25">
      <c r="G433" s="34"/>
      <c r="H433" s="111"/>
      <c r="J433" s="31"/>
    </row>
    <row r="434" spans="7:10" x14ac:dyDescent="0.25">
      <c r="G434" s="34"/>
      <c r="H434" s="111"/>
      <c r="J434" s="31"/>
    </row>
    <row r="435" spans="7:10" x14ac:dyDescent="0.25">
      <c r="G435" s="34"/>
      <c r="H435" s="111"/>
      <c r="J435" s="31"/>
    </row>
    <row r="436" spans="7:10" x14ac:dyDescent="0.25">
      <c r="G436" s="34"/>
      <c r="H436" s="111"/>
      <c r="J436" s="31"/>
    </row>
    <row r="437" spans="7:10" x14ac:dyDescent="0.25">
      <c r="G437" s="34"/>
      <c r="H437" s="111"/>
      <c r="J437" s="31"/>
    </row>
    <row r="438" spans="7:10" x14ac:dyDescent="0.25">
      <c r="G438" s="34"/>
      <c r="H438" s="111"/>
      <c r="J438" s="31"/>
    </row>
    <row r="439" spans="7:10" x14ac:dyDescent="0.25">
      <c r="G439" s="34"/>
      <c r="H439" s="111"/>
      <c r="J439" s="31"/>
    </row>
    <row r="440" spans="7:10" x14ac:dyDescent="0.25">
      <c r="G440" s="34"/>
      <c r="H440" s="111"/>
      <c r="J440" s="31"/>
    </row>
    <row r="441" spans="7:10" x14ac:dyDescent="0.25">
      <c r="G441" s="34"/>
      <c r="H441" s="111"/>
      <c r="J441" s="31"/>
    </row>
    <row r="442" spans="7:10" x14ac:dyDescent="0.25">
      <c r="G442" s="34"/>
      <c r="H442" s="111"/>
      <c r="J442" s="31"/>
    </row>
    <row r="443" spans="7:10" x14ac:dyDescent="0.25">
      <c r="G443" s="34"/>
      <c r="H443" s="111"/>
      <c r="J443" s="31"/>
    </row>
    <row r="444" spans="7:10" x14ac:dyDescent="0.25">
      <c r="G444" s="34"/>
      <c r="H444" s="111"/>
      <c r="J444" s="31"/>
    </row>
    <row r="445" spans="7:10" x14ac:dyDescent="0.25">
      <c r="G445" s="34"/>
      <c r="H445" s="111"/>
      <c r="J445" s="31"/>
    </row>
    <row r="446" spans="7:10" x14ac:dyDescent="0.25">
      <c r="G446" s="34"/>
      <c r="H446" s="111"/>
      <c r="J446" s="31"/>
    </row>
    <row r="447" spans="7:10" x14ac:dyDescent="0.25">
      <c r="G447" s="34"/>
      <c r="H447" s="111"/>
      <c r="J447" s="31"/>
    </row>
    <row r="448" spans="7:10" x14ac:dyDescent="0.25">
      <c r="G448" s="34"/>
      <c r="H448" s="111"/>
      <c r="J448" s="31"/>
    </row>
    <row r="449" spans="7:10" x14ac:dyDescent="0.25">
      <c r="G449" s="34"/>
      <c r="H449" s="111"/>
      <c r="J449" s="31"/>
    </row>
    <row r="450" spans="7:10" x14ac:dyDescent="0.25">
      <c r="G450" s="34"/>
      <c r="H450" s="111"/>
      <c r="J450" s="31"/>
    </row>
    <row r="451" spans="7:10" x14ac:dyDescent="0.25">
      <c r="G451" s="34"/>
      <c r="H451" s="111"/>
      <c r="J451" s="31"/>
    </row>
    <row r="452" spans="7:10" x14ac:dyDescent="0.25">
      <c r="G452" s="34"/>
      <c r="H452" s="111"/>
      <c r="J452" s="31"/>
    </row>
    <row r="453" spans="7:10" x14ac:dyDescent="0.25">
      <c r="G453" s="34"/>
      <c r="H453" s="111"/>
      <c r="J453" s="31"/>
    </row>
    <row r="454" spans="7:10" x14ac:dyDescent="0.25">
      <c r="G454" s="34"/>
      <c r="H454" s="111"/>
      <c r="J454" s="31"/>
    </row>
    <row r="455" spans="7:10" x14ac:dyDescent="0.25">
      <c r="G455" s="34"/>
      <c r="H455" s="111"/>
      <c r="J455" s="31"/>
    </row>
    <row r="456" spans="7:10" x14ac:dyDescent="0.25">
      <c r="G456" s="34"/>
      <c r="H456" s="111"/>
      <c r="J456" s="31"/>
    </row>
    <row r="457" spans="7:10" x14ac:dyDescent="0.25">
      <c r="G457" s="34"/>
      <c r="H457" s="111"/>
      <c r="J457" s="31"/>
    </row>
    <row r="458" spans="7:10" x14ac:dyDescent="0.25">
      <c r="G458" s="34"/>
      <c r="H458" s="111"/>
      <c r="J458" s="31"/>
    </row>
    <row r="459" spans="7:10" x14ac:dyDescent="0.25">
      <c r="G459" s="34"/>
      <c r="H459" s="111"/>
      <c r="J459" s="31"/>
    </row>
    <row r="460" spans="7:10" x14ac:dyDescent="0.25">
      <c r="G460" s="34"/>
      <c r="H460" s="111"/>
      <c r="J460" s="31"/>
    </row>
    <row r="461" spans="7:10" x14ac:dyDescent="0.25">
      <c r="G461" s="34"/>
      <c r="H461" s="111"/>
      <c r="J461" s="31"/>
    </row>
    <row r="462" spans="7:10" x14ac:dyDescent="0.25">
      <c r="G462" s="34"/>
      <c r="H462" s="111"/>
      <c r="J462" s="31"/>
    </row>
    <row r="463" spans="7:10" x14ac:dyDescent="0.25">
      <c r="G463" s="34"/>
      <c r="H463" s="111"/>
      <c r="J463" s="31"/>
    </row>
    <row r="464" spans="7:10" x14ac:dyDescent="0.25">
      <c r="G464" s="34"/>
      <c r="H464" s="111"/>
      <c r="J464" s="31"/>
    </row>
    <row r="465" spans="7:10" x14ac:dyDescent="0.25">
      <c r="G465" s="34"/>
      <c r="H465" s="111"/>
      <c r="J465" s="31"/>
    </row>
    <row r="466" spans="7:10" x14ac:dyDescent="0.25">
      <c r="G466" s="34"/>
      <c r="H466" s="111"/>
      <c r="J466" s="31"/>
    </row>
    <row r="467" spans="7:10" x14ac:dyDescent="0.25">
      <c r="G467" s="34"/>
      <c r="H467" s="111"/>
      <c r="J467" s="31"/>
    </row>
    <row r="468" spans="7:10" x14ac:dyDescent="0.25">
      <c r="G468" s="34"/>
      <c r="H468" s="111"/>
      <c r="J468" s="31"/>
    </row>
    <row r="469" spans="7:10" x14ac:dyDescent="0.25">
      <c r="G469" s="34"/>
      <c r="H469" s="111"/>
      <c r="J469" s="31"/>
    </row>
    <row r="470" spans="7:10" x14ac:dyDescent="0.25">
      <c r="G470" s="34"/>
      <c r="H470" s="111"/>
      <c r="J470" s="31"/>
    </row>
    <row r="471" spans="7:10" x14ac:dyDescent="0.25">
      <c r="G471" s="34"/>
      <c r="H471" s="111"/>
      <c r="J471" s="31"/>
    </row>
    <row r="472" spans="7:10" x14ac:dyDescent="0.25">
      <c r="G472" s="34"/>
      <c r="H472" s="111"/>
      <c r="J472" s="31"/>
    </row>
    <row r="473" spans="7:10" x14ac:dyDescent="0.25">
      <c r="G473" s="34"/>
      <c r="H473" s="111"/>
      <c r="J473" s="31"/>
    </row>
    <row r="474" spans="7:10" x14ac:dyDescent="0.25">
      <c r="G474" s="34"/>
      <c r="H474" s="111"/>
      <c r="J474" s="31"/>
    </row>
    <row r="475" spans="7:10" x14ac:dyDescent="0.25">
      <c r="G475" s="34"/>
      <c r="H475" s="111"/>
      <c r="J475" s="31"/>
    </row>
    <row r="476" spans="7:10" x14ac:dyDescent="0.25">
      <c r="G476" s="34"/>
      <c r="H476" s="111"/>
      <c r="J476" s="31"/>
    </row>
    <row r="477" spans="7:10" x14ac:dyDescent="0.25">
      <c r="G477" s="34"/>
      <c r="H477" s="111"/>
      <c r="J477" s="31"/>
    </row>
    <row r="478" spans="7:10" x14ac:dyDescent="0.25">
      <c r="G478" s="34"/>
      <c r="H478" s="111"/>
      <c r="J478" s="31"/>
    </row>
    <row r="479" spans="7:10" x14ac:dyDescent="0.25">
      <c r="G479" s="34"/>
      <c r="H479" s="111"/>
      <c r="J479" s="31"/>
    </row>
    <row r="480" spans="7:10" x14ac:dyDescent="0.25">
      <c r="G480" s="34"/>
      <c r="H480" s="111"/>
      <c r="J480" s="31"/>
    </row>
    <row r="481" spans="7:10" x14ac:dyDescent="0.25">
      <c r="G481" s="34"/>
      <c r="H481" s="111"/>
      <c r="J481" s="31"/>
    </row>
    <row r="482" spans="7:10" x14ac:dyDescent="0.25">
      <c r="G482" s="34"/>
      <c r="H482" s="111"/>
      <c r="J482" s="31"/>
    </row>
    <row r="483" spans="7:10" x14ac:dyDescent="0.25">
      <c r="G483" s="34"/>
      <c r="H483" s="111"/>
      <c r="J483" s="31"/>
    </row>
    <row r="484" spans="7:10" x14ac:dyDescent="0.25">
      <c r="G484" s="34"/>
      <c r="H484" s="111"/>
      <c r="J484" s="31"/>
    </row>
    <row r="485" spans="7:10" x14ac:dyDescent="0.25">
      <c r="G485" s="34"/>
      <c r="H485" s="111"/>
      <c r="J485" s="31"/>
    </row>
    <row r="486" spans="7:10" x14ac:dyDescent="0.25">
      <c r="G486" s="34"/>
      <c r="H486" s="111"/>
      <c r="J486" s="31"/>
    </row>
    <row r="487" spans="7:10" x14ac:dyDescent="0.25">
      <c r="G487" s="34"/>
      <c r="H487" s="111"/>
      <c r="J487" s="31"/>
    </row>
    <row r="488" spans="7:10" x14ac:dyDescent="0.25">
      <c r="G488" s="34"/>
      <c r="H488" s="111"/>
      <c r="J488" s="31"/>
    </row>
    <row r="489" spans="7:10" x14ac:dyDescent="0.25">
      <c r="G489" s="34"/>
      <c r="H489" s="111"/>
      <c r="J489" s="31"/>
    </row>
    <row r="490" spans="7:10" x14ac:dyDescent="0.25">
      <c r="G490" s="34"/>
      <c r="H490" s="111"/>
      <c r="J490" s="31"/>
    </row>
    <row r="491" spans="7:10" x14ac:dyDescent="0.25">
      <c r="G491" s="34"/>
      <c r="H491" s="111"/>
      <c r="J491" s="31"/>
    </row>
    <row r="492" spans="7:10" x14ac:dyDescent="0.25">
      <c r="G492" s="34"/>
      <c r="H492" s="111"/>
      <c r="J492" s="31"/>
    </row>
    <row r="493" spans="7:10" x14ac:dyDescent="0.25">
      <c r="G493" s="34"/>
      <c r="H493" s="111"/>
      <c r="J493" s="31"/>
    </row>
    <row r="494" spans="7:10" x14ac:dyDescent="0.25">
      <c r="G494" s="34"/>
      <c r="H494" s="111"/>
      <c r="J494" s="31"/>
    </row>
    <row r="495" spans="7:10" x14ac:dyDescent="0.25">
      <c r="G495" s="34"/>
      <c r="H495" s="111"/>
      <c r="J495" s="31"/>
    </row>
    <row r="496" spans="7:10" x14ac:dyDescent="0.25">
      <c r="G496" s="34"/>
      <c r="H496" s="111"/>
      <c r="J496" s="31"/>
    </row>
    <row r="497" spans="7:10" x14ac:dyDescent="0.25">
      <c r="G497" s="34"/>
      <c r="H497" s="111"/>
      <c r="J497" s="31"/>
    </row>
    <row r="498" spans="7:10" x14ac:dyDescent="0.25">
      <c r="G498" s="34"/>
      <c r="H498" s="111"/>
      <c r="J498" s="31"/>
    </row>
    <row r="499" spans="7:10" x14ac:dyDescent="0.25">
      <c r="G499" s="34"/>
      <c r="H499" s="111"/>
      <c r="J499" s="31"/>
    </row>
    <row r="500" spans="7:10" x14ac:dyDescent="0.25">
      <c r="G500" s="34"/>
      <c r="H500" s="111"/>
      <c r="J500" s="31"/>
    </row>
    <row r="501" spans="7:10" x14ac:dyDescent="0.25">
      <c r="G501" s="34"/>
      <c r="H501" s="111"/>
      <c r="J501" s="31"/>
    </row>
    <row r="502" spans="7:10" x14ac:dyDescent="0.25">
      <c r="G502" s="34"/>
      <c r="H502" s="111"/>
      <c r="J502" s="31"/>
    </row>
    <row r="503" spans="7:10" x14ac:dyDescent="0.25">
      <c r="G503" s="34"/>
      <c r="H503" s="111"/>
      <c r="J503" s="31"/>
    </row>
    <row r="504" spans="7:10" x14ac:dyDescent="0.25">
      <c r="G504" s="34"/>
      <c r="H504" s="111"/>
      <c r="J504" s="31"/>
    </row>
    <row r="505" spans="7:10" x14ac:dyDescent="0.25">
      <c r="G505" s="34"/>
      <c r="H505" s="111"/>
      <c r="J505" s="31"/>
    </row>
    <row r="506" spans="7:10" x14ac:dyDescent="0.25">
      <c r="G506" s="34"/>
      <c r="H506" s="111"/>
      <c r="J506" s="31"/>
    </row>
    <row r="507" spans="7:10" x14ac:dyDescent="0.25">
      <c r="G507" s="34"/>
      <c r="H507" s="111"/>
      <c r="J507" s="31"/>
    </row>
    <row r="508" spans="7:10" x14ac:dyDescent="0.25">
      <c r="G508" s="34"/>
      <c r="H508" s="111"/>
      <c r="J508" s="31"/>
    </row>
    <row r="509" spans="7:10" x14ac:dyDescent="0.25">
      <c r="G509" s="34"/>
      <c r="H509" s="111"/>
      <c r="J509" s="31"/>
    </row>
    <row r="510" spans="7:10" x14ac:dyDescent="0.25">
      <c r="G510" s="34"/>
      <c r="H510" s="111"/>
      <c r="J510" s="31"/>
    </row>
    <row r="511" spans="7:10" x14ac:dyDescent="0.25">
      <c r="G511" s="34"/>
      <c r="H511" s="111"/>
      <c r="J511" s="31"/>
    </row>
    <row r="512" spans="7:10" x14ac:dyDescent="0.25">
      <c r="G512" s="34"/>
      <c r="H512" s="111"/>
      <c r="J512" s="31"/>
    </row>
    <row r="513" spans="7:10" x14ac:dyDescent="0.25">
      <c r="G513" s="34"/>
      <c r="H513" s="111"/>
      <c r="J513" s="31"/>
    </row>
    <row r="514" spans="7:10" x14ac:dyDescent="0.25">
      <c r="G514" s="34"/>
      <c r="H514" s="111"/>
      <c r="J514" s="31"/>
    </row>
    <row r="515" spans="7:10" x14ac:dyDescent="0.25">
      <c r="G515" s="34"/>
      <c r="H515" s="111"/>
      <c r="J515" s="31"/>
    </row>
    <row r="516" spans="7:10" x14ac:dyDescent="0.25">
      <c r="G516" s="34"/>
      <c r="H516" s="111"/>
      <c r="J516" s="31"/>
    </row>
    <row r="517" spans="7:10" x14ac:dyDescent="0.25">
      <c r="G517" s="34"/>
      <c r="H517" s="111"/>
      <c r="J517" s="31"/>
    </row>
    <row r="518" spans="7:10" x14ac:dyDescent="0.25">
      <c r="G518" s="34"/>
      <c r="H518" s="111"/>
      <c r="J518" s="31"/>
    </row>
    <row r="519" spans="7:10" x14ac:dyDescent="0.25">
      <c r="G519" s="34"/>
      <c r="H519" s="111"/>
      <c r="J519" s="31"/>
    </row>
    <row r="520" spans="7:10" x14ac:dyDescent="0.25">
      <c r="G520" s="34"/>
      <c r="H520" s="111"/>
      <c r="J520" s="31"/>
    </row>
    <row r="521" spans="7:10" x14ac:dyDescent="0.25">
      <c r="G521" s="34"/>
      <c r="H521" s="111"/>
      <c r="J521" s="31"/>
    </row>
    <row r="522" spans="7:10" x14ac:dyDescent="0.25">
      <c r="G522" s="34"/>
      <c r="H522" s="111"/>
      <c r="J522" s="31"/>
    </row>
    <row r="523" spans="7:10" x14ac:dyDescent="0.25">
      <c r="G523" s="34"/>
      <c r="H523" s="111"/>
      <c r="J523" s="31"/>
    </row>
    <row r="524" spans="7:10" x14ac:dyDescent="0.25">
      <c r="G524" s="34"/>
      <c r="H524" s="111"/>
      <c r="J524" s="31"/>
    </row>
    <row r="525" spans="7:10" x14ac:dyDescent="0.25">
      <c r="G525" s="34"/>
      <c r="H525" s="111"/>
      <c r="J525" s="31"/>
    </row>
    <row r="526" spans="7:10" x14ac:dyDescent="0.25">
      <c r="G526" s="34"/>
      <c r="H526" s="111"/>
      <c r="J526" s="31"/>
    </row>
    <row r="527" spans="7:10" x14ac:dyDescent="0.25">
      <c r="G527" s="34"/>
      <c r="H527" s="111"/>
      <c r="J527" s="31"/>
    </row>
    <row r="528" spans="7:10" x14ac:dyDescent="0.25">
      <c r="G528" s="34"/>
      <c r="H528" s="111"/>
      <c r="J528" s="31"/>
    </row>
    <row r="529" spans="7:10" x14ac:dyDescent="0.25">
      <c r="G529" s="34"/>
      <c r="H529" s="111"/>
      <c r="J529" s="31"/>
    </row>
    <row r="530" spans="7:10" x14ac:dyDescent="0.25">
      <c r="G530" s="34"/>
      <c r="H530" s="111"/>
      <c r="J530" s="31"/>
    </row>
    <row r="531" spans="7:10" x14ac:dyDescent="0.25">
      <c r="G531" s="34"/>
      <c r="H531" s="111"/>
      <c r="J531" s="31"/>
    </row>
    <row r="532" spans="7:10" x14ac:dyDescent="0.25">
      <c r="G532" s="34"/>
      <c r="H532" s="111"/>
      <c r="J532" s="31"/>
    </row>
    <row r="533" spans="7:10" x14ac:dyDescent="0.25">
      <c r="G533" s="34"/>
      <c r="H533" s="111"/>
      <c r="J533" s="31"/>
    </row>
    <row r="534" spans="7:10" x14ac:dyDescent="0.25">
      <c r="G534" s="34"/>
      <c r="H534" s="111"/>
      <c r="J534" s="31"/>
    </row>
    <row r="535" spans="7:10" x14ac:dyDescent="0.25">
      <c r="G535" s="34"/>
      <c r="H535" s="111"/>
      <c r="J535" s="31"/>
    </row>
    <row r="536" spans="7:10" x14ac:dyDescent="0.25">
      <c r="G536" s="34"/>
      <c r="H536" s="111"/>
      <c r="J536" s="31"/>
    </row>
    <row r="537" spans="7:10" x14ac:dyDescent="0.25">
      <c r="G537" s="34"/>
      <c r="H537" s="111"/>
      <c r="J537" s="31"/>
    </row>
    <row r="538" spans="7:10" x14ac:dyDescent="0.25">
      <c r="G538" s="34"/>
      <c r="H538" s="111"/>
      <c r="J538" s="31"/>
    </row>
    <row r="539" spans="7:10" x14ac:dyDescent="0.25">
      <c r="G539" s="34"/>
      <c r="H539" s="111"/>
      <c r="J539" s="31"/>
    </row>
    <row r="540" spans="7:10" x14ac:dyDescent="0.25">
      <c r="G540" s="34"/>
      <c r="H540" s="111"/>
      <c r="J540" s="31"/>
    </row>
    <row r="541" spans="7:10" x14ac:dyDescent="0.25">
      <c r="G541" s="34"/>
      <c r="H541" s="111"/>
      <c r="J541" s="31"/>
    </row>
    <row r="542" spans="7:10" x14ac:dyDescent="0.25">
      <c r="G542" s="34"/>
      <c r="H542" s="111"/>
      <c r="J542" s="31"/>
    </row>
    <row r="543" spans="7:10" x14ac:dyDescent="0.25">
      <c r="G543" s="34"/>
      <c r="H543" s="111"/>
      <c r="J543" s="31"/>
    </row>
    <row r="544" spans="7:10" x14ac:dyDescent="0.25">
      <c r="G544" s="34"/>
      <c r="H544" s="111"/>
      <c r="J544" s="31"/>
    </row>
    <row r="545" spans="7:10" x14ac:dyDescent="0.25">
      <c r="G545" s="34"/>
      <c r="H545" s="111"/>
      <c r="J545" s="31"/>
    </row>
    <row r="546" spans="7:10" x14ac:dyDescent="0.25">
      <c r="G546" s="34"/>
      <c r="H546" s="111"/>
      <c r="J546" s="31"/>
    </row>
    <row r="547" spans="7:10" x14ac:dyDescent="0.25">
      <c r="G547" s="34"/>
      <c r="H547" s="111"/>
      <c r="J547" s="31"/>
    </row>
    <row r="548" spans="7:10" x14ac:dyDescent="0.25">
      <c r="G548" s="34"/>
      <c r="H548" s="111"/>
      <c r="J548" s="31"/>
    </row>
    <row r="549" spans="7:10" x14ac:dyDescent="0.25">
      <c r="G549" s="34"/>
      <c r="H549" s="111"/>
      <c r="J549" s="31"/>
    </row>
    <row r="550" spans="7:10" x14ac:dyDescent="0.25">
      <c r="G550" s="34"/>
      <c r="H550" s="111"/>
      <c r="J550" s="31"/>
    </row>
    <row r="551" spans="7:10" x14ac:dyDescent="0.25">
      <c r="G551" s="34"/>
      <c r="H551" s="111"/>
      <c r="J551" s="31"/>
    </row>
    <row r="552" spans="7:10" x14ac:dyDescent="0.25">
      <c r="G552" s="34"/>
      <c r="H552" s="111"/>
      <c r="J552" s="31"/>
    </row>
    <row r="553" spans="7:10" x14ac:dyDescent="0.25">
      <c r="G553" s="34"/>
      <c r="H553" s="111"/>
      <c r="J553" s="31"/>
    </row>
    <row r="554" spans="7:10" x14ac:dyDescent="0.25">
      <c r="G554" s="34"/>
      <c r="H554" s="111"/>
      <c r="J554" s="31"/>
    </row>
    <row r="555" spans="7:10" x14ac:dyDescent="0.25">
      <c r="G555" s="34"/>
      <c r="H555" s="111"/>
      <c r="J555" s="31"/>
    </row>
    <row r="556" spans="7:10" x14ac:dyDescent="0.25">
      <c r="G556" s="34"/>
      <c r="H556" s="111"/>
      <c r="J556" s="31"/>
    </row>
    <row r="557" spans="7:10" x14ac:dyDescent="0.25">
      <c r="G557" s="34"/>
      <c r="H557" s="111"/>
      <c r="J557" s="31"/>
    </row>
    <row r="558" spans="7:10" x14ac:dyDescent="0.25">
      <c r="G558" s="34"/>
      <c r="H558" s="111"/>
      <c r="J558" s="31"/>
    </row>
    <row r="559" spans="7:10" x14ac:dyDescent="0.25">
      <c r="G559" s="34"/>
      <c r="H559" s="111"/>
      <c r="J559" s="31"/>
    </row>
    <row r="560" spans="7:10" x14ac:dyDescent="0.25">
      <c r="G560" s="34"/>
      <c r="H560" s="111"/>
      <c r="J560" s="31"/>
    </row>
    <row r="561" spans="7:10" x14ac:dyDescent="0.25">
      <c r="G561" s="34"/>
      <c r="H561" s="111"/>
      <c r="J561" s="31"/>
    </row>
    <row r="562" spans="7:10" x14ac:dyDescent="0.25">
      <c r="G562" s="34"/>
      <c r="H562" s="111"/>
      <c r="J562" s="31"/>
    </row>
    <row r="563" spans="7:10" x14ac:dyDescent="0.25">
      <c r="G563" s="34"/>
      <c r="H563" s="111"/>
      <c r="J563" s="31"/>
    </row>
    <row r="564" spans="7:10" x14ac:dyDescent="0.25">
      <c r="G564" s="34"/>
      <c r="H564" s="111"/>
      <c r="J564" s="31"/>
    </row>
    <row r="565" spans="7:10" x14ac:dyDescent="0.25">
      <c r="G565" s="34"/>
      <c r="H565" s="111"/>
      <c r="J565" s="31"/>
    </row>
    <row r="566" spans="7:10" x14ac:dyDescent="0.25">
      <c r="G566" s="34"/>
      <c r="H566" s="111"/>
      <c r="J566" s="31"/>
    </row>
    <row r="567" spans="7:10" x14ac:dyDescent="0.25">
      <c r="G567" s="34"/>
      <c r="H567" s="111"/>
      <c r="J567" s="31"/>
    </row>
    <row r="568" spans="7:10" x14ac:dyDescent="0.25">
      <c r="G568" s="34"/>
      <c r="H568" s="111"/>
      <c r="J568" s="31"/>
    </row>
    <row r="569" spans="7:10" x14ac:dyDescent="0.25">
      <c r="G569" s="34"/>
      <c r="H569" s="111"/>
      <c r="J569" s="31"/>
    </row>
    <row r="570" spans="7:10" x14ac:dyDescent="0.25">
      <c r="G570" s="34"/>
      <c r="H570" s="111"/>
      <c r="J570" s="31"/>
    </row>
    <row r="571" spans="7:10" x14ac:dyDescent="0.25">
      <c r="G571" s="34"/>
      <c r="H571" s="111"/>
      <c r="J571" s="31"/>
    </row>
    <row r="572" spans="7:10" x14ac:dyDescent="0.25">
      <c r="G572" s="34"/>
      <c r="H572" s="111"/>
      <c r="J572" s="31"/>
    </row>
    <row r="573" spans="7:10" x14ac:dyDescent="0.25">
      <c r="G573" s="34"/>
      <c r="H573" s="111"/>
      <c r="J573" s="31"/>
    </row>
    <row r="574" spans="7:10" x14ac:dyDescent="0.25">
      <c r="G574" s="34"/>
      <c r="H574" s="111"/>
      <c r="J574" s="31"/>
    </row>
    <row r="575" spans="7:10" x14ac:dyDescent="0.25">
      <c r="G575" s="34"/>
      <c r="H575" s="111"/>
      <c r="J575" s="31"/>
    </row>
    <row r="576" spans="7:10" x14ac:dyDescent="0.25">
      <c r="G576" s="34"/>
      <c r="H576" s="111"/>
      <c r="J576" s="31"/>
    </row>
    <row r="577" spans="7:10" x14ac:dyDescent="0.25">
      <c r="G577" s="34"/>
      <c r="H577" s="111"/>
      <c r="J577" s="31"/>
    </row>
    <row r="578" spans="7:10" x14ac:dyDescent="0.25">
      <c r="G578" s="34"/>
      <c r="H578" s="111"/>
      <c r="J578" s="31"/>
    </row>
    <row r="579" spans="7:10" x14ac:dyDescent="0.25">
      <c r="G579" s="34"/>
      <c r="H579" s="111"/>
      <c r="J579" s="31"/>
    </row>
    <row r="580" spans="7:10" x14ac:dyDescent="0.25">
      <c r="G580" s="34"/>
      <c r="H580" s="111"/>
      <c r="J580" s="31"/>
    </row>
    <row r="581" spans="7:10" x14ac:dyDescent="0.25">
      <c r="G581" s="34"/>
      <c r="H581" s="111"/>
      <c r="J581" s="31"/>
    </row>
    <row r="582" spans="7:10" x14ac:dyDescent="0.25">
      <c r="G582" s="34"/>
      <c r="H582" s="111"/>
      <c r="J582" s="31"/>
    </row>
    <row r="583" spans="7:10" x14ac:dyDescent="0.25">
      <c r="G583" s="34"/>
      <c r="H583" s="111"/>
      <c r="J583" s="31"/>
    </row>
    <row r="584" spans="7:10" x14ac:dyDescent="0.25">
      <c r="G584" s="34"/>
      <c r="H584" s="111"/>
      <c r="J584" s="31"/>
    </row>
    <row r="585" spans="7:10" x14ac:dyDescent="0.25">
      <c r="G585" s="34"/>
      <c r="H585" s="111"/>
      <c r="J585" s="31"/>
    </row>
    <row r="586" spans="7:10" x14ac:dyDescent="0.25">
      <c r="G586" s="34"/>
      <c r="H586" s="111"/>
      <c r="J586" s="31"/>
    </row>
    <row r="587" spans="7:10" x14ac:dyDescent="0.25">
      <c r="G587" s="34"/>
      <c r="H587" s="111"/>
      <c r="J587" s="31"/>
    </row>
    <row r="588" spans="7:10" x14ac:dyDescent="0.25">
      <c r="G588" s="34"/>
      <c r="H588" s="111"/>
      <c r="J588" s="31"/>
    </row>
    <row r="589" spans="7:10" x14ac:dyDescent="0.25">
      <c r="G589" s="34"/>
      <c r="H589" s="111"/>
      <c r="J589" s="31"/>
    </row>
    <row r="590" spans="7:10" x14ac:dyDescent="0.25">
      <c r="G590" s="34"/>
      <c r="H590" s="111"/>
      <c r="J590" s="31"/>
    </row>
    <row r="591" spans="7:10" x14ac:dyDescent="0.25">
      <c r="G591" s="34"/>
      <c r="H591" s="111"/>
      <c r="J591" s="31"/>
    </row>
    <row r="592" spans="7:10" x14ac:dyDescent="0.25">
      <c r="G592" s="34"/>
      <c r="H592" s="111"/>
      <c r="J592" s="31"/>
    </row>
    <row r="593" spans="7:10" x14ac:dyDescent="0.25">
      <c r="G593" s="34"/>
      <c r="H593" s="111"/>
      <c r="J593" s="31"/>
    </row>
    <row r="594" spans="7:10" x14ac:dyDescent="0.25">
      <c r="G594" s="34"/>
      <c r="H594" s="111"/>
      <c r="J594" s="31"/>
    </row>
    <row r="595" spans="7:10" x14ac:dyDescent="0.25">
      <c r="G595" s="34"/>
      <c r="H595" s="111"/>
      <c r="J595" s="31"/>
    </row>
    <row r="596" spans="7:10" x14ac:dyDescent="0.25">
      <c r="G596" s="34"/>
      <c r="H596" s="111"/>
      <c r="J596" s="31"/>
    </row>
    <row r="597" spans="7:10" x14ac:dyDescent="0.25">
      <c r="G597" s="34"/>
      <c r="H597" s="111"/>
      <c r="J597" s="31"/>
    </row>
    <row r="598" spans="7:10" x14ac:dyDescent="0.25">
      <c r="G598" s="34"/>
      <c r="H598" s="111"/>
      <c r="J598" s="31"/>
    </row>
    <row r="599" spans="7:10" x14ac:dyDescent="0.25">
      <c r="G599" s="34"/>
      <c r="H599" s="111"/>
      <c r="J599" s="31"/>
    </row>
    <row r="600" spans="7:10" x14ac:dyDescent="0.25">
      <c r="G600" s="34"/>
      <c r="H600" s="111"/>
      <c r="J600" s="31"/>
    </row>
    <row r="601" spans="7:10" x14ac:dyDescent="0.25">
      <c r="G601" s="34"/>
      <c r="H601" s="111"/>
      <c r="J601" s="31"/>
    </row>
    <row r="602" spans="7:10" x14ac:dyDescent="0.25">
      <c r="G602" s="34"/>
      <c r="H602" s="111"/>
      <c r="J602" s="31"/>
    </row>
    <row r="603" spans="7:10" x14ac:dyDescent="0.25">
      <c r="G603" s="34"/>
      <c r="H603" s="111"/>
      <c r="J603" s="31"/>
    </row>
    <row r="604" spans="7:10" x14ac:dyDescent="0.25">
      <c r="G604" s="34"/>
      <c r="H604" s="111"/>
      <c r="J604" s="31"/>
    </row>
    <row r="605" spans="7:10" x14ac:dyDescent="0.25">
      <c r="G605" s="34"/>
      <c r="H605" s="111"/>
      <c r="J605" s="31"/>
    </row>
    <row r="606" spans="7:10" x14ac:dyDescent="0.25">
      <c r="G606" s="34"/>
      <c r="H606" s="111"/>
      <c r="J606" s="31"/>
    </row>
    <row r="607" spans="7:10" x14ac:dyDescent="0.25">
      <c r="G607" s="34"/>
      <c r="H607" s="111"/>
      <c r="J607" s="31"/>
    </row>
    <row r="608" spans="7:10" x14ac:dyDescent="0.25">
      <c r="G608" s="34"/>
      <c r="H608" s="111"/>
      <c r="J608" s="31"/>
    </row>
    <row r="609" spans="7:10" x14ac:dyDescent="0.25">
      <c r="G609" s="34"/>
      <c r="H609" s="111"/>
      <c r="J609" s="31"/>
    </row>
    <row r="610" spans="7:10" x14ac:dyDescent="0.25">
      <c r="G610" s="34"/>
      <c r="H610" s="111"/>
      <c r="J610" s="31"/>
    </row>
    <row r="611" spans="7:10" x14ac:dyDescent="0.25">
      <c r="G611" s="34"/>
      <c r="H611" s="111"/>
      <c r="J611" s="31"/>
    </row>
    <row r="612" spans="7:10" x14ac:dyDescent="0.25">
      <c r="G612" s="34"/>
      <c r="H612" s="111"/>
      <c r="J612" s="31"/>
    </row>
    <row r="613" spans="7:10" x14ac:dyDescent="0.25">
      <c r="G613" s="34"/>
      <c r="H613" s="111"/>
      <c r="J613" s="31"/>
    </row>
    <row r="614" spans="7:10" x14ac:dyDescent="0.25">
      <c r="G614" s="34"/>
      <c r="H614" s="111"/>
      <c r="J614" s="31"/>
    </row>
    <row r="615" spans="7:10" x14ac:dyDescent="0.25">
      <c r="G615" s="34"/>
      <c r="H615" s="111"/>
      <c r="J615" s="31"/>
    </row>
    <row r="616" spans="7:10" x14ac:dyDescent="0.25">
      <c r="G616" s="34"/>
      <c r="H616" s="111"/>
      <c r="J616" s="31"/>
    </row>
    <row r="617" spans="7:10" x14ac:dyDescent="0.25">
      <c r="G617" s="34"/>
      <c r="H617" s="111"/>
      <c r="J617" s="31"/>
    </row>
    <row r="618" spans="7:10" x14ac:dyDescent="0.25">
      <c r="G618" s="34"/>
      <c r="H618" s="111"/>
      <c r="J618" s="31"/>
    </row>
    <row r="619" spans="7:10" x14ac:dyDescent="0.25">
      <c r="G619" s="34"/>
      <c r="H619" s="111"/>
      <c r="J619" s="31"/>
    </row>
    <row r="620" spans="7:10" x14ac:dyDescent="0.25">
      <c r="G620" s="34"/>
      <c r="H620" s="111"/>
      <c r="J620" s="31"/>
    </row>
    <row r="621" spans="7:10" x14ac:dyDescent="0.25">
      <c r="G621" s="34"/>
      <c r="H621" s="111"/>
      <c r="J621" s="31"/>
    </row>
    <row r="622" spans="7:10" x14ac:dyDescent="0.25">
      <c r="G622" s="34"/>
      <c r="H622" s="111"/>
      <c r="J622" s="31"/>
    </row>
    <row r="623" spans="7:10" x14ac:dyDescent="0.25">
      <c r="G623" s="34"/>
      <c r="H623" s="111"/>
      <c r="J623" s="31"/>
    </row>
    <row r="624" spans="7:10" x14ac:dyDescent="0.25">
      <c r="G624" s="34"/>
      <c r="H624" s="111"/>
      <c r="J624" s="31"/>
    </row>
    <row r="625" spans="7:10" x14ac:dyDescent="0.25">
      <c r="G625" s="34"/>
      <c r="H625" s="111"/>
      <c r="J625" s="31"/>
    </row>
    <row r="626" spans="7:10" x14ac:dyDescent="0.25">
      <c r="G626" s="34"/>
      <c r="H626" s="111"/>
      <c r="J626" s="31"/>
    </row>
    <row r="627" spans="7:10" x14ac:dyDescent="0.25">
      <c r="G627" s="34"/>
      <c r="H627" s="111"/>
      <c r="J627" s="31"/>
    </row>
    <row r="628" spans="7:10" x14ac:dyDescent="0.25">
      <c r="G628" s="34"/>
      <c r="H628" s="111"/>
      <c r="J628" s="31"/>
    </row>
    <row r="629" spans="7:10" x14ac:dyDescent="0.25">
      <c r="G629" s="34"/>
      <c r="H629" s="111"/>
      <c r="J629" s="31"/>
    </row>
    <row r="630" spans="7:10" x14ac:dyDescent="0.25">
      <c r="G630" s="34"/>
      <c r="H630" s="111"/>
      <c r="J630" s="31"/>
    </row>
    <row r="631" spans="7:10" x14ac:dyDescent="0.25">
      <c r="G631" s="34"/>
      <c r="H631" s="111"/>
      <c r="J631" s="31"/>
    </row>
    <row r="632" spans="7:10" x14ac:dyDescent="0.25">
      <c r="G632" s="34"/>
      <c r="H632" s="111"/>
      <c r="J632" s="31"/>
    </row>
    <row r="633" spans="7:10" x14ac:dyDescent="0.25">
      <c r="G633" s="34"/>
      <c r="H633" s="111"/>
      <c r="J633" s="31"/>
    </row>
    <row r="634" spans="7:10" x14ac:dyDescent="0.25">
      <c r="G634" s="34"/>
      <c r="H634" s="111"/>
      <c r="J634" s="31"/>
    </row>
    <row r="635" spans="7:10" x14ac:dyDescent="0.25">
      <c r="G635" s="34"/>
      <c r="H635" s="111"/>
      <c r="J635" s="31"/>
    </row>
    <row r="636" spans="7:10" x14ac:dyDescent="0.25">
      <c r="G636" s="34"/>
      <c r="H636" s="111"/>
      <c r="J636" s="31"/>
    </row>
    <row r="637" spans="7:10" x14ac:dyDescent="0.25">
      <c r="G637" s="34"/>
      <c r="H637" s="111"/>
      <c r="J637" s="31"/>
    </row>
    <row r="638" spans="7:10" x14ac:dyDescent="0.25">
      <c r="G638" s="34"/>
      <c r="H638" s="111"/>
      <c r="J638" s="31"/>
    </row>
    <row r="639" spans="7:10" x14ac:dyDescent="0.25">
      <c r="G639" s="34"/>
      <c r="H639" s="111"/>
      <c r="J639" s="31"/>
    </row>
    <row r="640" spans="7:10" x14ac:dyDescent="0.25">
      <c r="G640" s="34"/>
      <c r="H640" s="111"/>
      <c r="J640" s="31"/>
    </row>
    <row r="641" spans="7:10" x14ac:dyDescent="0.25">
      <c r="G641" s="34"/>
      <c r="H641" s="111"/>
      <c r="J641" s="31"/>
    </row>
    <row r="642" spans="7:10" x14ac:dyDescent="0.25">
      <c r="G642" s="34"/>
      <c r="H642" s="111"/>
      <c r="J642" s="31"/>
    </row>
    <row r="643" spans="7:10" x14ac:dyDescent="0.25">
      <c r="G643" s="34"/>
      <c r="H643" s="111"/>
      <c r="J643" s="31"/>
    </row>
    <row r="644" spans="7:10" x14ac:dyDescent="0.25">
      <c r="G644" s="34"/>
      <c r="H644" s="111"/>
      <c r="J644" s="31"/>
    </row>
    <row r="645" spans="7:10" x14ac:dyDescent="0.25">
      <c r="G645" s="34"/>
      <c r="H645" s="111"/>
      <c r="J645" s="31"/>
    </row>
    <row r="646" spans="7:10" x14ac:dyDescent="0.25">
      <c r="G646" s="34"/>
      <c r="H646" s="111"/>
      <c r="J646" s="31"/>
    </row>
    <row r="647" spans="7:10" x14ac:dyDescent="0.25">
      <c r="G647" s="34"/>
      <c r="H647" s="111"/>
      <c r="J647" s="31"/>
    </row>
    <row r="648" spans="7:10" x14ac:dyDescent="0.25">
      <c r="G648" s="34"/>
      <c r="H648" s="111"/>
      <c r="J648" s="31"/>
    </row>
    <row r="649" spans="7:10" x14ac:dyDescent="0.25">
      <c r="G649" s="34"/>
      <c r="H649" s="111"/>
      <c r="J649" s="31"/>
    </row>
    <row r="650" spans="7:10" x14ac:dyDescent="0.25">
      <c r="G650" s="34"/>
      <c r="H650" s="111"/>
      <c r="J650" s="31"/>
    </row>
    <row r="651" spans="7:10" x14ac:dyDescent="0.25">
      <c r="G651" s="34"/>
      <c r="H651" s="111"/>
      <c r="J651" s="31"/>
    </row>
    <row r="652" spans="7:10" x14ac:dyDescent="0.25">
      <c r="G652" s="34"/>
      <c r="H652" s="111"/>
      <c r="J652" s="31"/>
    </row>
    <row r="653" spans="7:10" x14ac:dyDescent="0.25">
      <c r="G653" s="34"/>
      <c r="H653" s="111"/>
      <c r="J653" s="31"/>
    </row>
    <row r="654" spans="7:10" x14ac:dyDescent="0.25">
      <c r="G654" s="34"/>
      <c r="H654" s="111"/>
      <c r="J654" s="31"/>
    </row>
    <row r="655" spans="7:10" x14ac:dyDescent="0.25">
      <c r="G655" s="34"/>
      <c r="H655" s="111"/>
      <c r="J655" s="31"/>
    </row>
    <row r="656" spans="7:10" x14ac:dyDescent="0.25">
      <c r="G656" s="34"/>
      <c r="H656" s="111"/>
      <c r="J656" s="31"/>
    </row>
    <row r="657" spans="7:10" x14ac:dyDescent="0.25">
      <c r="G657" s="34"/>
      <c r="H657" s="111"/>
      <c r="J657" s="31"/>
    </row>
    <row r="658" spans="7:10" x14ac:dyDescent="0.25">
      <c r="G658" s="34"/>
      <c r="H658" s="111"/>
      <c r="J658" s="31"/>
    </row>
    <row r="659" spans="7:10" x14ac:dyDescent="0.25">
      <c r="G659" s="34"/>
      <c r="H659" s="111"/>
      <c r="J659" s="31"/>
    </row>
    <row r="660" spans="7:10" x14ac:dyDescent="0.25">
      <c r="G660" s="34"/>
      <c r="H660" s="111"/>
      <c r="J660" s="31"/>
    </row>
    <row r="661" spans="7:10" x14ac:dyDescent="0.25">
      <c r="G661" s="34"/>
      <c r="H661" s="111"/>
      <c r="J661" s="31"/>
    </row>
    <row r="662" spans="7:10" x14ac:dyDescent="0.25">
      <c r="G662" s="34"/>
      <c r="H662" s="111"/>
      <c r="J662" s="31"/>
    </row>
    <row r="663" spans="7:10" x14ac:dyDescent="0.25">
      <c r="G663" s="34"/>
      <c r="H663" s="111"/>
      <c r="J663" s="31"/>
    </row>
    <row r="664" spans="7:10" x14ac:dyDescent="0.25">
      <c r="G664" s="34"/>
      <c r="H664" s="111"/>
      <c r="J664" s="31"/>
    </row>
    <row r="665" spans="7:10" x14ac:dyDescent="0.25">
      <c r="G665" s="34"/>
      <c r="H665" s="111"/>
      <c r="J665" s="31"/>
    </row>
    <row r="666" spans="7:10" x14ac:dyDescent="0.25">
      <c r="G666" s="34"/>
      <c r="H666" s="111"/>
      <c r="J666" s="31"/>
    </row>
    <row r="667" spans="7:10" x14ac:dyDescent="0.25">
      <c r="G667" s="34"/>
      <c r="H667" s="111"/>
      <c r="J667" s="31"/>
    </row>
    <row r="668" spans="7:10" x14ac:dyDescent="0.25">
      <c r="G668" s="34"/>
      <c r="H668" s="111"/>
      <c r="J668" s="31"/>
    </row>
    <row r="669" spans="7:10" x14ac:dyDescent="0.25">
      <c r="G669" s="34"/>
      <c r="H669" s="111"/>
      <c r="J669" s="31"/>
    </row>
    <row r="670" spans="7:10" x14ac:dyDescent="0.25">
      <c r="G670" s="34"/>
      <c r="H670" s="111"/>
      <c r="J670" s="31"/>
    </row>
    <row r="671" spans="7:10" x14ac:dyDescent="0.25">
      <c r="G671" s="34"/>
      <c r="H671" s="111"/>
      <c r="J671" s="31"/>
    </row>
    <row r="672" spans="7:10" x14ac:dyDescent="0.25">
      <c r="G672" s="34"/>
      <c r="H672" s="111"/>
      <c r="J672" s="31"/>
    </row>
    <row r="673" spans="7:10" x14ac:dyDescent="0.25">
      <c r="G673" s="34"/>
      <c r="H673" s="111"/>
      <c r="J673" s="31"/>
    </row>
    <row r="674" spans="7:10" x14ac:dyDescent="0.25">
      <c r="G674" s="34"/>
      <c r="H674" s="111"/>
      <c r="J674" s="31"/>
    </row>
    <row r="675" spans="7:10" x14ac:dyDescent="0.25">
      <c r="G675" s="34"/>
      <c r="H675" s="111"/>
      <c r="J675" s="31"/>
    </row>
    <row r="676" spans="7:10" x14ac:dyDescent="0.25">
      <c r="G676" s="34"/>
      <c r="H676" s="111"/>
      <c r="J676" s="31"/>
    </row>
    <row r="677" spans="7:10" x14ac:dyDescent="0.25">
      <c r="G677" s="34"/>
      <c r="H677" s="111"/>
      <c r="J677" s="31"/>
    </row>
    <row r="678" spans="7:10" x14ac:dyDescent="0.25">
      <c r="G678" s="34"/>
      <c r="H678" s="111"/>
      <c r="J678" s="31"/>
    </row>
    <row r="679" spans="7:10" x14ac:dyDescent="0.25">
      <c r="G679" s="34"/>
      <c r="H679" s="111"/>
      <c r="J679" s="31"/>
    </row>
    <row r="680" spans="7:10" x14ac:dyDescent="0.25">
      <c r="G680" s="34"/>
      <c r="H680" s="111"/>
      <c r="J680" s="31"/>
    </row>
    <row r="681" spans="7:10" x14ac:dyDescent="0.25">
      <c r="G681" s="34"/>
      <c r="H681" s="111"/>
      <c r="J681" s="31"/>
    </row>
    <row r="682" spans="7:10" x14ac:dyDescent="0.25">
      <c r="G682" s="34"/>
      <c r="H682" s="111"/>
      <c r="J682" s="31"/>
    </row>
    <row r="683" spans="7:10" x14ac:dyDescent="0.25">
      <c r="G683" s="34"/>
      <c r="H683" s="111"/>
      <c r="J683" s="31"/>
    </row>
    <row r="684" spans="7:10" x14ac:dyDescent="0.25">
      <c r="G684" s="34"/>
      <c r="H684" s="111"/>
      <c r="J684" s="31"/>
    </row>
    <row r="685" spans="7:10" x14ac:dyDescent="0.25">
      <c r="G685" s="34"/>
      <c r="H685" s="111"/>
      <c r="J685" s="31"/>
    </row>
    <row r="686" spans="7:10" x14ac:dyDescent="0.25">
      <c r="G686" s="34"/>
      <c r="H686" s="111"/>
      <c r="J686" s="31"/>
    </row>
    <row r="687" spans="7:10" x14ac:dyDescent="0.25">
      <c r="G687" s="34"/>
      <c r="H687" s="111"/>
      <c r="J687" s="31"/>
    </row>
    <row r="688" spans="7:10" x14ac:dyDescent="0.25">
      <c r="G688" s="34"/>
      <c r="H688" s="111"/>
      <c r="J688" s="31"/>
    </row>
    <row r="689" spans="7:10" x14ac:dyDescent="0.25">
      <c r="G689" s="34"/>
      <c r="H689" s="111"/>
      <c r="J689" s="31"/>
    </row>
    <row r="690" spans="7:10" x14ac:dyDescent="0.25">
      <c r="G690" s="34"/>
      <c r="H690" s="111"/>
      <c r="J690" s="31"/>
    </row>
    <row r="691" spans="7:10" x14ac:dyDescent="0.25">
      <c r="G691" s="34"/>
      <c r="H691" s="111"/>
      <c r="J691" s="31"/>
    </row>
    <row r="692" spans="7:10" x14ac:dyDescent="0.25">
      <c r="G692" s="34"/>
      <c r="H692" s="111"/>
      <c r="J692" s="31"/>
    </row>
    <row r="693" spans="7:10" x14ac:dyDescent="0.25">
      <c r="G693" s="34"/>
      <c r="H693" s="111"/>
      <c r="J693" s="31"/>
    </row>
    <row r="694" spans="7:10" x14ac:dyDescent="0.25">
      <c r="G694" s="34"/>
      <c r="H694" s="111"/>
      <c r="J694" s="31"/>
    </row>
    <row r="695" spans="7:10" x14ac:dyDescent="0.25">
      <c r="G695" s="34"/>
      <c r="H695" s="111"/>
      <c r="J695" s="31"/>
    </row>
    <row r="696" spans="7:10" x14ac:dyDescent="0.25">
      <c r="G696" s="34"/>
      <c r="H696" s="111"/>
      <c r="J696" s="31"/>
    </row>
    <row r="697" spans="7:10" x14ac:dyDescent="0.25">
      <c r="G697" s="34"/>
      <c r="H697" s="111"/>
      <c r="J697" s="31"/>
    </row>
    <row r="698" spans="7:10" x14ac:dyDescent="0.25">
      <c r="G698" s="34"/>
      <c r="H698" s="111"/>
      <c r="J698" s="31"/>
    </row>
    <row r="699" spans="7:10" x14ac:dyDescent="0.25">
      <c r="G699" s="34"/>
      <c r="H699" s="111"/>
      <c r="J699" s="31"/>
    </row>
    <row r="700" spans="7:10" x14ac:dyDescent="0.25">
      <c r="G700" s="34"/>
      <c r="H700" s="111"/>
      <c r="J700" s="31"/>
    </row>
    <row r="701" spans="7:10" x14ac:dyDescent="0.25">
      <c r="G701" s="34"/>
      <c r="H701" s="111"/>
      <c r="J701" s="31"/>
    </row>
    <row r="702" spans="7:10" x14ac:dyDescent="0.25">
      <c r="G702" s="34"/>
      <c r="H702" s="111"/>
      <c r="J702" s="31"/>
    </row>
    <row r="703" spans="7:10" x14ac:dyDescent="0.25">
      <c r="G703" s="34"/>
      <c r="H703" s="111"/>
      <c r="J703" s="31"/>
    </row>
    <row r="704" spans="7:10" x14ac:dyDescent="0.25">
      <c r="G704" s="34"/>
      <c r="H704" s="111"/>
      <c r="J704" s="31"/>
    </row>
    <row r="705" spans="7:10" x14ac:dyDescent="0.25">
      <c r="G705" s="34"/>
      <c r="H705" s="111"/>
      <c r="J705" s="31"/>
    </row>
    <row r="706" spans="7:10" x14ac:dyDescent="0.25">
      <c r="G706" s="34"/>
      <c r="H706" s="111"/>
      <c r="J706" s="31"/>
    </row>
    <row r="707" spans="7:10" x14ac:dyDescent="0.25">
      <c r="G707" s="34"/>
      <c r="H707" s="111"/>
      <c r="J707" s="31"/>
    </row>
    <row r="708" spans="7:10" x14ac:dyDescent="0.25">
      <c r="G708" s="34"/>
      <c r="H708" s="111"/>
      <c r="J708" s="31"/>
    </row>
    <row r="709" spans="7:10" x14ac:dyDescent="0.25">
      <c r="G709" s="34"/>
      <c r="H709" s="111"/>
      <c r="J709" s="31"/>
    </row>
    <row r="710" spans="7:10" x14ac:dyDescent="0.25">
      <c r="G710" s="34"/>
      <c r="H710" s="111"/>
      <c r="J710" s="31"/>
    </row>
    <row r="711" spans="7:10" x14ac:dyDescent="0.25">
      <c r="G711" s="34"/>
      <c r="H711" s="111"/>
      <c r="J711" s="31"/>
    </row>
    <row r="712" spans="7:10" x14ac:dyDescent="0.25">
      <c r="G712" s="34"/>
      <c r="H712" s="111"/>
      <c r="J712" s="31"/>
    </row>
    <row r="713" spans="7:10" x14ac:dyDescent="0.25">
      <c r="G713" s="34"/>
      <c r="H713" s="111"/>
      <c r="J713" s="31"/>
    </row>
    <row r="714" spans="7:10" x14ac:dyDescent="0.25">
      <c r="G714" s="34"/>
      <c r="H714" s="111"/>
      <c r="J714" s="31"/>
    </row>
    <row r="715" spans="7:10" x14ac:dyDescent="0.25">
      <c r="G715" s="34"/>
      <c r="H715" s="111"/>
      <c r="J715" s="31"/>
    </row>
    <row r="716" spans="7:10" x14ac:dyDescent="0.25">
      <c r="G716" s="34"/>
      <c r="H716" s="111"/>
      <c r="J716" s="31"/>
    </row>
    <row r="717" spans="7:10" x14ac:dyDescent="0.25">
      <c r="G717" s="34"/>
      <c r="H717" s="111"/>
      <c r="J717" s="31"/>
    </row>
    <row r="718" spans="7:10" x14ac:dyDescent="0.25">
      <c r="G718" s="34"/>
      <c r="H718" s="111"/>
      <c r="J718" s="31"/>
    </row>
    <row r="719" spans="7:10" x14ac:dyDescent="0.25">
      <c r="G719" s="34"/>
      <c r="H719" s="111"/>
      <c r="J719" s="31"/>
    </row>
    <row r="720" spans="7:10" x14ac:dyDescent="0.25">
      <c r="G720" s="34"/>
      <c r="H720" s="111"/>
      <c r="J720" s="31"/>
    </row>
    <row r="721" spans="7:10" x14ac:dyDescent="0.25">
      <c r="G721" s="34"/>
      <c r="H721" s="111"/>
      <c r="J721" s="31"/>
    </row>
    <row r="722" spans="7:10" x14ac:dyDescent="0.25">
      <c r="G722" s="34"/>
      <c r="H722" s="111"/>
      <c r="J722" s="31"/>
    </row>
    <row r="723" spans="7:10" x14ac:dyDescent="0.25">
      <c r="G723" s="34"/>
      <c r="H723" s="111"/>
      <c r="J723" s="31"/>
    </row>
    <row r="724" spans="7:10" x14ac:dyDescent="0.25">
      <c r="G724" s="34"/>
      <c r="H724" s="111"/>
      <c r="J724" s="31"/>
    </row>
    <row r="725" spans="7:10" x14ac:dyDescent="0.25">
      <c r="G725" s="34"/>
      <c r="H725" s="111"/>
      <c r="J725" s="31"/>
    </row>
    <row r="726" spans="7:10" x14ac:dyDescent="0.25">
      <c r="G726" s="34"/>
      <c r="H726" s="111"/>
      <c r="J726" s="31"/>
    </row>
    <row r="727" spans="7:10" x14ac:dyDescent="0.25">
      <c r="G727" s="34"/>
      <c r="H727" s="111"/>
      <c r="J727" s="31"/>
    </row>
    <row r="728" spans="7:10" x14ac:dyDescent="0.25">
      <c r="G728" s="34"/>
      <c r="H728" s="111"/>
      <c r="J728" s="31"/>
    </row>
    <row r="729" spans="7:10" x14ac:dyDescent="0.25">
      <c r="G729" s="34"/>
      <c r="H729" s="111"/>
      <c r="J729" s="31"/>
    </row>
    <row r="730" spans="7:10" x14ac:dyDescent="0.25">
      <c r="G730" s="34"/>
      <c r="H730" s="111"/>
      <c r="J730" s="31"/>
    </row>
    <row r="731" spans="7:10" x14ac:dyDescent="0.25">
      <c r="G731" s="34"/>
      <c r="H731" s="111"/>
      <c r="J731" s="31"/>
    </row>
    <row r="732" spans="7:10" x14ac:dyDescent="0.25">
      <c r="G732" s="34"/>
      <c r="H732" s="111"/>
      <c r="J732" s="31"/>
    </row>
    <row r="733" spans="7:10" x14ac:dyDescent="0.25">
      <c r="G733" s="34"/>
      <c r="H733" s="111"/>
      <c r="J733" s="31"/>
    </row>
    <row r="734" spans="7:10" x14ac:dyDescent="0.25">
      <c r="G734" s="34"/>
      <c r="H734" s="111"/>
      <c r="J734" s="31"/>
    </row>
    <row r="735" spans="7:10" x14ac:dyDescent="0.25">
      <c r="G735" s="34"/>
      <c r="H735" s="111"/>
      <c r="J735" s="31"/>
    </row>
    <row r="736" spans="7:10" x14ac:dyDescent="0.25">
      <c r="G736" s="34"/>
      <c r="H736" s="111"/>
      <c r="J736" s="31"/>
    </row>
    <row r="737" spans="7:10" x14ac:dyDescent="0.25">
      <c r="G737" s="34"/>
      <c r="H737" s="111"/>
      <c r="J737" s="31"/>
    </row>
    <row r="738" spans="7:10" x14ac:dyDescent="0.25">
      <c r="G738" s="34"/>
      <c r="H738" s="111"/>
      <c r="J738" s="31"/>
    </row>
    <row r="739" spans="7:10" x14ac:dyDescent="0.25">
      <c r="G739" s="34"/>
      <c r="H739" s="111"/>
      <c r="J739" s="31"/>
    </row>
    <row r="740" spans="7:10" x14ac:dyDescent="0.25">
      <c r="G740" s="34"/>
      <c r="H740" s="111"/>
      <c r="J740" s="31"/>
    </row>
    <row r="741" spans="7:10" x14ac:dyDescent="0.25">
      <c r="G741" s="34"/>
      <c r="H741" s="111"/>
      <c r="J741" s="31"/>
    </row>
    <row r="742" spans="7:10" x14ac:dyDescent="0.25">
      <c r="G742" s="34"/>
      <c r="H742" s="111"/>
      <c r="J742" s="31"/>
    </row>
    <row r="743" spans="7:10" x14ac:dyDescent="0.25">
      <c r="G743" s="34"/>
      <c r="H743" s="111"/>
      <c r="J743" s="31"/>
    </row>
    <row r="744" spans="7:10" x14ac:dyDescent="0.25">
      <c r="G744" s="34"/>
      <c r="H744" s="111"/>
      <c r="J744" s="31"/>
    </row>
    <row r="745" spans="7:10" x14ac:dyDescent="0.25">
      <c r="G745" s="34"/>
      <c r="H745" s="111"/>
      <c r="J745" s="31"/>
    </row>
    <row r="746" spans="7:10" x14ac:dyDescent="0.25">
      <c r="G746" s="34"/>
      <c r="H746" s="111"/>
      <c r="J746" s="31"/>
    </row>
    <row r="747" spans="7:10" x14ac:dyDescent="0.25">
      <c r="G747" s="34"/>
      <c r="H747" s="111"/>
      <c r="J747" s="31"/>
    </row>
    <row r="748" spans="7:10" x14ac:dyDescent="0.25">
      <c r="G748" s="34"/>
      <c r="H748" s="111"/>
      <c r="J748" s="31"/>
    </row>
    <row r="749" spans="7:10" x14ac:dyDescent="0.25">
      <c r="G749" s="34"/>
      <c r="H749" s="111"/>
      <c r="J749" s="31"/>
    </row>
    <row r="750" spans="7:10" x14ac:dyDescent="0.25">
      <c r="G750" s="34"/>
      <c r="H750" s="111"/>
      <c r="J750" s="31"/>
    </row>
    <row r="751" spans="7:10" x14ac:dyDescent="0.25">
      <c r="G751" s="34"/>
      <c r="H751" s="111"/>
      <c r="J751" s="31"/>
    </row>
    <row r="752" spans="7:10" x14ac:dyDescent="0.25">
      <c r="G752" s="34"/>
      <c r="H752" s="111"/>
      <c r="J752" s="31"/>
    </row>
    <row r="753" spans="7:10" x14ac:dyDescent="0.25">
      <c r="G753" s="34"/>
      <c r="H753" s="111"/>
      <c r="J753" s="31"/>
    </row>
    <row r="754" spans="7:10" x14ac:dyDescent="0.25">
      <c r="G754" s="34"/>
      <c r="H754" s="111"/>
      <c r="J754" s="31"/>
    </row>
    <row r="755" spans="7:10" x14ac:dyDescent="0.25">
      <c r="G755" s="34"/>
      <c r="H755" s="111"/>
      <c r="J755" s="31"/>
    </row>
    <row r="756" spans="7:10" x14ac:dyDescent="0.25">
      <c r="G756" s="34"/>
      <c r="H756" s="111"/>
      <c r="J756" s="31"/>
    </row>
    <row r="757" spans="7:10" x14ac:dyDescent="0.25">
      <c r="G757" s="34"/>
      <c r="H757" s="111"/>
      <c r="J757" s="31"/>
    </row>
    <row r="758" spans="7:10" x14ac:dyDescent="0.25">
      <c r="G758" s="34"/>
      <c r="H758" s="111"/>
      <c r="J758" s="31"/>
    </row>
    <row r="759" spans="7:10" x14ac:dyDescent="0.25">
      <c r="G759" s="34"/>
      <c r="H759" s="111"/>
      <c r="J759" s="31"/>
    </row>
    <row r="760" spans="7:10" x14ac:dyDescent="0.25">
      <c r="G760" s="34"/>
      <c r="H760" s="111"/>
      <c r="J760" s="31"/>
    </row>
    <row r="761" spans="7:10" x14ac:dyDescent="0.25">
      <c r="G761" s="34"/>
      <c r="H761" s="111"/>
      <c r="J761" s="31"/>
    </row>
    <row r="762" spans="7:10" x14ac:dyDescent="0.25">
      <c r="G762" s="34"/>
      <c r="H762" s="111"/>
      <c r="J762" s="31"/>
    </row>
    <row r="763" spans="7:10" x14ac:dyDescent="0.25">
      <c r="G763" s="34"/>
      <c r="H763" s="111"/>
      <c r="J763" s="31"/>
    </row>
    <row r="764" spans="7:10" x14ac:dyDescent="0.25">
      <c r="G764" s="34"/>
      <c r="H764" s="111"/>
      <c r="J764" s="31"/>
    </row>
    <row r="765" spans="7:10" x14ac:dyDescent="0.25">
      <c r="G765" s="34"/>
      <c r="H765" s="111"/>
      <c r="J765" s="31"/>
    </row>
    <row r="766" spans="7:10" x14ac:dyDescent="0.25">
      <c r="G766" s="34"/>
      <c r="H766" s="111"/>
      <c r="J766" s="31"/>
    </row>
    <row r="767" spans="7:10" x14ac:dyDescent="0.25">
      <c r="G767" s="34"/>
      <c r="H767" s="111"/>
      <c r="J767" s="31"/>
    </row>
    <row r="768" spans="7:10" x14ac:dyDescent="0.25">
      <c r="G768" s="34"/>
      <c r="H768" s="111"/>
      <c r="J768" s="31"/>
    </row>
    <row r="769" spans="7:10" x14ac:dyDescent="0.25">
      <c r="G769" s="34"/>
      <c r="H769" s="111"/>
      <c r="J769" s="31"/>
    </row>
    <row r="770" spans="7:10" x14ac:dyDescent="0.25">
      <c r="G770" s="34"/>
      <c r="H770" s="111"/>
      <c r="J770" s="31"/>
    </row>
    <row r="771" spans="7:10" x14ac:dyDescent="0.25">
      <c r="G771" s="34"/>
      <c r="H771" s="111"/>
      <c r="J771" s="31"/>
    </row>
    <row r="772" spans="7:10" x14ac:dyDescent="0.25">
      <c r="G772" s="34"/>
      <c r="H772" s="111"/>
      <c r="J772" s="31"/>
    </row>
    <row r="773" spans="7:10" x14ac:dyDescent="0.25">
      <c r="G773" s="34"/>
      <c r="H773" s="111"/>
      <c r="J773" s="31"/>
    </row>
    <row r="774" spans="7:10" x14ac:dyDescent="0.25">
      <c r="G774" s="34"/>
      <c r="H774" s="111"/>
      <c r="J774" s="31"/>
    </row>
    <row r="775" spans="7:10" x14ac:dyDescent="0.25">
      <c r="G775" s="34"/>
      <c r="H775" s="111"/>
      <c r="J775" s="31"/>
    </row>
    <row r="776" spans="7:10" x14ac:dyDescent="0.25">
      <c r="G776" s="34"/>
      <c r="H776" s="111"/>
      <c r="J776" s="31"/>
    </row>
    <row r="777" spans="7:10" x14ac:dyDescent="0.25">
      <c r="G777" s="34"/>
      <c r="H777" s="111"/>
      <c r="J777" s="31"/>
    </row>
    <row r="778" spans="7:10" x14ac:dyDescent="0.25">
      <c r="G778" s="34"/>
      <c r="H778" s="111"/>
      <c r="J778" s="31"/>
    </row>
    <row r="779" spans="7:10" x14ac:dyDescent="0.25">
      <c r="G779" s="34"/>
      <c r="H779" s="111"/>
      <c r="J779" s="31"/>
    </row>
    <row r="780" spans="7:10" x14ac:dyDescent="0.25">
      <c r="G780" s="34"/>
      <c r="H780" s="111"/>
      <c r="J780" s="31"/>
    </row>
    <row r="781" spans="7:10" x14ac:dyDescent="0.25">
      <c r="G781" s="34"/>
      <c r="H781" s="111"/>
      <c r="J781" s="31"/>
    </row>
    <row r="782" spans="7:10" x14ac:dyDescent="0.25">
      <c r="G782" s="34"/>
      <c r="H782" s="111"/>
      <c r="J782" s="31"/>
    </row>
    <row r="783" spans="7:10" x14ac:dyDescent="0.25">
      <c r="G783" s="34"/>
      <c r="H783" s="111"/>
      <c r="J783" s="31"/>
    </row>
    <row r="784" spans="7:10" x14ac:dyDescent="0.25">
      <c r="G784" s="34"/>
      <c r="H784" s="111"/>
      <c r="J784" s="31"/>
    </row>
    <row r="785" spans="7:10" x14ac:dyDescent="0.25">
      <c r="G785" s="34"/>
      <c r="H785" s="111"/>
      <c r="J785" s="31"/>
    </row>
    <row r="786" spans="7:10" x14ac:dyDescent="0.25">
      <c r="G786" s="34"/>
      <c r="H786" s="111"/>
      <c r="J786" s="31"/>
    </row>
    <row r="787" spans="7:10" x14ac:dyDescent="0.25">
      <c r="G787" s="34"/>
      <c r="H787" s="111"/>
      <c r="J787" s="31"/>
    </row>
    <row r="788" spans="7:10" x14ac:dyDescent="0.25">
      <c r="G788" s="34"/>
      <c r="H788" s="111"/>
      <c r="J788" s="31"/>
    </row>
    <row r="789" spans="7:10" x14ac:dyDescent="0.25">
      <c r="G789" s="34"/>
      <c r="H789" s="111"/>
      <c r="J789" s="31"/>
    </row>
    <row r="790" spans="7:10" x14ac:dyDescent="0.25">
      <c r="G790" s="34"/>
      <c r="H790" s="111"/>
      <c r="J790" s="31"/>
    </row>
    <row r="791" spans="7:10" x14ac:dyDescent="0.25">
      <c r="G791" s="34"/>
      <c r="H791" s="111"/>
      <c r="J791" s="31"/>
    </row>
    <row r="792" spans="7:10" x14ac:dyDescent="0.25">
      <c r="G792" s="34"/>
      <c r="H792" s="111"/>
      <c r="J792" s="31"/>
    </row>
    <row r="793" spans="7:10" x14ac:dyDescent="0.25">
      <c r="G793" s="34"/>
      <c r="H793" s="111"/>
      <c r="J793" s="31"/>
    </row>
    <row r="794" spans="7:10" x14ac:dyDescent="0.25">
      <c r="G794" s="34"/>
      <c r="H794" s="111"/>
      <c r="J794" s="31"/>
    </row>
    <row r="795" spans="7:10" x14ac:dyDescent="0.25">
      <c r="G795" s="34"/>
      <c r="H795" s="111"/>
      <c r="J795" s="31"/>
    </row>
    <row r="796" spans="7:10" x14ac:dyDescent="0.25">
      <c r="G796" s="34"/>
      <c r="H796" s="111"/>
      <c r="J796" s="31"/>
    </row>
    <row r="797" spans="7:10" x14ac:dyDescent="0.25">
      <c r="G797" s="34"/>
      <c r="H797" s="111"/>
      <c r="J797" s="31"/>
    </row>
    <row r="798" spans="7:10" x14ac:dyDescent="0.25">
      <c r="G798" s="34"/>
      <c r="H798" s="111"/>
      <c r="J798" s="31"/>
    </row>
    <row r="799" spans="7:10" x14ac:dyDescent="0.25">
      <c r="G799" s="34"/>
      <c r="H799" s="111"/>
      <c r="J799" s="31"/>
    </row>
    <row r="800" spans="7:10" x14ac:dyDescent="0.25">
      <c r="G800" s="34"/>
      <c r="H800" s="111"/>
      <c r="J800" s="31"/>
    </row>
    <row r="801" spans="7:10" x14ac:dyDescent="0.25">
      <c r="G801" s="34"/>
      <c r="H801" s="111"/>
      <c r="J801" s="31"/>
    </row>
    <row r="802" spans="7:10" x14ac:dyDescent="0.25">
      <c r="G802" s="34"/>
      <c r="H802" s="111"/>
      <c r="J802" s="31"/>
    </row>
    <row r="803" spans="7:10" x14ac:dyDescent="0.25">
      <c r="G803" s="34"/>
      <c r="H803" s="111"/>
      <c r="J803" s="31"/>
    </row>
    <row r="804" spans="7:10" x14ac:dyDescent="0.25">
      <c r="G804" s="34"/>
      <c r="H804" s="111"/>
      <c r="J804" s="31"/>
    </row>
    <row r="805" spans="7:10" x14ac:dyDescent="0.25">
      <c r="G805" s="34"/>
      <c r="H805" s="111"/>
      <c r="J805" s="31"/>
    </row>
    <row r="806" spans="7:10" x14ac:dyDescent="0.25">
      <c r="G806" s="34"/>
      <c r="H806" s="111"/>
      <c r="J806" s="31"/>
    </row>
    <row r="807" spans="7:10" x14ac:dyDescent="0.25">
      <c r="G807" s="34"/>
      <c r="H807" s="111"/>
      <c r="J807" s="31"/>
    </row>
    <row r="808" spans="7:10" x14ac:dyDescent="0.25">
      <c r="G808" s="34"/>
      <c r="H808" s="111"/>
      <c r="J808" s="31"/>
    </row>
    <row r="809" spans="7:10" x14ac:dyDescent="0.25">
      <c r="G809" s="34"/>
      <c r="H809" s="111"/>
      <c r="J809" s="31"/>
    </row>
    <row r="810" spans="7:10" x14ac:dyDescent="0.25">
      <c r="G810" s="34"/>
      <c r="H810" s="111"/>
      <c r="J810" s="31"/>
    </row>
    <row r="811" spans="7:10" x14ac:dyDescent="0.25">
      <c r="G811" s="34"/>
      <c r="H811" s="111"/>
      <c r="J811" s="31"/>
    </row>
    <row r="812" spans="7:10" x14ac:dyDescent="0.25">
      <c r="G812" s="34"/>
      <c r="H812" s="111"/>
      <c r="J812" s="31"/>
    </row>
    <row r="813" spans="7:10" x14ac:dyDescent="0.25">
      <c r="G813" s="34"/>
      <c r="H813" s="111"/>
      <c r="J813" s="31"/>
    </row>
    <row r="814" spans="7:10" x14ac:dyDescent="0.25">
      <c r="G814" s="34"/>
      <c r="H814" s="111"/>
      <c r="J814" s="31"/>
    </row>
    <row r="815" spans="7:10" x14ac:dyDescent="0.25">
      <c r="G815" s="34"/>
      <c r="H815" s="111"/>
      <c r="J815" s="31"/>
    </row>
    <row r="816" spans="7:10" x14ac:dyDescent="0.25">
      <c r="G816" s="34"/>
      <c r="H816" s="111"/>
      <c r="J816" s="31"/>
    </row>
    <row r="817" spans="7:10" x14ac:dyDescent="0.25">
      <c r="G817" s="34"/>
      <c r="H817" s="111"/>
      <c r="J817" s="31"/>
    </row>
    <row r="818" spans="7:10" x14ac:dyDescent="0.25">
      <c r="G818" s="34"/>
      <c r="H818" s="111"/>
      <c r="J818" s="31"/>
    </row>
    <row r="819" spans="7:10" x14ac:dyDescent="0.25">
      <c r="G819" s="34"/>
      <c r="H819" s="111"/>
      <c r="J819" s="31"/>
    </row>
    <row r="820" spans="7:10" x14ac:dyDescent="0.25">
      <c r="G820" s="34"/>
      <c r="H820" s="111"/>
      <c r="J820" s="31"/>
    </row>
    <row r="821" spans="7:10" x14ac:dyDescent="0.25">
      <c r="G821" s="34"/>
      <c r="H821" s="111"/>
      <c r="J821" s="31"/>
    </row>
    <row r="822" spans="7:10" x14ac:dyDescent="0.25">
      <c r="G822" s="34"/>
      <c r="H822" s="111"/>
      <c r="J822" s="31"/>
    </row>
    <row r="823" spans="7:10" x14ac:dyDescent="0.25">
      <c r="G823" s="34"/>
      <c r="H823" s="111"/>
      <c r="J823" s="31"/>
    </row>
    <row r="824" spans="7:10" x14ac:dyDescent="0.25">
      <c r="G824" s="34"/>
      <c r="H824" s="111"/>
      <c r="J824" s="31"/>
    </row>
    <row r="825" spans="7:10" x14ac:dyDescent="0.25">
      <c r="G825" s="34"/>
      <c r="H825" s="111"/>
      <c r="J825" s="31"/>
    </row>
    <row r="826" spans="7:10" x14ac:dyDescent="0.25">
      <c r="G826" s="34"/>
      <c r="H826" s="111"/>
      <c r="J826" s="31"/>
    </row>
    <row r="827" spans="7:10" x14ac:dyDescent="0.25">
      <c r="G827" s="34"/>
      <c r="H827" s="111"/>
      <c r="J827" s="31"/>
    </row>
    <row r="828" spans="7:10" x14ac:dyDescent="0.25">
      <c r="G828" s="34"/>
      <c r="H828" s="111"/>
      <c r="J828" s="31"/>
    </row>
    <row r="829" spans="7:10" x14ac:dyDescent="0.25">
      <c r="G829" s="34"/>
      <c r="H829" s="111"/>
      <c r="J829" s="31"/>
    </row>
    <row r="830" spans="7:10" x14ac:dyDescent="0.25">
      <c r="G830" s="34"/>
      <c r="H830" s="111"/>
      <c r="J830" s="31"/>
    </row>
    <row r="831" spans="7:10" x14ac:dyDescent="0.25">
      <c r="G831" s="34"/>
      <c r="H831" s="111"/>
      <c r="J831" s="31"/>
    </row>
    <row r="832" spans="7:10" x14ac:dyDescent="0.25">
      <c r="G832" s="34"/>
      <c r="H832" s="111"/>
      <c r="J832" s="31"/>
    </row>
    <row r="833" spans="7:10" x14ac:dyDescent="0.25">
      <c r="G833" s="34"/>
      <c r="H833" s="111"/>
      <c r="J833" s="31"/>
    </row>
    <row r="834" spans="7:10" x14ac:dyDescent="0.25">
      <c r="G834" s="34"/>
      <c r="H834" s="111"/>
      <c r="J834" s="31"/>
    </row>
    <row r="835" spans="7:10" x14ac:dyDescent="0.25">
      <c r="G835" s="34"/>
      <c r="H835" s="111"/>
      <c r="J835" s="31"/>
    </row>
    <row r="836" spans="7:10" x14ac:dyDescent="0.25">
      <c r="G836" s="34"/>
      <c r="H836" s="111"/>
      <c r="J836" s="31"/>
    </row>
    <row r="837" spans="7:10" x14ac:dyDescent="0.25">
      <c r="G837" s="34"/>
      <c r="H837" s="111"/>
      <c r="J837" s="31"/>
    </row>
    <row r="838" spans="7:10" x14ac:dyDescent="0.25">
      <c r="G838" s="34"/>
      <c r="H838" s="111"/>
      <c r="J838" s="31"/>
    </row>
    <row r="839" spans="7:10" x14ac:dyDescent="0.25">
      <c r="G839" s="34"/>
      <c r="H839" s="111"/>
      <c r="J839" s="31"/>
    </row>
    <row r="840" spans="7:10" x14ac:dyDescent="0.25">
      <c r="G840" s="34"/>
      <c r="H840" s="111"/>
      <c r="J840" s="31"/>
    </row>
    <row r="841" spans="7:10" x14ac:dyDescent="0.25">
      <c r="G841" s="34"/>
      <c r="H841" s="111"/>
      <c r="J841" s="31"/>
    </row>
    <row r="842" spans="7:10" x14ac:dyDescent="0.25">
      <c r="G842" s="34"/>
      <c r="H842" s="111"/>
      <c r="J842" s="31"/>
    </row>
    <row r="843" spans="7:10" x14ac:dyDescent="0.25">
      <c r="G843" s="34"/>
      <c r="H843" s="111"/>
      <c r="J843" s="31"/>
    </row>
    <row r="844" spans="7:10" x14ac:dyDescent="0.25">
      <c r="G844" s="34"/>
      <c r="H844" s="111"/>
      <c r="J844" s="31"/>
    </row>
    <row r="845" spans="7:10" x14ac:dyDescent="0.25">
      <c r="G845" s="34"/>
      <c r="H845" s="111"/>
      <c r="J845" s="31"/>
    </row>
    <row r="846" spans="7:10" x14ac:dyDescent="0.25">
      <c r="G846" s="34"/>
      <c r="H846" s="111"/>
      <c r="J846" s="31"/>
    </row>
    <row r="847" spans="7:10" x14ac:dyDescent="0.25">
      <c r="G847" s="34"/>
      <c r="H847" s="111"/>
      <c r="J847" s="31"/>
    </row>
    <row r="848" spans="7:10" x14ac:dyDescent="0.25">
      <c r="G848" s="34"/>
      <c r="H848" s="111"/>
      <c r="J848" s="31"/>
    </row>
    <row r="849" spans="7:10" x14ac:dyDescent="0.25">
      <c r="G849" s="34"/>
      <c r="H849" s="111"/>
      <c r="J849" s="31"/>
    </row>
    <row r="850" spans="7:10" x14ac:dyDescent="0.25">
      <c r="G850" s="34"/>
      <c r="H850" s="111"/>
      <c r="J850" s="31"/>
    </row>
    <row r="851" spans="7:10" x14ac:dyDescent="0.25">
      <c r="G851" s="34"/>
      <c r="H851" s="111"/>
      <c r="J851" s="31"/>
    </row>
    <row r="852" spans="7:10" x14ac:dyDescent="0.25">
      <c r="G852" s="34"/>
      <c r="H852" s="111"/>
      <c r="J852" s="31"/>
    </row>
    <row r="853" spans="7:10" x14ac:dyDescent="0.25">
      <c r="G853" s="34"/>
      <c r="H853" s="111"/>
      <c r="J853" s="31"/>
    </row>
    <row r="854" spans="7:10" x14ac:dyDescent="0.25">
      <c r="G854" s="34"/>
      <c r="H854" s="111"/>
      <c r="J854" s="31"/>
    </row>
    <row r="855" spans="7:10" x14ac:dyDescent="0.25">
      <c r="G855" s="34"/>
      <c r="H855" s="111"/>
      <c r="J855" s="31"/>
    </row>
    <row r="856" spans="7:10" x14ac:dyDescent="0.25">
      <c r="G856" s="34"/>
      <c r="H856" s="111"/>
      <c r="J856" s="31"/>
    </row>
    <row r="857" spans="7:10" x14ac:dyDescent="0.25">
      <c r="G857" s="34"/>
      <c r="H857" s="111"/>
      <c r="J857" s="31"/>
    </row>
    <row r="858" spans="7:10" x14ac:dyDescent="0.25">
      <c r="G858" s="34"/>
      <c r="H858" s="111"/>
      <c r="J858" s="31"/>
    </row>
    <row r="859" spans="7:10" x14ac:dyDescent="0.25">
      <c r="G859" s="34"/>
      <c r="H859" s="111"/>
      <c r="J859" s="31"/>
    </row>
    <row r="860" spans="7:10" x14ac:dyDescent="0.25">
      <c r="G860" s="34"/>
      <c r="H860" s="111"/>
      <c r="J860" s="31"/>
    </row>
    <row r="861" spans="7:10" x14ac:dyDescent="0.25">
      <c r="G861" s="34"/>
      <c r="H861" s="111"/>
      <c r="J861" s="31"/>
    </row>
    <row r="862" spans="7:10" x14ac:dyDescent="0.25">
      <c r="G862" s="34"/>
      <c r="H862" s="111"/>
      <c r="J862" s="31"/>
    </row>
    <row r="863" spans="7:10" x14ac:dyDescent="0.25">
      <c r="G863" s="34"/>
      <c r="H863" s="111"/>
      <c r="J863" s="31"/>
    </row>
    <row r="864" spans="7:10" x14ac:dyDescent="0.25">
      <c r="G864" s="34"/>
      <c r="H864" s="111"/>
      <c r="J864" s="31"/>
    </row>
    <row r="865" spans="7:10" x14ac:dyDescent="0.25">
      <c r="G865" s="34"/>
      <c r="H865" s="111"/>
      <c r="J865" s="31"/>
    </row>
    <row r="866" spans="7:10" x14ac:dyDescent="0.25">
      <c r="G866" s="34"/>
      <c r="H866" s="111"/>
      <c r="J866" s="31"/>
    </row>
    <row r="867" spans="7:10" x14ac:dyDescent="0.25">
      <c r="G867" s="34"/>
      <c r="H867" s="111"/>
      <c r="J867" s="31"/>
    </row>
    <row r="868" spans="7:10" x14ac:dyDescent="0.25">
      <c r="G868" s="34"/>
      <c r="H868" s="111"/>
      <c r="J868" s="31"/>
    </row>
    <row r="869" spans="7:10" x14ac:dyDescent="0.25">
      <c r="G869" s="34"/>
      <c r="H869" s="111"/>
      <c r="J869" s="31"/>
    </row>
    <row r="870" spans="7:10" x14ac:dyDescent="0.25">
      <c r="G870" s="34"/>
      <c r="H870" s="111"/>
      <c r="J870" s="31"/>
    </row>
    <row r="871" spans="7:10" x14ac:dyDescent="0.25">
      <c r="G871" s="34"/>
      <c r="H871" s="111"/>
      <c r="J871" s="31"/>
    </row>
    <row r="872" spans="7:10" x14ac:dyDescent="0.25">
      <c r="G872" s="34"/>
      <c r="H872" s="111"/>
      <c r="J872" s="31"/>
    </row>
    <row r="873" spans="7:10" x14ac:dyDescent="0.25">
      <c r="G873" s="34"/>
      <c r="H873" s="111"/>
      <c r="J873" s="31"/>
    </row>
    <row r="874" spans="7:10" x14ac:dyDescent="0.25">
      <c r="G874" s="34"/>
      <c r="H874" s="111"/>
      <c r="J874" s="31"/>
    </row>
    <row r="875" spans="7:10" x14ac:dyDescent="0.25">
      <c r="G875" s="34"/>
      <c r="H875" s="111"/>
      <c r="J875" s="31"/>
    </row>
    <row r="876" spans="7:10" x14ac:dyDescent="0.25">
      <c r="G876" s="34"/>
      <c r="H876" s="111"/>
      <c r="J876" s="31"/>
    </row>
    <row r="877" spans="7:10" x14ac:dyDescent="0.25">
      <c r="G877" s="34"/>
      <c r="H877" s="111"/>
      <c r="J877" s="31"/>
    </row>
    <row r="878" spans="7:10" x14ac:dyDescent="0.25">
      <c r="G878" s="34"/>
      <c r="H878" s="111"/>
      <c r="J878" s="31"/>
    </row>
    <row r="879" spans="7:10" x14ac:dyDescent="0.25">
      <c r="G879" s="34"/>
      <c r="H879" s="111"/>
      <c r="J879" s="31"/>
    </row>
    <row r="880" spans="7:10" x14ac:dyDescent="0.25">
      <c r="G880" s="34"/>
      <c r="H880" s="111"/>
      <c r="J880" s="31"/>
    </row>
    <row r="881" spans="7:10" x14ac:dyDescent="0.25">
      <c r="G881" s="34"/>
      <c r="H881" s="111"/>
      <c r="J881" s="31"/>
    </row>
    <row r="882" spans="7:10" x14ac:dyDescent="0.25">
      <c r="G882" s="34"/>
      <c r="H882" s="111"/>
      <c r="J882" s="31"/>
    </row>
    <row r="883" spans="7:10" x14ac:dyDescent="0.25">
      <c r="G883" s="34"/>
      <c r="H883" s="111"/>
      <c r="J883" s="31"/>
    </row>
    <row r="884" spans="7:10" x14ac:dyDescent="0.25">
      <c r="G884" s="34"/>
      <c r="H884" s="111"/>
      <c r="J884" s="31"/>
    </row>
    <row r="885" spans="7:10" x14ac:dyDescent="0.25">
      <c r="G885" s="34"/>
      <c r="H885" s="111"/>
      <c r="J885" s="31"/>
    </row>
    <row r="886" spans="7:10" x14ac:dyDescent="0.25">
      <c r="G886" s="34"/>
      <c r="H886" s="111"/>
      <c r="J886" s="31"/>
    </row>
    <row r="887" spans="7:10" x14ac:dyDescent="0.25">
      <c r="G887" s="34"/>
      <c r="H887" s="111"/>
      <c r="J887" s="31"/>
    </row>
    <row r="888" spans="7:10" x14ac:dyDescent="0.25">
      <c r="G888" s="34"/>
      <c r="H888" s="111"/>
      <c r="J888" s="31"/>
    </row>
    <row r="889" spans="7:10" x14ac:dyDescent="0.25">
      <c r="G889" s="34"/>
      <c r="H889" s="111"/>
      <c r="J889" s="31"/>
    </row>
    <row r="890" spans="7:10" x14ac:dyDescent="0.25">
      <c r="G890" s="34"/>
      <c r="H890" s="111"/>
      <c r="J890" s="31"/>
    </row>
    <row r="891" spans="7:10" x14ac:dyDescent="0.25">
      <c r="G891" s="34"/>
      <c r="H891" s="111"/>
      <c r="J891" s="31"/>
    </row>
    <row r="892" spans="7:10" x14ac:dyDescent="0.25">
      <c r="G892" s="34"/>
      <c r="H892" s="111"/>
      <c r="J892" s="31"/>
    </row>
    <row r="893" spans="7:10" x14ac:dyDescent="0.25">
      <c r="G893" s="34"/>
      <c r="H893" s="111"/>
      <c r="J893" s="31"/>
    </row>
    <row r="894" spans="7:10" x14ac:dyDescent="0.25">
      <c r="G894" s="34"/>
      <c r="H894" s="111"/>
      <c r="J894" s="31"/>
    </row>
    <row r="895" spans="7:10" x14ac:dyDescent="0.25">
      <c r="G895" s="34"/>
      <c r="H895" s="111"/>
      <c r="J895" s="31"/>
    </row>
    <row r="896" spans="7:10" x14ac:dyDescent="0.25">
      <c r="G896" s="34"/>
      <c r="H896" s="111"/>
      <c r="J896" s="31"/>
    </row>
    <row r="897" spans="7:10" x14ac:dyDescent="0.25">
      <c r="G897" s="34"/>
      <c r="H897" s="111"/>
      <c r="J897" s="31"/>
    </row>
    <row r="898" spans="7:10" x14ac:dyDescent="0.25">
      <c r="G898" s="34"/>
      <c r="H898" s="111"/>
      <c r="J898" s="31"/>
    </row>
    <row r="899" spans="7:10" x14ac:dyDescent="0.25">
      <c r="G899" s="34"/>
      <c r="H899" s="111"/>
      <c r="J899" s="31"/>
    </row>
    <row r="900" spans="7:10" x14ac:dyDescent="0.25">
      <c r="G900" s="34"/>
      <c r="H900" s="111"/>
      <c r="J900" s="31"/>
    </row>
    <row r="901" spans="7:10" x14ac:dyDescent="0.25">
      <c r="G901" s="34"/>
      <c r="H901" s="111"/>
      <c r="J901" s="31"/>
    </row>
    <row r="902" spans="7:10" x14ac:dyDescent="0.25">
      <c r="G902" s="34"/>
      <c r="H902" s="111"/>
      <c r="J902" s="31"/>
    </row>
    <row r="903" spans="7:10" x14ac:dyDescent="0.25">
      <c r="G903" s="34"/>
      <c r="H903" s="111"/>
      <c r="J903" s="31"/>
    </row>
    <row r="904" spans="7:10" x14ac:dyDescent="0.25">
      <c r="G904" s="34"/>
      <c r="H904" s="111"/>
      <c r="J904" s="31"/>
    </row>
    <row r="905" spans="7:10" x14ac:dyDescent="0.25">
      <c r="G905" s="34"/>
      <c r="H905" s="111"/>
      <c r="J905" s="31"/>
    </row>
    <row r="906" spans="7:10" x14ac:dyDescent="0.25">
      <c r="G906" s="34"/>
      <c r="H906" s="111"/>
      <c r="J906" s="31"/>
    </row>
    <row r="907" spans="7:10" x14ac:dyDescent="0.25">
      <c r="G907" s="34"/>
      <c r="H907" s="111"/>
      <c r="J907" s="31"/>
    </row>
    <row r="908" spans="7:10" x14ac:dyDescent="0.25">
      <c r="G908" s="34"/>
      <c r="H908" s="111"/>
      <c r="J908" s="31"/>
    </row>
    <row r="909" spans="7:10" x14ac:dyDescent="0.25">
      <c r="G909" s="34"/>
      <c r="H909" s="111"/>
      <c r="J909" s="31"/>
    </row>
    <row r="910" spans="7:10" x14ac:dyDescent="0.25">
      <c r="G910" s="34"/>
      <c r="H910" s="111"/>
      <c r="J910" s="31"/>
    </row>
    <row r="911" spans="7:10" x14ac:dyDescent="0.25">
      <c r="G911" s="34"/>
      <c r="H911" s="111"/>
      <c r="J911" s="31"/>
    </row>
    <row r="912" spans="7:10" x14ac:dyDescent="0.25">
      <c r="G912" s="34"/>
      <c r="H912" s="111"/>
      <c r="J912" s="31"/>
    </row>
    <row r="913" spans="7:10" x14ac:dyDescent="0.25">
      <c r="G913" s="34"/>
      <c r="H913" s="111"/>
      <c r="J913" s="31"/>
    </row>
    <row r="914" spans="7:10" x14ac:dyDescent="0.25">
      <c r="G914" s="34"/>
      <c r="H914" s="111"/>
      <c r="J914" s="31"/>
    </row>
    <row r="915" spans="7:10" x14ac:dyDescent="0.25">
      <c r="G915" s="34"/>
      <c r="H915" s="111"/>
      <c r="J915" s="31"/>
    </row>
    <row r="916" spans="7:10" x14ac:dyDescent="0.25">
      <c r="G916" s="34"/>
      <c r="H916" s="111"/>
      <c r="J916" s="31"/>
    </row>
    <row r="917" spans="7:10" x14ac:dyDescent="0.25">
      <c r="G917" s="34"/>
      <c r="H917" s="111"/>
      <c r="J917" s="31"/>
    </row>
    <row r="918" spans="7:10" x14ac:dyDescent="0.25">
      <c r="G918" s="34"/>
      <c r="H918" s="111"/>
      <c r="J918" s="31"/>
    </row>
    <row r="919" spans="7:10" x14ac:dyDescent="0.25">
      <c r="G919" s="34"/>
      <c r="H919" s="111"/>
      <c r="J919" s="31"/>
    </row>
    <row r="920" spans="7:10" x14ac:dyDescent="0.25">
      <c r="G920" s="34"/>
      <c r="H920" s="111"/>
      <c r="J920" s="31"/>
    </row>
    <row r="921" spans="7:10" x14ac:dyDescent="0.25">
      <c r="G921" s="34"/>
      <c r="H921" s="111"/>
      <c r="J921" s="31"/>
    </row>
    <row r="922" spans="7:10" x14ac:dyDescent="0.25">
      <c r="G922" s="34"/>
      <c r="H922" s="111"/>
      <c r="J922" s="31"/>
    </row>
    <row r="923" spans="7:10" x14ac:dyDescent="0.25">
      <c r="G923" s="34"/>
      <c r="H923" s="111"/>
      <c r="J923" s="31"/>
    </row>
    <row r="924" spans="7:10" x14ac:dyDescent="0.25">
      <c r="G924" s="34"/>
      <c r="H924" s="111"/>
      <c r="J924" s="31"/>
    </row>
    <row r="925" spans="7:10" x14ac:dyDescent="0.25">
      <c r="G925" s="34"/>
      <c r="H925" s="111"/>
      <c r="J925" s="31"/>
    </row>
    <row r="926" spans="7:10" x14ac:dyDescent="0.25">
      <c r="G926" s="34"/>
      <c r="H926" s="111"/>
      <c r="J926" s="31"/>
    </row>
    <row r="927" spans="7:10" x14ac:dyDescent="0.25">
      <c r="G927" s="34"/>
      <c r="H927" s="111"/>
      <c r="J927" s="31"/>
    </row>
    <row r="928" spans="7:10" x14ac:dyDescent="0.25">
      <c r="G928" s="34"/>
      <c r="H928" s="111"/>
      <c r="J928" s="31"/>
    </row>
    <row r="929" spans="7:10" x14ac:dyDescent="0.25">
      <c r="G929" s="34"/>
      <c r="H929" s="111"/>
      <c r="J929" s="31"/>
    </row>
    <row r="930" spans="7:10" x14ac:dyDescent="0.25">
      <c r="G930" s="34"/>
      <c r="H930" s="111"/>
      <c r="J930" s="31"/>
    </row>
    <row r="931" spans="7:10" x14ac:dyDescent="0.25">
      <c r="G931" s="34"/>
      <c r="H931" s="111"/>
      <c r="J931" s="31"/>
    </row>
    <row r="932" spans="7:10" x14ac:dyDescent="0.25">
      <c r="G932" s="34"/>
      <c r="H932" s="111"/>
      <c r="J932" s="31"/>
    </row>
    <row r="933" spans="7:10" x14ac:dyDescent="0.25">
      <c r="G933" s="34"/>
      <c r="H933" s="111"/>
      <c r="J933" s="31"/>
    </row>
    <row r="934" spans="7:10" x14ac:dyDescent="0.25">
      <c r="G934" s="34"/>
      <c r="H934" s="111"/>
      <c r="J934" s="31"/>
    </row>
    <row r="935" spans="7:10" x14ac:dyDescent="0.25">
      <c r="G935" s="34"/>
      <c r="H935" s="111"/>
      <c r="J935" s="31"/>
    </row>
    <row r="936" spans="7:10" x14ac:dyDescent="0.25">
      <c r="G936" s="34"/>
      <c r="H936" s="111"/>
      <c r="J936" s="31"/>
    </row>
    <row r="937" spans="7:10" x14ac:dyDescent="0.25">
      <c r="G937" s="34"/>
      <c r="H937" s="111"/>
      <c r="J937" s="31"/>
    </row>
    <row r="938" spans="7:10" x14ac:dyDescent="0.25">
      <c r="G938" s="34"/>
      <c r="H938" s="111"/>
      <c r="J938" s="31"/>
    </row>
    <row r="939" spans="7:10" x14ac:dyDescent="0.25">
      <c r="G939" s="34"/>
      <c r="H939" s="111"/>
      <c r="J939" s="31"/>
    </row>
    <row r="940" spans="7:10" x14ac:dyDescent="0.25">
      <c r="G940" s="34"/>
      <c r="H940" s="111"/>
      <c r="J940" s="31"/>
    </row>
    <row r="941" spans="7:10" x14ac:dyDescent="0.25">
      <c r="G941" s="34"/>
      <c r="H941" s="111"/>
      <c r="J941" s="31"/>
    </row>
    <row r="942" spans="7:10" x14ac:dyDescent="0.25">
      <c r="G942" s="34"/>
      <c r="H942" s="111"/>
      <c r="J942" s="31"/>
    </row>
    <row r="943" spans="7:10" x14ac:dyDescent="0.25">
      <c r="G943" s="34"/>
      <c r="H943" s="111"/>
      <c r="J943" s="31"/>
    </row>
    <row r="944" spans="7:10" x14ac:dyDescent="0.25">
      <c r="G944" s="34"/>
      <c r="H944" s="111"/>
      <c r="J944" s="31"/>
    </row>
    <row r="945" spans="7:10" x14ac:dyDescent="0.25">
      <c r="G945" s="34"/>
      <c r="H945" s="111"/>
      <c r="J945" s="31"/>
    </row>
    <row r="946" spans="7:10" x14ac:dyDescent="0.25">
      <c r="G946" s="34"/>
      <c r="H946" s="111"/>
      <c r="J946" s="25"/>
    </row>
    <row r="947" spans="7:10" x14ac:dyDescent="0.25">
      <c r="G947" s="34"/>
      <c r="H947" s="111"/>
      <c r="J947" s="25"/>
    </row>
    <row r="948" spans="7:10" x14ac:dyDescent="0.25">
      <c r="G948" s="34"/>
      <c r="H948" s="111"/>
      <c r="J948" s="25"/>
    </row>
    <row r="949" spans="7:10" x14ac:dyDescent="0.25">
      <c r="G949" s="34"/>
      <c r="H949" s="111"/>
      <c r="J949" s="25"/>
    </row>
    <row r="950" spans="7:10" x14ac:dyDescent="0.25">
      <c r="G950" s="34"/>
      <c r="H950" s="111"/>
      <c r="J950" s="25"/>
    </row>
    <row r="951" spans="7:10" x14ac:dyDescent="0.25">
      <c r="G951" s="34"/>
      <c r="H951" s="111"/>
      <c r="J951" s="25"/>
    </row>
    <row r="952" spans="7:10" x14ac:dyDescent="0.25">
      <c r="G952" s="34"/>
      <c r="H952" s="111"/>
      <c r="J952" s="25"/>
    </row>
    <row r="953" spans="7:10" x14ac:dyDescent="0.25">
      <c r="G953" s="34"/>
      <c r="H953" s="111"/>
      <c r="J953" s="25"/>
    </row>
    <row r="954" spans="7:10" x14ac:dyDescent="0.25">
      <c r="G954" s="34"/>
      <c r="H954" s="111"/>
      <c r="J954" s="25"/>
    </row>
    <row r="955" spans="7:10" x14ac:dyDescent="0.25">
      <c r="G955" s="34"/>
      <c r="H955" s="111"/>
      <c r="J955" s="25"/>
    </row>
    <row r="956" spans="7:10" x14ac:dyDescent="0.25">
      <c r="G956" s="34"/>
      <c r="H956" s="111"/>
      <c r="J956" s="25"/>
    </row>
    <row r="957" spans="7:10" x14ac:dyDescent="0.25">
      <c r="G957" s="34"/>
      <c r="H957" s="111"/>
      <c r="J957" s="25"/>
    </row>
    <row r="958" spans="7:10" x14ac:dyDescent="0.25">
      <c r="G958" s="34"/>
      <c r="H958" s="111"/>
      <c r="J958" s="25"/>
    </row>
    <row r="959" spans="7:10" x14ac:dyDescent="0.25">
      <c r="G959" s="34"/>
      <c r="H959" s="111"/>
      <c r="J959" s="25"/>
    </row>
    <row r="960" spans="7:10" x14ac:dyDescent="0.25">
      <c r="G960" s="34"/>
      <c r="H960" s="111"/>
      <c r="J960" s="25"/>
    </row>
    <row r="961" spans="7:10" x14ac:dyDescent="0.25">
      <c r="G961" s="34"/>
      <c r="H961" s="111"/>
      <c r="J961" s="25"/>
    </row>
    <row r="962" spans="7:10" x14ac:dyDescent="0.25">
      <c r="G962" s="34"/>
      <c r="H962" s="111"/>
      <c r="J962" s="25"/>
    </row>
    <row r="963" spans="7:10" x14ac:dyDescent="0.25">
      <c r="G963" s="34"/>
      <c r="H963" s="111"/>
      <c r="J963" s="25"/>
    </row>
    <row r="964" spans="7:10" x14ac:dyDescent="0.25">
      <c r="G964" s="34"/>
      <c r="H964" s="111"/>
      <c r="J964" s="25"/>
    </row>
    <row r="965" spans="7:10" x14ac:dyDescent="0.25">
      <c r="G965" s="34"/>
      <c r="H965" s="111"/>
      <c r="J965" s="25"/>
    </row>
    <row r="966" spans="7:10" x14ac:dyDescent="0.25">
      <c r="G966" s="34"/>
      <c r="H966" s="111"/>
      <c r="J966" s="25"/>
    </row>
    <row r="967" spans="7:10" x14ac:dyDescent="0.25">
      <c r="G967" s="34"/>
      <c r="H967" s="111"/>
      <c r="J967" s="25"/>
    </row>
    <row r="968" spans="7:10" x14ac:dyDescent="0.25">
      <c r="G968" s="34"/>
      <c r="H968" s="111"/>
      <c r="J968" s="25"/>
    </row>
    <row r="969" spans="7:10" x14ac:dyDescent="0.25">
      <c r="G969" s="34"/>
      <c r="H969" s="111"/>
      <c r="J969" s="25"/>
    </row>
    <row r="970" spans="7:10" x14ac:dyDescent="0.25">
      <c r="G970" s="34"/>
      <c r="H970" s="111"/>
      <c r="J970" s="25"/>
    </row>
    <row r="971" spans="7:10" x14ac:dyDescent="0.25">
      <c r="G971" s="34"/>
      <c r="H971" s="111"/>
      <c r="J971" s="25"/>
    </row>
    <row r="972" spans="7:10" x14ac:dyDescent="0.25">
      <c r="G972" s="34"/>
      <c r="H972" s="111"/>
      <c r="J972" s="25"/>
    </row>
    <row r="973" spans="7:10" x14ac:dyDescent="0.25">
      <c r="G973" s="34"/>
      <c r="H973" s="111"/>
      <c r="J973" s="25"/>
    </row>
    <row r="974" spans="7:10" x14ac:dyDescent="0.25">
      <c r="G974" s="34"/>
      <c r="H974" s="111"/>
      <c r="J974" s="25"/>
    </row>
    <row r="975" spans="7:10" x14ac:dyDescent="0.25">
      <c r="G975" s="34"/>
      <c r="H975" s="111"/>
      <c r="J975" s="25"/>
    </row>
    <row r="976" spans="7:10" x14ac:dyDescent="0.25">
      <c r="H976" s="111"/>
      <c r="J976" s="25"/>
    </row>
    <row r="977" spans="8:10" x14ac:dyDescent="0.25">
      <c r="H977" s="111"/>
      <c r="J977" s="25"/>
    </row>
    <row r="978" spans="8:10" x14ac:dyDescent="0.25">
      <c r="H978" s="111"/>
      <c r="J978" s="25"/>
    </row>
    <row r="979" spans="8:10" x14ac:dyDescent="0.25">
      <c r="H979" s="111"/>
      <c r="J979" s="25"/>
    </row>
    <row r="980" spans="8:10" x14ac:dyDescent="0.25">
      <c r="H980" s="111"/>
      <c r="J980" s="25"/>
    </row>
    <row r="981" spans="8:10" x14ac:dyDescent="0.25">
      <c r="H981" s="111"/>
      <c r="J981" s="25"/>
    </row>
    <row r="982" spans="8:10" x14ac:dyDescent="0.25">
      <c r="J982" s="25"/>
    </row>
    <row r="983" spans="8:10" x14ac:dyDescent="0.25">
      <c r="J983" s="25"/>
    </row>
    <row r="984" spans="8:10" x14ac:dyDescent="0.25">
      <c r="J984" s="25"/>
    </row>
    <row r="985" spans="8:10" x14ac:dyDescent="0.25">
      <c r="J985" s="25"/>
    </row>
    <row r="986" spans="8:10" x14ac:dyDescent="0.25">
      <c r="J986" s="25"/>
    </row>
  </sheetData>
  <mergeCells count="4">
    <mergeCell ref="A1:J1"/>
    <mergeCell ref="B12:E12"/>
    <mergeCell ref="G12:I12"/>
    <mergeCell ref="L36:R36"/>
  </mergeCells>
  <pageMargins left="0" right="0" top="0" bottom="0" header="0" footer="0"/>
  <pageSetup paperSize="9" scale="67" fitToHeight="0" orientation="portrait" r:id="rId1"/>
  <rowBreaks count="1" manualBreakCount="1">
    <brk id="68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>
    <pageSetUpPr fitToPage="1"/>
  </sheetPr>
  <dimension ref="A1:AK192"/>
  <sheetViews>
    <sheetView zoomScale="55" zoomScaleNormal="55" zoomScaleSheetLayoutView="55" workbookViewId="0">
      <selection activeCell="B22" sqref="B22:AB22"/>
    </sheetView>
  </sheetViews>
  <sheetFormatPr defaultColWidth="10.7109375" defaultRowHeight="26.25" x14ac:dyDescent="0.4"/>
  <cols>
    <col min="1" max="1" width="10.7109375" style="16" customWidth="1"/>
    <col min="2" max="2" width="12.5703125" style="16" customWidth="1"/>
    <col min="3" max="3" width="11.7109375" style="16" customWidth="1"/>
    <col min="4" max="4" width="17.7109375" style="22" customWidth="1"/>
    <col min="5" max="5" width="11.7109375" style="16" customWidth="1"/>
    <col min="6" max="6" width="17.7109375" style="22" customWidth="1"/>
    <col min="7" max="7" width="10.7109375" style="16" customWidth="1"/>
    <col min="8" max="8" width="2.7109375" style="16" customWidth="1"/>
    <col min="9" max="9" width="10.7109375" style="16" customWidth="1"/>
    <col min="10" max="10" width="11.7109375" style="16" customWidth="1"/>
    <col min="11" max="11" width="17.7109375" style="22" customWidth="1"/>
    <col min="12" max="12" width="11.7109375" style="16" customWidth="1"/>
    <col min="13" max="13" width="17.7109375" style="22" customWidth="1"/>
    <col min="14" max="14" width="10.7109375" style="16" customWidth="1"/>
    <col min="15" max="15" width="2.7109375" style="16" customWidth="1"/>
    <col min="16" max="16" width="10.7109375" style="16" customWidth="1"/>
    <col min="17" max="17" width="11.7109375" style="16" customWidth="1"/>
    <col min="18" max="18" width="17.28515625" style="22" bestFit="1" customWidth="1"/>
    <col min="19" max="19" width="11.7109375" style="16" customWidth="1"/>
    <col min="20" max="20" width="17.7109375" style="22" customWidth="1"/>
    <col min="21" max="21" width="10.7109375" style="16" customWidth="1"/>
    <col min="22" max="22" width="2.7109375" style="16" customWidth="1"/>
    <col min="23" max="23" width="10.7109375" style="16" customWidth="1"/>
    <col min="24" max="24" width="11.7109375" style="16" customWidth="1"/>
    <col min="25" max="25" width="17.7109375" style="22" customWidth="1"/>
    <col min="26" max="26" width="11.7109375" style="16" customWidth="1"/>
    <col min="27" max="27" width="17.7109375" style="22" customWidth="1"/>
    <col min="28" max="29" width="10.7109375" style="16" customWidth="1"/>
    <col min="30" max="30" width="16.42578125" style="16" customWidth="1"/>
    <col min="31" max="31" width="21.85546875" style="16" customWidth="1"/>
    <col min="32" max="32" width="15" style="16" bestFit="1" customWidth="1"/>
    <col min="33" max="33" width="14.5703125" style="16" customWidth="1"/>
    <col min="34" max="34" width="16.140625" style="16" customWidth="1"/>
    <col min="35" max="35" width="15.85546875" style="16" customWidth="1"/>
    <col min="36" max="36" width="15.7109375" style="16" customWidth="1"/>
    <col min="37" max="37" width="17.7109375" style="16" customWidth="1"/>
    <col min="38" max="184" width="10.7109375" style="16"/>
    <col min="185" max="185" width="10.7109375" style="16" customWidth="1"/>
    <col min="186" max="186" width="11.7109375" style="16" customWidth="1"/>
    <col min="187" max="187" width="17.7109375" style="16" customWidth="1"/>
    <col min="188" max="188" width="11.7109375" style="16" customWidth="1"/>
    <col min="189" max="189" width="17.7109375" style="16" customWidth="1"/>
    <col min="190" max="190" width="10.7109375" style="16" customWidth="1"/>
    <col min="191" max="191" width="2.7109375" style="16" customWidth="1"/>
    <col min="192" max="192" width="10.7109375" style="16" customWidth="1"/>
    <col min="193" max="193" width="11.7109375" style="16" customWidth="1"/>
    <col min="194" max="194" width="17.7109375" style="16" customWidth="1"/>
    <col min="195" max="195" width="11.7109375" style="16" customWidth="1"/>
    <col min="196" max="196" width="17.7109375" style="16" customWidth="1"/>
    <col min="197" max="197" width="10.7109375" style="16" customWidth="1"/>
    <col min="198" max="198" width="2.7109375" style="16" customWidth="1"/>
    <col min="199" max="199" width="10.7109375" style="16" customWidth="1"/>
    <col min="200" max="200" width="11.7109375" style="16" customWidth="1"/>
    <col min="201" max="201" width="17.7109375" style="16" customWidth="1"/>
    <col min="202" max="202" width="11.7109375" style="16" customWidth="1"/>
    <col min="203" max="203" width="17.7109375" style="16" customWidth="1"/>
    <col min="204" max="204" width="10.7109375" style="16" customWidth="1"/>
    <col min="205" max="205" width="2.7109375" style="16" customWidth="1"/>
    <col min="206" max="206" width="10.7109375" style="16" customWidth="1"/>
    <col min="207" max="207" width="11.7109375" style="16" customWidth="1"/>
    <col min="208" max="208" width="17.7109375" style="16" customWidth="1"/>
    <col min="209" max="209" width="11.7109375" style="16" customWidth="1"/>
    <col min="210" max="210" width="17.7109375" style="16" customWidth="1"/>
    <col min="211" max="211" width="10.7109375" style="16" customWidth="1"/>
    <col min="212" max="440" width="10.7109375" style="16"/>
    <col min="441" max="441" width="10.7109375" style="16" customWidth="1"/>
    <col min="442" max="442" width="11.7109375" style="16" customWidth="1"/>
    <col min="443" max="443" width="17.7109375" style="16" customWidth="1"/>
    <col min="444" max="444" width="11.7109375" style="16" customWidth="1"/>
    <col min="445" max="445" width="17.7109375" style="16" customWidth="1"/>
    <col min="446" max="446" width="10.7109375" style="16" customWidth="1"/>
    <col min="447" max="447" width="2.7109375" style="16" customWidth="1"/>
    <col min="448" max="448" width="10.7109375" style="16" customWidth="1"/>
    <col min="449" max="449" width="11.7109375" style="16" customWidth="1"/>
    <col min="450" max="450" width="17.7109375" style="16" customWidth="1"/>
    <col min="451" max="451" width="11.7109375" style="16" customWidth="1"/>
    <col min="452" max="452" width="17.7109375" style="16" customWidth="1"/>
    <col min="453" max="453" width="10.7109375" style="16" customWidth="1"/>
    <col min="454" max="454" width="2.7109375" style="16" customWidth="1"/>
    <col min="455" max="455" width="10.7109375" style="16" customWidth="1"/>
    <col min="456" max="456" width="11.7109375" style="16" customWidth="1"/>
    <col min="457" max="457" width="17.7109375" style="16" customWidth="1"/>
    <col min="458" max="458" width="11.7109375" style="16" customWidth="1"/>
    <col min="459" max="459" width="17.7109375" style="16" customWidth="1"/>
    <col min="460" max="460" width="10.7109375" style="16" customWidth="1"/>
    <col min="461" max="461" width="2.7109375" style="16" customWidth="1"/>
    <col min="462" max="462" width="10.7109375" style="16" customWidth="1"/>
    <col min="463" max="463" width="11.7109375" style="16" customWidth="1"/>
    <col min="464" max="464" width="17.7109375" style="16" customWidth="1"/>
    <col min="465" max="465" width="11.7109375" style="16" customWidth="1"/>
    <col min="466" max="466" width="17.7109375" style="16" customWidth="1"/>
    <col min="467" max="467" width="10.7109375" style="16" customWidth="1"/>
    <col min="468" max="696" width="10.7109375" style="16"/>
    <col min="697" max="697" width="10.7109375" style="16" customWidth="1"/>
    <col min="698" max="698" width="11.7109375" style="16" customWidth="1"/>
    <col min="699" max="699" width="17.7109375" style="16" customWidth="1"/>
    <col min="700" max="700" width="11.7109375" style="16" customWidth="1"/>
    <col min="701" max="701" width="17.7109375" style="16" customWidth="1"/>
    <col min="702" max="702" width="10.7109375" style="16" customWidth="1"/>
    <col min="703" max="703" width="2.7109375" style="16" customWidth="1"/>
    <col min="704" max="704" width="10.7109375" style="16" customWidth="1"/>
    <col min="705" max="705" width="11.7109375" style="16" customWidth="1"/>
    <col min="706" max="706" width="17.7109375" style="16" customWidth="1"/>
    <col min="707" max="707" width="11.7109375" style="16" customWidth="1"/>
    <col min="708" max="708" width="17.7109375" style="16" customWidth="1"/>
    <col min="709" max="709" width="10.7109375" style="16" customWidth="1"/>
    <col min="710" max="710" width="2.7109375" style="16" customWidth="1"/>
    <col min="711" max="711" width="10.7109375" style="16" customWidth="1"/>
    <col min="712" max="712" width="11.7109375" style="16" customWidth="1"/>
    <col min="713" max="713" width="17.7109375" style="16" customWidth="1"/>
    <col min="714" max="714" width="11.7109375" style="16" customWidth="1"/>
    <col min="715" max="715" width="17.7109375" style="16" customWidth="1"/>
    <col min="716" max="716" width="10.7109375" style="16" customWidth="1"/>
    <col min="717" max="717" width="2.7109375" style="16" customWidth="1"/>
    <col min="718" max="718" width="10.7109375" style="16" customWidth="1"/>
    <col min="719" max="719" width="11.7109375" style="16" customWidth="1"/>
    <col min="720" max="720" width="17.7109375" style="16" customWidth="1"/>
    <col min="721" max="721" width="11.7109375" style="16" customWidth="1"/>
    <col min="722" max="722" width="17.7109375" style="16" customWidth="1"/>
    <col min="723" max="723" width="10.7109375" style="16" customWidth="1"/>
    <col min="724" max="952" width="10.7109375" style="16"/>
    <col min="953" max="953" width="10.7109375" style="16" customWidth="1"/>
    <col min="954" max="954" width="11.7109375" style="16" customWidth="1"/>
    <col min="955" max="955" width="17.7109375" style="16" customWidth="1"/>
    <col min="956" max="956" width="11.7109375" style="16" customWidth="1"/>
    <col min="957" max="957" width="17.7109375" style="16" customWidth="1"/>
    <col min="958" max="958" width="10.7109375" style="16" customWidth="1"/>
    <col min="959" max="959" width="2.7109375" style="16" customWidth="1"/>
    <col min="960" max="960" width="10.7109375" style="16" customWidth="1"/>
    <col min="961" max="961" width="11.7109375" style="16" customWidth="1"/>
    <col min="962" max="962" width="17.7109375" style="16" customWidth="1"/>
    <col min="963" max="963" width="11.7109375" style="16" customWidth="1"/>
    <col min="964" max="964" width="17.7109375" style="16" customWidth="1"/>
    <col min="965" max="965" width="10.7109375" style="16" customWidth="1"/>
    <col min="966" max="966" width="2.7109375" style="16" customWidth="1"/>
    <col min="967" max="967" width="10.7109375" style="16" customWidth="1"/>
    <col min="968" max="968" width="11.7109375" style="16" customWidth="1"/>
    <col min="969" max="969" width="17.7109375" style="16" customWidth="1"/>
    <col min="970" max="970" width="11.7109375" style="16" customWidth="1"/>
    <col min="971" max="971" width="17.7109375" style="16" customWidth="1"/>
    <col min="972" max="972" width="10.7109375" style="16" customWidth="1"/>
    <col min="973" max="973" width="2.7109375" style="16" customWidth="1"/>
    <col min="974" max="974" width="10.7109375" style="16" customWidth="1"/>
    <col min="975" max="975" width="11.7109375" style="16" customWidth="1"/>
    <col min="976" max="976" width="17.7109375" style="16" customWidth="1"/>
    <col min="977" max="977" width="11.7109375" style="16" customWidth="1"/>
    <col min="978" max="978" width="17.7109375" style="16" customWidth="1"/>
    <col min="979" max="979" width="10.7109375" style="16" customWidth="1"/>
    <col min="980" max="1208" width="10.7109375" style="16"/>
    <col min="1209" max="1209" width="10.7109375" style="16" customWidth="1"/>
    <col min="1210" max="1210" width="11.7109375" style="16" customWidth="1"/>
    <col min="1211" max="1211" width="17.7109375" style="16" customWidth="1"/>
    <col min="1212" max="1212" width="11.7109375" style="16" customWidth="1"/>
    <col min="1213" max="1213" width="17.7109375" style="16" customWidth="1"/>
    <col min="1214" max="1214" width="10.7109375" style="16" customWidth="1"/>
    <col min="1215" max="1215" width="2.7109375" style="16" customWidth="1"/>
    <col min="1216" max="1216" width="10.7109375" style="16" customWidth="1"/>
    <col min="1217" max="1217" width="11.7109375" style="16" customWidth="1"/>
    <col min="1218" max="1218" width="17.7109375" style="16" customWidth="1"/>
    <col min="1219" max="1219" width="11.7109375" style="16" customWidth="1"/>
    <col min="1220" max="1220" width="17.7109375" style="16" customWidth="1"/>
    <col min="1221" max="1221" width="10.7109375" style="16" customWidth="1"/>
    <col min="1222" max="1222" width="2.7109375" style="16" customWidth="1"/>
    <col min="1223" max="1223" width="10.7109375" style="16" customWidth="1"/>
    <col min="1224" max="1224" width="11.7109375" style="16" customWidth="1"/>
    <col min="1225" max="1225" width="17.7109375" style="16" customWidth="1"/>
    <col min="1226" max="1226" width="11.7109375" style="16" customWidth="1"/>
    <col min="1227" max="1227" width="17.7109375" style="16" customWidth="1"/>
    <col min="1228" max="1228" width="10.7109375" style="16" customWidth="1"/>
    <col min="1229" max="1229" width="2.7109375" style="16" customWidth="1"/>
    <col min="1230" max="1230" width="10.7109375" style="16" customWidth="1"/>
    <col min="1231" max="1231" width="11.7109375" style="16" customWidth="1"/>
    <col min="1232" max="1232" width="17.7109375" style="16" customWidth="1"/>
    <col min="1233" max="1233" width="11.7109375" style="16" customWidth="1"/>
    <col min="1234" max="1234" width="17.7109375" style="16" customWidth="1"/>
    <col min="1235" max="1235" width="10.7109375" style="16" customWidth="1"/>
    <col min="1236" max="1464" width="10.7109375" style="16"/>
    <col min="1465" max="1465" width="10.7109375" style="16" customWidth="1"/>
    <col min="1466" max="1466" width="11.7109375" style="16" customWidth="1"/>
    <col min="1467" max="1467" width="17.7109375" style="16" customWidth="1"/>
    <col min="1468" max="1468" width="11.7109375" style="16" customWidth="1"/>
    <col min="1469" max="1469" width="17.7109375" style="16" customWidth="1"/>
    <col min="1470" max="1470" width="10.7109375" style="16" customWidth="1"/>
    <col min="1471" max="1471" width="2.7109375" style="16" customWidth="1"/>
    <col min="1472" max="1472" width="10.7109375" style="16" customWidth="1"/>
    <col min="1473" max="1473" width="11.7109375" style="16" customWidth="1"/>
    <col min="1474" max="1474" width="17.7109375" style="16" customWidth="1"/>
    <col min="1475" max="1475" width="11.7109375" style="16" customWidth="1"/>
    <col min="1476" max="1476" width="17.7109375" style="16" customWidth="1"/>
    <col min="1477" max="1477" width="10.7109375" style="16" customWidth="1"/>
    <col min="1478" max="1478" width="2.7109375" style="16" customWidth="1"/>
    <col min="1479" max="1479" width="10.7109375" style="16" customWidth="1"/>
    <col min="1480" max="1480" width="11.7109375" style="16" customWidth="1"/>
    <col min="1481" max="1481" width="17.7109375" style="16" customWidth="1"/>
    <col min="1482" max="1482" width="11.7109375" style="16" customWidth="1"/>
    <col min="1483" max="1483" width="17.7109375" style="16" customWidth="1"/>
    <col min="1484" max="1484" width="10.7109375" style="16" customWidth="1"/>
    <col min="1485" max="1485" width="2.7109375" style="16" customWidth="1"/>
    <col min="1486" max="1486" width="10.7109375" style="16" customWidth="1"/>
    <col min="1487" max="1487" width="11.7109375" style="16" customWidth="1"/>
    <col min="1488" max="1488" width="17.7109375" style="16" customWidth="1"/>
    <col min="1489" max="1489" width="11.7109375" style="16" customWidth="1"/>
    <col min="1490" max="1490" width="17.7109375" style="16" customWidth="1"/>
    <col min="1491" max="1491" width="10.7109375" style="16" customWidth="1"/>
    <col min="1492" max="1720" width="10.7109375" style="16"/>
    <col min="1721" max="1721" width="10.7109375" style="16" customWidth="1"/>
    <col min="1722" max="1722" width="11.7109375" style="16" customWidth="1"/>
    <col min="1723" max="1723" width="17.7109375" style="16" customWidth="1"/>
    <col min="1724" max="1724" width="11.7109375" style="16" customWidth="1"/>
    <col min="1725" max="1725" width="17.7109375" style="16" customWidth="1"/>
    <col min="1726" max="1726" width="10.7109375" style="16" customWidth="1"/>
    <col min="1727" max="1727" width="2.7109375" style="16" customWidth="1"/>
    <col min="1728" max="1728" width="10.7109375" style="16" customWidth="1"/>
    <col min="1729" max="1729" width="11.7109375" style="16" customWidth="1"/>
    <col min="1730" max="1730" width="17.7109375" style="16" customWidth="1"/>
    <col min="1731" max="1731" width="11.7109375" style="16" customWidth="1"/>
    <col min="1732" max="1732" width="17.7109375" style="16" customWidth="1"/>
    <col min="1733" max="1733" width="10.7109375" style="16" customWidth="1"/>
    <col min="1734" max="1734" width="2.7109375" style="16" customWidth="1"/>
    <col min="1735" max="1735" width="10.7109375" style="16" customWidth="1"/>
    <col min="1736" max="1736" width="11.7109375" style="16" customWidth="1"/>
    <col min="1737" max="1737" width="17.7109375" style="16" customWidth="1"/>
    <col min="1738" max="1738" width="11.7109375" style="16" customWidth="1"/>
    <col min="1739" max="1739" width="17.7109375" style="16" customWidth="1"/>
    <col min="1740" max="1740" width="10.7109375" style="16" customWidth="1"/>
    <col min="1741" max="1741" width="2.7109375" style="16" customWidth="1"/>
    <col min="1742" max="1742" width="10.7109375" style="16" customWidth="1"/>
    <col min="1743" max="1743" width="11.7109375" style="16" customWidth="1"/>
    <col min="1744" max="1744" width="17.7109375" style="16" customWidth="1"/>
    <col min="1745" max="1745" width="11.7109375" style="16" customWidth="1"/>
    <col min="1746" max="1746" width="17.7109375" style="16" customWidth="1"/>
    <col min="1747" max="1747" width="10.7109375" style="16" customWidth="1"/>
    <col min="1748" max="1976" width="10.7109375" style="16"/>
    <col min="1977" max="1977" width="10.7109375" style="16" customWidth="1"/>
    <col min="1978" max="1978" width="11.7109375" style="16" customWidth="1"/>
    <col min="1979" max="1979" width="17.7109375" style="16" customWidth="1"/>
    <col min="1980" max="1980" width="11.7109375" style="16" customWidth="1"/>
    <col min="1981" max="1981" width="17.7109375" style="16" customWidth="1"/>
    <col min="1982" max="1982" width="10.7109375" style="16" customWidth="1"/>
    <col min="1983" max="1983" width="2.7109375" style="16" customWidth="1"/>
    <col min="1984" max="1984" width="10.7109375" style="16" customWidth="1"/>
    <col min="1985" max="1985" width="11.7109375" style="16" customWidth="1"/>
    <col min="1986" max="1986" width="17.7109375" style="16" customWidth="1"/>
    <col min="1987" max="1987" width="11.7109375" style="16" customWidth="1"/>
    <col min="1988" max="1988" width="17.7109375" style="16" customWidth="1"/>
    <col min="1989" max="1989" width="10.7109375" style="16" customWidth="1"/>
    <col min="1990" max="1990" width="2.7109375" style="16" customWidth="1"/>
    <col min="1991" max="1991" width="10.7109375" style="16" customWidth="1"/>
    <col min="1992" max="1992" width="11.7109375" style="16" customWidth="1"/>
    <col min="1993" max="1993" width="17.7109375" style="16" customWidth="1"/>
    <col min="1994" max="1994" width="11.7109375" style="16" customWidth="1"/>
    <col min="1995" max="1995" width="17.7109375" style="16" customWidth="1"/>
    <col min="1996" max="1996" width="10.7109375" style="16" customWidth="1"/>
    <col min="1997" max="1997" width="2.7109375" style="16" customWidth="1"/>
    <col min="1998" max="1998" width="10.7109375" style="16" customWidth="1"/>
    <col min="1999" max="1999" width="11.7109375" style="16" customWidth="1"/>
    <col min="2000" max="2000" width="17.7109375" style="16" customWidth="1"/>
    <col min="2001" max="2001" width="11.7109375" style="16" customWidth="1"/>
    <col min="2002" max="2002" width="17.7109375" style="16" customWidth="1"/>
    <col min="2003" max="2003" width="10.7109375" style="16" customWidth="1"/>
    <col min="2004" max="2232" width="10.7109375" style="16"/>
    <col min="2233" max="2233" width="10.7109375" style="16" customWidth="1"/>
    <col min="2234" max="2234" width="11.7109375" style="16" customWidth="1"/>
    <col min="2235" max="2235" width="17.7109375" style="16" customWidth="1"/>
    <col min="2236" max="2236" width="11.7109375" style="16" customWidth="1"/>
    <col min="2237" max="2237" width="17.7109375" style="16" customWidth="1"/>
    <col min="2238" max="2238" width="10.7109375" style="16" customWidth="1"/>
    <col min="2239" max="2239" width="2.7109375" style="16" customWidth="1"/>
    <col min="2240" max="2240" width="10.7109375" style="16" customWidth="1"/>
    <col min="2241" max="2241" width="11.7109375" style="16" customWidth="1"/>
    <col min="2242" max="2242" width="17.7109375" style="16" customWidth="1"/>
    <col min="2243" max="2243" width="11.7109375" style="16" customWidth="1"/>
    <col min="2244" max="2244" width="17.7109375" style="16" customWidth="1"/>
    <col min="2245" max="2245" width="10.7109375" style="16" customWidth="1"/>
    <col min="2246" max="2246" width="2.7109375" style="16" customWidth="1"/>
    <col min="2247" max="2247" width="10.7109375" style="16" customWidth="1"/>
    <col min="2248" max="2248" width="11.7109375" style="16" customWidth="1"/>
    <col min="2249" max="2249" width="17.7109375" style="16" customWidth="1"/>
    <col min="2250" max="2250" width="11.7109375" style="16" customWidth="1"/>
    <col min="2251" max="2251" width="17.7109375" style="16" customWidth="1"/>
    <col min="2252" max="2252" width="10.7109375" style="16" customWidth="1"/>
    <col min="2253" max="2253" width="2.7109375" style="16" customWidth="1"/>
    <col min="2254" max="2254" width="10.7109375" style="16" customWidth="1"/>
    <col min="2255" max="2255" width="11.7109375" style="16" customWidth="1"/>
    <col min="2256" max="2256" width="17.7109375" style="16" customWidth="1"/>
    <col min="2257" max="2257" width="11.7109375" style="16" customWidth="1"/>
    <col min="2258" max="2258" width="17.7109375" style="16" customWidth="1"/>
    <col min="2259" max="2259" width="10.7109375" style="16" customWidth="1"/>
    <col min="2260" max="2488" width="10.7109375" style="16"/>
    <col min="2489" max="2489" width="10.7109375" style="16" customWidth="1"/>
    <col min="2490" max="2490" width="11.7109375" style="16" customWidth="1"/>
    <col min="2491" max="2491" width="17.7109375" style="16" customWidth="1"/>
    <col min="2492" max="2492" width="11.7109375" style="16" customWidth="1"/>
    <col min="2493" max="2493" width="17.7109375" style="16" customWidth="1"/>
    <col min="2494" max="2494" width="10.7109375" style="16" customWidth="1"/>
    <col min="2495" max="2495" width="2.7109375" style="16" customWidth="1"/>
    <col min="2496" max="2496" width="10.7109375" style="16" customWidth="1"/>
    <col min="2497" max="2497" width="11.7109375" style="16" customWidth="1"/>
    <col min="2498" max="2498" width="17.7109375" style="16" customWidth="1"/>
    <col min="2499" max="2499" width="11.7109375" style="16" customWidth="1"/>
    <col min="2500" max="2500" width="17.7109375" style="16" customWidth="1"/>
    <col min="2501" max="2501" width="10.7109375" style="16" customWidth="1"/>
    <col min="2502" max="2502" width="2.7109375" style="16" customWidth="1"/>
    <col min="2503" max="2503" width="10.7109375" style="16" customWidth="1"/>
    <col min="2504" max="2504" width="11.7109375" style="16" customWidth="1"/>
    <col min="2505" max="2505" width="17.7109375" style="16" customWidth="1"/>
    <col min="2506" max="2506" width="11.7109375" style="16" customWidth="1"/>
    <col min="2507" max="2507" width="17.7109375" style="16" customWidth="1"/>
    <col min="2508" max="2508" width="10.7109375" style="16" customWidth="1"/>
    <col min="2509" max="2509" width="2.7109375" style="16" customWidth="1"/>
    <col min="2510" max="2510" width="10.7109375" style="16" customWidth="1"/>
    <col min="2511" max="2511" width="11.7109375" style="16" customWidth="1"/>
    <col min="2512" max="2512" width="17.7109375" style="16" customWidth="1"/>
    <col min="2513" max="2513" width="11.7109375" style="16" customWidth="1"/>
    <col min="2514" max="2514" width="17.7109375" style="16" customWidth="1"/>
    <col min="2515" max="2515" width="10.7109375" style="16" customWidth="1"/>
    <col min="2516" max="2744" width="10.7109375" style="16"/>
    <col min="2745" max="2745" width="10.7109375" style="16" customWidth="1"/>
    <col min="2746" max="2746" width="11.7109375" style="16" customWidth="1"/>
    <col min="2747" max="2747" width="17.7109375" style="16" customWidth="1"/>
    <col min="2748" max="2748" width="11.7109375" style="16" customWidth="1"/>
    <col min="2749" max="2749" width="17.7109375" style="16" customWidth="1"/>
    <col min="2750" max="2750" width="10.7109375" style="16" customWidth="1"/>
    <col min="2751" max="2751" width="2.7109375" style="16" customWidth="1"/>
    <col min="2752" max="2752" width="10.7109375" style="16" customWidth="1"/>
    <col min="2753" max="2753" width="11.7109375" style="16" customWidth="1"/>
    <col min="2754" max="2754" width="17.7109375" style="16" customWidth="1"/>
    <col min="2755" max="2755" width="11.7109375" style="16" customWidth="1"/>
    <col min="2756" max="2756" width="17.7109375" style="16" customWidth="1"/>
    <col min="2757" max="2757" width="10.7109375" style="16" customWidth="1"/>
    <col min="2758" max="2758" width="2.7109375" style="16" customWidth="1"/>
    <col min="2759" max="2759" width="10.7109375" style="16" customWidth="1"/>
    <col min="2760" max="2760" width="11.7109375" style="16" customWidth="1"/>
    <col min="2761" max="2761" width="17.7109375" style="16" customWidth="1"/>
    <col min="2762" max="2762" width="11.7109375" style="16" customWidth="1"/>
    <col min="2763" max="2763" width="17.7109375" style="16" customWidth="1"/>
    <col min="2764" max="2764" width="10.7109375" style="16" customWidth="1"/>
    <col min="2765" max="2765" width="2.7109375" style="16" customWidth="1"/>
    <col min="2766" max="2766" width="10.7109375" style="16" customWidth="1"/>
    <col min="2767" max="2767" width="11.7109375" style="16" customWidth="1"/>
    <col min="2768" max="2768" width="17.7109375" style="16" customWidth="1"/>
    <col min="2769" max="2769" width="11.7109375" style="16" customWidth="1"/>
    <col min="2770" max="2770" width="17.7109375" style="16" customWidth="1"/>
    <col min="2771" max="2771" width="10.7109375" style="16" customWidth="1"/>
    <col min="2772" max="3000" width="10.7109375" style="16"/>
    <col min="3001" max="3001" width="10.7109375" style="16" customWidth="1"/>
    <col min="3002" max="3002" width="11.7109375" style="16" customWidth="1"/>
    <col min="3003" max="3003" width="17.7109375" style="16" customWidth="1"/>
    <col min="3004" max="3004" width="11.7109375" style="16" customWidth="1"/>
    <col min="3005" max="3005" width="17.7109375" style="16" customWidth="1"/>
    <col min="3006" max="3006" width="10.7109375" style="16" customWidth="1"/>
    <col min="3007" max="3007" width="2.7109375" style="16" customWidth="1"/>
    <col min="3008" max="3008" width="10.7109375" style="16" customWidth="1"/>
    <col min="3009" max="3009" width="11.7109375" style="16" customWidth="1"/>
    <col min="3010" max="3010" width="17.7109375" style="16" customWidth="1"/>
    <col min="3011" max="3011" width="11.7109375" style="16" customWidth="1"/>
    <col min="3012" max="3012" width="17.7109375" style="16" customWidth="1"/>
    <col min="3013" max="3013" width="10.7109375" style="16" customWidth="1"/>
    <col min="3014" max="3014" width="2.7109375" style="16" customWidth="1"/>
    <col min="3015" max="3015" width="10.7109375" style="16" customWidth="1"/>
    <col min="3016" max="3016" width="11.7109375" style="16" customWidth="1"/>
    <col min="3017" max="3017" width="17.7109375" style="16" customWidth="1"/>
    <col min="3018" max="3018" width="11.7109375" style="16" customWidth="1"/>
    <col min="3019" max="3019" width="17.7109375" style="16" customWidth="1"/>
    <col min="3020" max="3020" width="10.7109375" style="16" customWidth="1"/>
    <col min="3021" max="3021" width="2.7109375" style="16" customWidth="1"/>
    <col min="3022" max="3022" width="10.7109375" style="16" customWidth="1"/>
    <col min="3023" max="3023" width="11.7109375" style="16" customWidth="1"/>
    <col min="3024" max="3024" width="17.7109375" style="16" customWidth="1"/>
    <col min="3025" max="3025" width="11.7109375" style="16" customWidth="1"/>
    <col min="3026" max="3026" width="17.7109375" style="16" customWidth="1"/>
    <col min="3027" max="3027" width="10.7109375" style="16" customWidth="1"/>
    <col min="3028" max="3256" width="10.7109375" style="16"/>
    <col min="3257" max="3257" width="10.7109375" style="16" customWidth="1"/>
    <col min="3258" max="3258" width="11.7109375" style="16" customWidth="1"/>
    <col min="3259" max="3259" width="17.7109375" style="16" customWidth="1"/>
    <col min="3260" max="3260" width="11.7109375" style="16" customWidth="1"/>
    <col min="3261" max="3261" width="17.7109375" style="16" customWidth="1"/>
    <col min="3262" max="3262" width="10.7109375" style="16" customWidth="1"/>
    <col min="3263" max="3263" width="2.7109375" style="16" customWidth="1"/>
    <col min="3264" max="3264" width="10.7109375" style="16" customWidth="1"/>
    <col min="3265" max="3265" width="11.7109375" style="16" customWidth="1"/>
    <col min="3266" max="3266" width="17.7109375" style="16" customWidth="1"/>
    <col min="3267" max="3267" width="11.7109375" style="16" customWidth="1"/>
    <col min="3268" max="3268" width="17.7109375" style="16" customWidth="1"/>
    <col min="3269" max="3269" width="10.7109375" style="16" customWidth="1"/>
    <col min="3270" max="3270" width="2.7109375" style="16" customWidth="1"/>
    <col min="3271" max="3271" width="10.7109375" style="16" customWidth="1"/>
    <col min="3272" max="3272" width="11.7109375" style="16" customWidth="1"/>
    <col min="3273" max="3273" width="17.7109375" style="16" customWidth="1"/>
    <col min="3274" max="3274" width="11.7109375" style="16" customWidth="1"/>
    <col min="3275" max="3275" width="17.7109375" style="16" customWidth="1"/>
    <col min="3276" max="3276" width="10.7109375" style="16" customWidth="1"/>
    <col min="3277" max="3277" width="2.7109375" style="16" customWidth="1"/>
    <col min="3278" max="3278" width="10.7109375" style="16" customWidth="1"/>
    <col min="3279" max="3279" width="11.7109375" style="16" customWidth="1"/>
    <col min="3280" max="3280" width="17.7109375" style="16" customWidth="1"/>
    <col min="3281" max="3281" width="11.7109375" style="16" customWidth="1"/>
    <col min="3282" max="3282" width="17.7109375" style="16" customWidth="1"/>
    <col min="3283" max="3283" width="10.7109375" style="16" customWidth="1"/>
    <col min="3284" max="3512" width="10.7109375" style="16"/>
    <col min="3513" max="3513" width="10.7109375" style="16" customWidth="1"/>
    <col min="3514" max="3514" width="11.7109375" style="16" customWidth="1"/>
    <col min="3515" max="3515" width="17.7109375" style="16" customWidth="1"/>
    <col min="3516" max="3516" width="11.7109375" style="16" customWidth="1"/>
    <col min="3517" max="3517" width="17.7109375" style="16" customWidth="1"/>
    <col min="3518" max="3518" width="10.7109375" style="16" customWidth="1"/>
    <col min="3519" max="3519" width="2.7109375" style="16" customWidth="1"/>
    <col min="3520" max="3520" width="10.7109375" style="16" customWidth="1"/>
    <col min="3521" max="3521" width="11.7109375" style="16" customWidth="1"/>
    <col min="3522" max="3522" width="17.7109375" style="16" customWidth="1"/>
    <col min="3523" max="3523" width="11.7109375" style="16" customWidth="1"/>
    <col min="3524" max="3524" width="17.7109375" style="16" customWidth="1"/>
    <col min="3525" max="3525" width="10.7109375" style="16" customWidth="1"/>
    <col min="3526" max="3526" width="2.7109375" style="16" customWidth="1"/>
    <col min="3527" max="3527" width="10.7109375" style="16" customWidth="1"/>
    <col min="3528" max="3528" width="11.7109375" style="16" customWidth="1"/>
    <col min="3529" max="3529" width="17.7109375" style="16" customWidth="1"/>
    <col min="3530" max="3530" width="11.7109375" style="16" customWidth="1"/>
    <col min="3531" max="3531" width="17.7109375" style="16" customWidth="1"/>
    <col min="3532" max="3532" width="10.7109375" style="16" customWidth="1"/>
    <col min="3533" max="3533" width="2.7109375" style="16" customWidth="1"/>
    <col min="3534" max="3534" width="10.7109375" style="16" customWidth="1"/>
    <col min="3535" max="3535" width="11.7109375" style="16" customWidth="1"/>
    <col min="3536" max="3536" width="17.7109375" style="16" customWidth="1"/>
    <col min="3537" max="3537" width="11.7109375" style="16" customWidth="1"/>
    <col min="3538" max="3538" width="17.7109375" style="16" customWidth="1"/>
    <col min="3539" max="3539" width="10.7109375" style="16" customWidth="1"/>
    <col min="3540" max="3768" width="10.7109375" style="16"/>
    <col min="3769" max="3769" width="10.7109375" style="16" customWidth="1"/>
    <col min="3770" max="3770" width="11.7109375" style="16" customWidth="1"/>
    <col min="3771" max="3771" width="17.7109375" style="16" customWidth="1"/>
    <col min="3772" max="3772" width="11.7109375" style="16" customWidth="1"/>
    <col min="3773" max="3773" width="17.7109375" style="16" customWidth="1"/>
    <col min="3774" max="3774" width="10.7109375" style="16" customWidth="1"/>
    <col min="3775" max="3775" width="2.7109375" style="16" customWidth="1"/>
    <col min="3776" max="3776" width="10.7109375" style="16" customWidth="1"/>
    <col min="3777" max="3777" width="11.7109375" style="16" customWidth="1"/>
    <col min="3778" max="3778" width="17.7109375" style="16" customWidth="1"/>
    <col min="3779" max="3779" width="11.7109375" style="16" customWidth="1"/>
    <col min="3780" max="3780" width="17.7109375" style="16" customWidth="1"/>
    <col min="3781" max="3781" width="10.7109375" style="16" customWidth="1"/>
    <col min="3782" max="3782" width="2.7109375" style="16" customWidth="1"/>
    <col min="3783" max="3783" width="10.7109375" style="16" customWidth="1"/>
    <col min="3784" max="3784" width="11.7109375" style="16" customWidth="1"/>
    <col min="3785" max="3785" width="17.7109375" style="16" customWidth="1"/>
    <col min="3786" max="3786" width="11.7109375" style="16" customWidth="1"/>
    <col min="3787" max="3787" width="17.7109375" style="16" customWidth="1"/>
    <col min="3788" max="3788" width="10.7109375" style="16" customWidth="1"/>
    <col min="3789" max="3789" width="2.7109375" style="16" customWidth="1"/>
    <col min="3790" max="3790" width="10.7109375" style="16" customWidth="1"/>
    <col min="3791" max="3791" width="11.7109375" style="16" customWidth="1"/>
    <col min="3792" max="3792" width="17.7109375" style="16" customWidth="1"/>
    <col min="3793" max="3793" width="11.7109375" style="16" customWidth="1"/>
    <col min="3794" max="3794" width="17.7109375" style="16" customWidth="1"/>
    <col min="3795" max="3795" width="10.7109375" style="16" customWidth="1"/>
    <col min="3796" max="4024" width="10.7109375" style="16"/>
    <col min="4025" max="4025" width="10.7109375" style="16" customWidth="1"/>
    <col min="4026" max="4026" width="11.7109375" style="16" customWidth="1"/>
    <col min="4027" max="4027" width="17.7109375" style="16" customWidth="1"/>
    <col min="4028" max="4028" width="11.7109375" style="16" customWidth="1"/>
    <col min="4029" max="4029" width="17.7109375" style="16" customWidth="1"/>
    <col min="4030" max="4030" width="10.7109375" style="16" customWidth="1"/>
    <col min="4031" max="4031" width="2.7109375" style="16" customWidth="1"/>
    <col min="4032" max="4032" width="10.7109375" style="16" customWidth="1"/>
    <col min="4033" max="4033" width="11.7109375" style="16" customWidth="1"/>
    <col min="4034" max="4034" width="17.7109375" style="16" customWidth="1"/>
    <col min="4035" max="4035" width="11.7109375" style="16" customWidth="1"/>
    <col min="4036" max="4036" width="17.7109375" style="16" customWidth="1"/>
    <col min="4037" max="4037" width="10.7109375" style="16" customWidth="1"/>
    <col min="4038" max="4038" width="2.7109375" style="16" customWidth="1"/>
    <col min="4039" max="4039" width="10.7109375" style="16" customWidth="1"/>
    <col min="4040" max="4040" width="11.7109375" style="16" customWidth="1"/>
    <col min="4041" max="4041" width="17.7109375" style="16" customWidth="1"/>
    <col min="4042" max="4042" width="11.7109375" style="16" customWidth="1"/>
    <col min="4043" max="4043" width="17.7109375" style="16" customWidth="1"/>
    <col min="4044" max="4044" width="10.7109375" style="16" customWidth="1"/>
    <col min="4045" max="4045" width="2.7109375" style="16" customWidth="1"/>
    <col min="4046" max="4046" width="10.7109375" style="16" customWidth="1"/>
    <col min="4047" max="4047" width="11.7109375" style="16" customWidth="1"/>
    <col min="4048" max="4048" width="17.7109375" style="16" customWidth="1"/>
    <col min="4049" max="4049" width="11.7109375" style="16" customWidth="1"/>
    <col min="4050" max="4050" width="17.7109375" style="16" customWidth="1"/>
    <col min="4051" max="4051" width="10.7109375" style="16" customWidth="1"/>
    <col min="4052" max="4280" width="10.7109375" style="16"/>
    <col min="4281" max="4281" width="10.7109375" style="16" customWidth="1"/>
    <col min="4282" max="4282" width="11.7109375" style="16" customWidth="1"/>
    <col min="4283" max="4283" width="17.7109375" style="16" customWidth="1"/>
    <col min="4284" max="4284" width="11.7109375" style="16" customWidth="1"/>
    <col min="4285" max="4285" width="17.7109375" style="16" customWidth="1"/>
    <col min="4286" max="4286" width="10.7109375" style="16" customWidth="1"/>
    <col min="4287" max="4287" width="2.7109375" style="16" customWidth="1"/>
    <col min="4288" max="4288" width="10.7109375" style="16" customWidth="1"/>
    <col min="4289" max="4289" width="11.7109375" style="16" customWidth="1"/>
    <col min="4290" max="4290" width="17.7109375" style="16" customWidth="1"/>
    <col min="4291" max="4291" width="11.7109375" style="16" customWidth="1"/>
    <col min="4292" max="4292" width="17.7109375" style="16" customWidth="1"/>
    <col min="4293" max="4293" width="10.7109375" style="16" customWidth="1"/>
    <col min="4294" max="4294" width="2.7109375" style="16" customWidth="1"/>
    <col min="4295" max="4295" width="10.7109375" style="16" customWidth="1"/>
    <col min="4296" max="4296" width="11.7109375" style="16" customWidth="1"/>
    <col min="4297" max="4297" width="17.7109375" style="16" customWidth="1"/>
    <col min="4298" max="4298" width="11.7109375" style="16" customWidth="1"/>
    <col min="4299" max="4299" width="17.7109375" style="16" customWidth="1"/>
    <col min="4300" max="4300" width="10.7109375" style="16" customWidth="1"/>
    <col min="4301" max="4301" width="2.7109375" style="16" customWidth="1"/>
    <col min="4302" max="4302" width="10.7109375" style="16" customWidth="1"/>
    <col min="4303" max="4303" width="11.7109375" style="16" customWidth="1"/>
    <col min="4304" max="4304" width="17.7109375" style="16" customWidth="1"/>
    <col min="4305" max="4305" width="11.7109375" style="16" customWidth="1"/>
    <col min="4306" max="4306" width="17.7109375" style="16" customWidth="1"/>
    <col min="4307" max="4307" width="10.7109375" style="16" customWidth="1"/>
    <col min="4308" max="4536" width="10.7109375" style="16"/>
    <col min="4537" max="4537" width="10.7109375" style="16" customWidth="1"/>
    <col min="4538" max="4538" width="11.7109375" style="16" customWidth="1"/>
    <col min="4539" max="4539" width="17.7109375" style="16" customWidth="1"/>
    <col min="4540" max="4540" width="11.7109375" style="16" customWidth="1"/>
    <col min="4541" max="4541" width="17.7109375" style="16" customWidth="1"/>
    <col min="4542" max="4542" width="10.7109375" style="16" customWidth="1"/>
    <col min="4543" max="4543" width="2.7109375" style="16" customWidth="1"/>
    <col min="4544" max="4544" width="10.7109375" style="16" customWidth="1"/>
    <col min="4545" max="4545" width="11.7109375" style="16" customWidth="1"/>
    <col min="4546" max="4546" width="17.7109375" style="16" customWidth="1"/>
    <col min="4547" max="4547" width="11.7109375" style="16" customWidth="1"/>
    <col min="4548" max="4548" width="17.7109375" style="16" customWidth="1"/>
    <col min="4549" max="4549" width="10.7109375" style="16" customWidth="1"/>
    <col min="4550" max="4550" width="2.7109375" style="16" customWidth="1"/>
    <col min="4551" max="4551" width="10.7109375" style="16" customWidth="1"/>
    <col min="4552" max="4552" width="11.7109375" style="16" customWidth="1"/>
    <col min="4553" max="4553" width="17.7109375" style="16" customWidth="1"/>
    <col min="4554" max="4554" width="11.7109375" style="16" customWidth="1"/>
    <col min="4555" max="4555" width="17.7109375" style="16" customWidth="1"/>
    <col min="4556" max="4556" width="10.7109375" style="16" customWidth="1"/>
    <col min="4557" max="4557" width="2.7109375" style="16" customWidth="1"/>
    <col min="4558" max="4558" width="10.7109375" style="16" customWidth="1"/>
    <col min="4559" max="4559" width="11.7109375" style="16" customWidth="1"/>
    <col min="4560" max="4560" width="17.7109375" style="16" customWidth="1"/>
    <col min="4561" max="4561" width="11.7109375" style="16" customWidth="1"/>
    <col min="4562" max="4562" width="17.7109375" style="16" customWidth="1"/>
    <col min="4563" max="4563" width="10.7109375" style="16" customWidth="1"/>
    <col min="4564" max="4792" width="10.7109375" style="16"/>
    <col min="4793" max="4793" width="10.7109375" style="16" customWidth="1"/>
    <col min="4794" max="4794" width="11.7109375" style="16" customWidth="1"/>
    <col min="4795" max="4795" width="17.7109375" style="16" customWidth="1"/>
    <col min="4796" max="4796" width="11.7109375" style="16" customWidth="1"/>
    <col min="4797" max="4797" width="17.7109375" style="16" customWidth="1"/>
    <col min="4798" max="4798" width="10.7109375" style="16" customWidth="1"/>
    <col min="4799" max="4799" width="2.7109375" style="16" customWidth="1"/>
    <col min="4800" max="4800" width="10.7109375" style="16" customWidth="1"/>
    <col min="4801" max="4801" width="11.7109375" style="16" customWidth="1"/>
    <col min="4802" max="4802" width="17.7109375" style="16" customWidth="1"/>
    <col min="4803" max="4803" width="11.7109375" style="16" customWidth="1"/>
    <col min="4804" max="4804" width="17.7109375" style="16" customWidth="1"/>
    <col min="4805" max="4805" width="10.7109375" style="16" customWidth="1"/>
    <col min="4806" max="4806" width="2.7109375" style="16" customWidth="1"/>
    <col min="4807" max="4807" width="10.7109375" style="16" customWidth="1"/>
    <col min="4808" max="4808" width="11.7109375" style="16" customWidth="1"/>
    <col min="4809" max="4809" width="17.7109375" style="16" customWidth="1"/>
    <col min="4810" max="4810" width="11.7109375" style="16" customWidth="1"/>
    <col min="4811" max="4811" width="17.7109375" style="16" customWidth="1"/>
    <col min="4812" max="4812" width="10.7109375" style="16" customWidth="1"/>
    <col min="4813" max="4813" width="2.7109375" style="16" customWidth="1"/>
    <col min="4814" max="4814" width="10.7109375" style="16" customWidth="1"/>
    <col min="4815" max="4815" width="11.7109375" style="16" customWidth="1"/>
    <col min="4816" max="4816" width="17.7109375" style="16" customWidth="1"/>
    <col min="4817" max="4817" width="11.7109375" style="16" customWidth="1"/>
    <col min="4818" max="4818" width="17.7109375" style="16" customWidth="1"/>
    <col min="4819" max="4819" width="10.7109375" style="16" customWidth="1"/>
    <col min="4820" max="5048" width="10.7109375" style="16"/>
    <col min="5049" max="5049" width="10.7109375" style="16" customWidth="1"/>
    <col min="5050" max="5050" width="11.7109375" style="16" customWidth="1"/>
    <col min="5051" max="5051" width="17.7109375" style="16" customWidth="1"/>
    <col min="5052" max="5052" width="11.7109375" style="16" customWidth="1"/>
    <col min="5053" max="5053" width="17.7109375" style="16" customWidth="1"/>
    <col min="5054" max="5054" width="10.7109375" style="16" customWidth="1"/>
    <col min="5055" max="5055" width="2.7109375" style="16" customWidth="1"/>
    <col min="5056" max="5056" width="10.7109375" style="16" customWidth="1"/>
    <col min="5057" max="5057" width="11.7109375" style="16" customWidth="1"/>
    <col min="5058" max="5058" width="17.7109375" style="16" customWidth="1"/>
    <col min="5059" max="5059" width="11.7109375" style="16" customWidth="1"/>
    <col min="5060" max="5060" width="17.7109375" style="16" customWidth="1"/>
    <col min="5061" max="5061" width="10.7109375" style="16" customWidth="1"/>
    <col min="5062" max="5062" width="2.7109375" style="16" customWidth="1"/>
    <col min="5063" max="5063" width="10.7109375" style="16" customWidth="1"/>
    <col min="5064" max="5064" width="11.7109375" style="16" customWidth="1"/>
    <col min="5065" max="5065" width="17.7109375" style="16" customWidth="1"/>
    <col min="5066" max="5066" width="11.7109375" style="16" customWidth="1"/>
    <col min="5067" max="5067" width="17.7109375" style="16" customWidth="1"/>
    <col min="5068" max="5068" width="10.7109375" style="16" customWidth="1"/>
    <col min="5069" max="5069" width="2.7109375" style="16" customWidth="1"/>
    <col min="5070" max="5070" width="10.7109375" style="16" customWidth="1"/>
    <col min="5071" max="5071" width="11.7109375" style="16" customWidth="1"/>
    <col min="5072" max="5072" width="17.7109375" style="16" customWidth="1"/>
    <col min="5073" max="5073" width="11.7109375" style="16" customWidth="1"/>
    <col min="5074" max="5074" width="17.7109375" style="16" customWidth="1"/>
    <col min="5075" max="5075" width="10.7109375" style="16" customWidth="1"/>
    <col min="5076" max="5304" width="10.7109375" style="16"/>
    <col min="5305" max="5305" width="10.7109375" style="16" customWidth="1"/>
    <col min="5306" max="5306" width="11.7109375" style="16" customWidth="1"/>
    <col min="5307" max="5307" width="17.7109375" style="16" customWidth="1"/>
    <col min="5308" max="5308" width="11.7109375" style="16" customWidth="1"/>
    <col min="5309" max="5309" width="17.7109375" style="16" customWidth="1"/>
    <col min="5310" max="5310" width="10.7109375" style="16" customWidth="1"/>
    <col min="5311" max="5311" width="2.7109375" style="16" customWidth="1"/>
    <col min="5312" max="5312" width="10.7109375" style="16" customWidth="1"/>
    <col min="5313" max="5313" width="11.7109375" style="16" customWidth="1"/>
    <col min="5314" max="5314" width="17.7109375" style="16" customWidth="1"/>
    <col min="5315" max="5315" width="11.7109375" style="16" customWidth="1"/>
    <col min="5316" max="5316" width="17.7109375" style="16" customWidth="1"/>
    <col min="5317" max="5317" width="10.7109375" style="16" customWidth="1"/>
    <col min="5318" max="5318" width="2.7109375" style="16" customWidth="1"/>
    <col min="5319" max="5319" width="10.7109375" style="16" customWidth="1"/>
    <col min="5320" max="5320" width="11.7109375" style="16" customWidth="1"/>
    <col min="5321" max="5321" width="17.7109375" style="16" customWidth="1"/>
    <col min="5322" max="5322" width="11.7109375" style="16" customWidth="1"/>
    <col min="5323" max="5323" width="17.7109375" style="16" customWidth="1"/>
    <col min="5324" max="5324" width="10.7109375" style="16" customWidth="1"/>
    <col min="5325" max="5325" width="2.7109375" style="16" customWidth="1"/>
    <col min="5326" max="5326" width="10.7109375" style="16" customWidth="1"/>
    <col min="5327" max="5327" width="11.7109375" style="16" customWidth="1"/>
    <col min="5328" max="5328" width="17.7109375" style="16" customWidth="1"/>
    <col min="5329" max="5329" width="11.7109375" style="16" customWidth="1"/>
    <col min="5330" max="5330" width="17.7109375" style="16" customWidth="1"/>
    <col min="5331" max="5331" width="10.7109375" style="16" customWidth="1"/>
    <col min="5332" max="5560" width="10.7109375" style="16"/>
    <col min="5561" max="5561" width="10.7109375" style="16" customWidth="1"/>
    <col min="5562" max="5562" width="11.7109375" style="16" customWidth="1"/>
    <col min="5563" max="5563" width="17.7109375" style="16" customWidth="1"/>
    <col min="5564" max="5564" width="11.7109375" style="16" customWidth="1"/>
    <col min="5565" max="5565" width="17.7109375" style="16" customWidth="1"/>
    <col min="5566" max="5566" width="10.7109375" style="16" customWidth="1"/>
    <col min="5567" max="5567" width="2.7109375" style="16" customWidth="1"/>
    <col min="5568" max="5568" width="10.7109375" style="16" customWidth="1"/>
    <col min="5569" max="5569" width="11.7109375" style="16" customWidth="1"/>
    <col min="5570" max="5570" width="17.7109375" style="16" customWidth="1"/>
    <col min="5571" max="5571" width="11.7109375" style="16" customWidth="1"/>
    <col min="5572" max="5572" width="17.7109375" style="16" customWidth="1"/>
    <col min="5573" max="5573" width="10.7109375" style="16" customWidth="1"/>
    <col min="5574" max="5574" width="2.7109375" style="16" customWidth="1"/>
    <col min="5575" max="5575" width="10.7109375" style="16" customWidth="1"/>
    <col min="5576" max="5576" width="11.7109375" style="16" customWidth="1"/>
    <col min="5577" max="5577" width="17.7109375" style="16" customWidth="1"/>
    <col min="5578" max="5578" width="11.7109375" style="16" customWidth="1"/>
    <col min="5579" max="5579" width="17.7109375" style="16" customWidth="1"/>
    <col min="5580" max="5580" width="10.7109375" style="16" customWidth="1"/>
    <col min="5581" max="5581" width="2.7109375" style="16" customWidth="1"/>
    <col min="5582" max="5582" width="10.7109375" style="16" customWidth="1"/>
    <col min="5583" max="5583" width="11.7109375" style="16" customWidth="1"/>
    <col min="5584" max="5584" width="17.7109375" style="16" customWidth="1"/>
    <col min="5585" max="5585" width="11.7109375" style="16" customWidth="1"/>
    <col min="5586" max="5586" width="17.7109375" style="16" customWidth="1"/>
    <col min="5587" max="5587" width="10.7109375" style="16" customWidth="1"/>
    <col min="5588" max="5816" width="10.7109375" style="16"/>
    <col min="5817" max="5817" width="10.7109375" style="16" customWidth="1"/>
    <col min="5818" max="5818" width="11.7109375" style="16" customWidth="1"/>
    <col min="5819" max="5819" width="17.7109375" style="16" customWidth="1"/>
    <col min="5820" max="5820" width="11.7109375" style="16" customWidth="1"/>
    <col min="5821" max="5821" width="17.7109375" style="16" customWidth="1"/>
    <col min="5822" max="5822" width="10.7109375" style="16" customWidth="1"/>
    <col min="5823" max="5823" width="2.7109375" style="16" customWidth="1"/>
    <col min="5824" max="5824" width="10.7109375" style="16" customWidth="1"/>
    <col min="5825" max="5825" width="11.7109375" style="16" customWidth="1"/>
    <col min="5826" max="5826" width="17.7109375" style="16" customWidth="1"/>
    <col min="5827" max="5827" width="11.7109375" style="16" customWidth="1"/>
    <col min="5828" max="5828" width="17.7109375" style="16" customWidth="1"/>
    <col min="5829" max="5829" width="10.7109375" style="16" customWidth="1"/>
    <col min="5830" max="5830" width="2.7109375" style="16" customWidth="1"/>
    <col min="5831" max="5831" width="10.7109375" style="16" customWidth="1"/>
    <col min="5832" max="5832" width="11.7109375" style="16" customWidth="1"/>
    <col min="5833" max="5833" width="17.7109375" style="16" customWidth="1"/>
    <col min="5834" max="5834" width="11.7109375" style="16" customWidth="1"/>
    <col min="5835" max="5835" width="17.7109375" style="16" customWidth="1"/>
    <col min="5836" max="5836" width="10.7109375" style="16" customWidth="1"/>
    <col min="5837" max="5837" width="2.7109375" style="16" customWidth="1"/>
    <col min="5838" max="5838" width="10.7109375" style="16" customWidth="1"/>
    <col min="5839" max="5839" width="11.7109375" style="16" customWidth="1"/>
    <col min="5840" max="5840" width="17.7109375" style="16" customWidth="1"/>
    <col min="5841" max="5841" width="11.7109375" style="16" customWidth="1"/>
    <col min="5842" max="5842" width="17.7109375" style="16" customWidth="1"/>
    <col min="5843" max="5843" width="10.7109375" style="16" customWidth="1"/>
    <col min="5844" max="6072" width="10.7109375" style="16"/>
    <col min="6073" max="6073" width="10.7109375" style="16" customWidth="1"/>
    <col min="6074" max="6074" width="11.7109375" style="16" customWidth="1"/>
    <col min="6075" max="6075" width="17.7109375" style="16" customWidth="1"/>
    <col min="6076" max="6076" width="11.7109375" style="16" customWidth="1"/>
    <col min="6077" max="6077" width="17.7109375" style="16" customWidth="1"/>
    <col min="6078" max="6078" width="10.7109375" style="16" customWidth="1"/>
    <col min="6079" max="6079" width="2.7109375" style="16" customWidth="1"/>
    <col min="6080" max="6080" width="10.7109375" style="16" customWidth="1"/>
    <col min="6081" max="6081" width="11.7109375" style="16" customWidth="1"/>
    <col min="6082" max="6082" width="17.7109375" style="16" customWidth="1"/>
    <col min="6083" max="6083" width="11.7109375" style="16" customWidth="1"/>
    <col min="6084" max="6084" width="17.7109375" style="16" customWidth="1"/>
    <col min="6085" max="6085" width="10.7109375" style="16" customWidth="1"/>
    <col min="6086" max="6086" width="2.7109375" style="16" customWidth="1"/>
    <col min="6087" max="6087" width="10.7109375" style="16" customWidth="1"/>
    <col min="6088" max="6088" width="11.7109375" style="16" customWidth="1"/>
    <col min="6089" max="6089" width="17.7109375" style="16" customWidth="1"/>
    <col min="6090" max="6090" width="11.7109375" style="16" customWidth="1"/>
    <col min="6091" max="6091" width="17.7109375" style="16" customWidth="1"/>
    <col min="6092" max="6092" width="10.7109375" style="16" customWidth="1"/>
    <col min="6093" max="6093" width="2.7109375" style="16" customWidth="1"/>
    <col min="6094" max="6094" width="10.7109375" style="16" customWidth="1"/>
    <col min="6095" max="6095" width="11.7109375" style="16" customWidth="1"/>
    <col min="6096" max="6096" width="17.7109375" style="16" customWidth="1"/>
    <col min="6097" max="6097" width="11.7109375" style="16" customWidth="1"/>
    <col min="6098" max="6098" width="17.7109375" style="16" customWidth="1"/>
    <col min="6099" max="6099" width="10.7109375" style="16" customWidth="1"/>
    <col min="6100" max="6328" width="10.7109375" style="16"/>
    <col min="6329" max="6329" width="10.7109375" style="16" customWidth="1"/>
    <col min="6330" max="6330" width="11.7109375" style="16" customWidth="1"/>
    <col min="6331" max="6331" width="17.7109375" style="16" customWidth="1"/>
    <col min="6332" max="6332" width="11.7109375" style="16" customWidth="1"/>
    <col min="6333" max="6333" width="17.7109375" style="16" customWidth="1"/>
    <col min="6334" max="6334" width="10.7109375" style="16" customWidth="1"/>
    <col min="6335" max="6335" width="2.7109375" style="16" customWidth="1"/>
    <col min="6336" max="6336" width="10.7109375" style="16" customWidth="1"/>
    <col min="6337" max="6337" width="11.7109375" style="16" customWidth="1"/>
    <col min="6338" max="6338" width="17.7109375" style="16" customWidth="1"/>
    <col min="6339" max="6339" width="11.7109375" style="16" customWidth="1"/>
    <col min="6340" max="6340" width="17.7109375" style="16" customWidth="1"/>
    <col min="6341" max="6341" width="10.7109375" style="16" customWidth="1"/>
    <col min="6342" max="6342" width="2.7109375" style="16" customWidth="1"/>
    <col min="6343" max="6343" width="10.7109375" style="16" customWidth="1"/>
    <col min="6344" max="6344" width="11.7109375" style="16" customWidth="1"/>
    <col min="6345" max="6345" width="17.7109375" style="16" customWidth="1"/>
    <col min="6346" max="6346" width="11.7109375" style="16" customWidth="1"/>
    <col min="6347" max="6347" width="17.7109375" style="16" customWidth="1"/>
    <col min="6348" max="6348" width="10.7109375" style="16" customWidth="1"/>
    <col min="6349" max="6349" width="2.7109375" style="16" customWidth="1"/>
    <col min="6350" max="6350" width="10.7109375" style="16" customWidth="1"/>
    <col min="6351" max="6351" width="11.7109375" style="16" customWidth="1"/>
    <col min="6352" max="6352" width="17.7109375" style="16" customWidth="1"/>
    <col min="6353" max="6353" width="11.7109375" style="16" customWidth="1"/>
    <col min="6354" max="6354" width="17.7109375" style="16" customWidth="1"/>
    <col min="6355" max="6355" width="10.7109375" style="16" customWidth="1"/>
    <col min="6356" max="6584" width="10.7109375" style="16"/>
    <col min="6585" max="6585" width="10.7109375" style="16" customWidth="1"/>
    <col min="6586" max="6586" width="11.7109375" style="16" customWidth="1"/>
    <col min="6587" max="6587" width="17.7109375" style="16" customWidth="1"/>
    <col min="6588" max="6588" width="11.7109375" style="16" customWidth="1"/>
    <col min="6589" max="6589" width="17.7109375" style="16" customWidth="1"/>
    <col min="6590" max="6590" width="10.7109375" style="16" customWidth="1"/>
    <col min="6591" max="6591" width="2.7109375" style="16" customWidth="1"/>
    <col min="6592" max="6592" width="10.7109375" style="16" customWidth="1"/>
    <col min="6593" max="6593" width="11.7109375" style="16" customWidth="1"/>
    <col min="6594" max="6594" width="17.7109375" style="16" customWidth="1"/>
    <col min="6595" max="6595" width="11.7109375" style="16" customWidth="1"/>
    <col min="6596" max="6596" width="17.7109375" style="16" customWidth="1"/>
    <col min="6597" max="6597" width="10.7109375" style="16" customWidth="1"/>
    <col min="6598" max="6598" width="2.7109375" style="16" customWidth="1"/>
    <col min="6599" max="6599" width="10.7109375" style="16" customWidth="1"/>
    <col min="6600" max="6600" width="11.7109375" style="16" customWidth="1"/>
    <col min="6601" max="6601" width="17.7109375" style="16" customWidth="1"/>
    <col min="6602" max="6602" width="11.7109375" style="16" customWidth="1"/>
    <col min="6603" max="6603" width="17.7109375" style="16" customWidth="1"/>
    <col min="6604" max="6604" width="10.7109375" style="16" customWidth="1"/>
    <col min="6605" max="6605" width="2.7109375" style="16" customWidth="1"/>
    <col min="6606" max="6606" width="10.7109375" style="16" customWidth="1"/>
    <col min="6607" max="6607" width="11.7109375" style="16" customWidth="1"/>
    <col min="6608" max="6608" width="17.7109375" style="16" customWidth="1"/>
    <col min="6609" max="6609" width="11.7109375" style="16" customWidth="1"/>
    <col min="6610" max="6610" width="17.7109375" style="16" customWidth="1"/>
    <col min="6611" max="6611" width="10.7109375" style="16" customWidth="1"/>
    <col min="6612" max="6840" width="10.7109375" style="16"/>
    <col min="6841" max="6841" width="10.7109375" style="16" customWidth="1"/>
    <col min="6842" max="6842" width="11.7109375" style="16" customWidth="1"/>
    <col min="6843" max="6843" width="17.7109375" style="16" customWidth="1"/>
    <col min="6844" max="6844" width="11.7109375" style="16" customWidth="1"/>
    <col min="6845" max="6845" width="17.7109375" style="16" customWidth="1"/>
    <col min="6846" max="6846" width="10.7109375" style="16" customWidth="1"/>
    <col min="6847" max="6847" width="2.7109375" style="16" customWidth="1"/>
    <col min="6848" max="6848" width="10.7109375" style="16" customWidth="1"/>
    <col min="6849" max="6849" width="11.7109375" style="16" customWidth="1"/>
    <col min="6850" max="6850" width="17.7109375" style="16" customWidth="1"/>
    <col min="6851" max="6851" width="11.7109375" style="16" customWidth="1"/>
    <col min="6852" max="6852" width="17.7109375" style="16" customWidth="1"/>
    <col min="6853" max="6853" width="10.7109375" style="16" customWidth="1"/>
    <col min="6854" max="6854" width="2.7109375" style="16" customWidth="1"/>
    <col min="6855" max="6855" width="10.7109375" style="16" customWidth="1"/>
    <col min="6856" max="6856" width="11.7109375" style="16" customWidth="1"/>
    <col min="6857" max="6857" width="17.7109375" style="16" customWidth="1"/>
    <col min="6858" max="6858" width="11.7109375" style="16" customWidth="1"/>
    <col min="6859" max="6859" width="17.7109375" style="16" customWidth="1"/>
    <col min="6860" max="6860" width="10.7109375" style="16" customWidth="1"/>
    <col min="6861" max="6861" width="2.7109375" style="16" customWidth="1"/>
    <col min="6862" max="6862" width="10.7109375" style="16" customWidth="1"/>
    <col min="6863" max="6863" width="11.7109375" style="16" customWidth="1"/>
    <col min="6864" max="6864" width="17.7109375" style="16" customWidth="1"/>
    <col min="6865" max="6865" width="11.7109375" style="16" customWidth="1"/>
    <col min="6866" max="6866" width="17.7109375" style="16" customWidth="1"/>
    <col min="6867" max="6867" width="10.7109375" style="16" customWidth="1"/>
    <col min="6868" max="7096" width="10.7109375" style="16"/>
    <col min="7097" max="7097" width="10.7109375" style="16" customWidth="1"/>
    <col min="7098" max="7098" width="11.7109375" style="16" customWidth="1"/>
    <col min="7099" max="7099" width="17.7109375" style="16" customWidth="1"/>
    <col min="7100" max="7100" width="11.7109375" style="16" customWidth="1"/>
    <col min="7101" max="7101" width="17.7109375" style="16" customWidth="1"/>
    <col min="7102" max="7102" width="10.7109375" style="16" customWidth="1"/>
    <col min="7103" max="7103" width="2.7109375" style="16" customWidth="1"/>
    <col min="7104" max="7104" width="10.7109375" style="16" customWidth="1"/>
    <col min="7105" max="7105" width="11.7109375" style="16" customWidth="1"/>
    <col min="7106" max="7106" width="17.7109375" style="16" customWidth="1"/>
    <col min="7107" max="7107" width="11.7109375" style="16" customWidth="1"/>
    <col min="7108" max="7108" width="17.7109375" style="16" customWidth="1"/>
    <col min="7109" max="7109" width="10.7109375" style="16" customWidth="1"/>
    <col min="7110" max="7110" width="2.7109375" style="16" customWidth="1"/>
    <col min="7111" max="7111" width="10.7109375" style="16" customWidth="1"/>
    <col min="7112" max="7112" width="11.7109375" style="16" customWidth="1"/>
    <col min="7113" max="7113" width="17.7109375" style="16" customWidth="1"/>
    <col min="7114" max="7114" width="11.7109375" style="16" customWidth="1"/>
    <col min="7115" max="7115" width="17.7109375" style="16" customWidth="1"/>
    <col min="7116" max="7116" width="10.7109375" style="16" customWidth="1"/>
    <col min="7117" max="7117" width="2.7109375" style="16" customWidth="1"/>
    <col min="7118" max="7118" width="10.7109375" style="16" customWidth="1"/>
    <col min="7119" max="7119" width="11.7109375" style="16" customWidth="1"/>
    <col min="7120" max="7120" width="17.7109375" style="16" customWidth="1"/>
    <col min="7121" max="7121" width="11.7109375" style="16" customWidth="1"/>
    <col min="7122" max="7122" width="17.7109375" style="16" customWidth="1"/>
    <col min="7123" max="7123" width="10.7109375" style="16" customWidth="1"/>
    <col min="7124" max="7352" width="10.7109375" style="16"/>
    <col min="7353" max="7353" width="10.7109375" style="16" customWidth="1"/>
    <col min="7354" max="7354" width="11.7109375" style="16" customWidth="1"/>
    <col min="7355" max="7355" width="17.7109375" style="16" customWidth="1"/>
    <col min="7356" max="7356" width="11.7109375" style="16" customWidth="1"/>
    <col min="7357" max="7357" width="17.7109375" style="16" customWidth="1"/>
    <col min="7358" max="7358" width="10.7109375" style="16" customWidth="1"/>
    <col min="7359" max="7359" width="2.7109375" style="16" customWidth="1"/>
    <col min="7360" max="7360" width="10.7109375" style="16" customWidth="1"/>
    <col min="7361" max="7361" width="11.7109375" style="16" customWidth="1"/>
    <col min="7362" max="7362" width="17.7109375" style="16" customWidth="1"/>
    <col min="7363" max="7363" width="11.7109375" style="16" customWidth="1"/>
    <col min="7364" max="7364" width="17.7109375" style="16" customWidth="1"/>
    <col min="7365" max="7365" width="10.7109375" style="16" customWidth="1"/>
    <col min="7366" max="7366" width="2.7109375" style="16" customWidth="1"/>
    <col min="7367" max="7367" width="10.7109375" style="16" customWidth="1"/>
    <col min="7368" max="7368" width="11.7109375" style="16" customWidth="1"/>
    <col min="7369" max="7369" width="17.7109375" style="16" customWidth="1"/>
    <col min="7370" max="7370" width="11.7109375" style="16" customWidth="1"/>
    <col min="7371" max="7371" width="17.7109375" style="16" customWidth="1"/>
    <col min="7372" max="7372" width="10.7109375" style="16" customWidth="1"/>
    <col min="7373" max="7373" width="2.7109375" style="16" customWidth="1"/>
    <col min="7374" max="7374" width="10.7109375" style="16" customWidth="1"/>
    <col min="7375" max="7375" width="11.7109375" style="16" customWidth="1"/>
    <col min="7376" max="7376" width="17.7109375" style="16" customWidth="1"/>
    <col min="7377" max="7377" width="11.7109375" style="16" customWidth="1"/>
    <col min="7378" max="7378" width="17.7109375" style="16" customWidth="1"/>
    <col min="7379" max="7379" width="10.7109375" style="16" customWidth="1"/>
    <col min="7380" max="7608" width="10.7109375" style="16"/>
    <col min="7609" max="7609" width="10.7109375" style="16" customWidth="1"/>
    <col min="7610" max="7610" width="11.7109375" style="16" customWidth="1"/>
    <col min="7611" max="7611" width="17.7109375" style="16" customWidth="1"/>
    <col min="7612" max="7612" width="11.7109375" style="16" customWidth="1"/>
    <col min="7613" max="7613" width="17.7109375" style="16" customWidth="1"/>
    <col min="7614" max="7614" width="10.7109375" style="16" customWidth="1"/>
    <col min="7615" max="7615" width="2.7109375" style="16" customWidth="1"/>
    <col min="7616" max="7616" width="10.7109375" style="16" customWidth="1"/>
    <col min="7617" max="7617" width="11.7109375" style="16" customWidth="1"/>
    <col min="7618" max="7618" width="17.7109375" style="16" customWidth="1"/>
    <col min="7619" max="7619" width="11.7109375" style="16" customWidth="1"/>
    <col min="7620" max="7620" width="17.7109375" style="16" customWidth="1"/>
    <col min="7621" max="7621" width="10.7109375" style="16" customWidth="1"/>
    <col min="7622" max="7622" width="2.7109375" style="16" customWidth="1"/>
    <col min="7623" max="7623" width="10.7109375" style="16" customWidth="1"/>
    <col min="7624" max="7624" width="11.7109375" style="16" customWidth="1"/>
    <col min="7625" max="7625" width="17.7109375" style="16" customWidth="1"/>
    <col min="7626" max="7626" width="11.7109375" style="16" customWidth="1"/>
    <col min="7627" max="7627" width="17.7109375" style="16" customWidth="1"/>
    <col min="7628" max="7628" width="10.7109375" style="16" customWidth="1"/>
    <col min="7629" max="7629" width="2.7109375" style="16" customWidth="1"/>
    <col min="7630" max="7630" width="10.7109375" style="16" customWidth="1"/>
    <col min="7631" max="7631" width="11.7109375" style="16" customWidth="1"/>
    <col min="7632" max="7632" width="17.7109375" style="16" customWidth="1"/>
    <col min="7633" max="7633" width="11.7109375" style="16" customWidth="1"/>
    <col min="7634" max="7634" width="17.7109375" style="16" customWidth="1"/>
    <col min="7635" max="7635" width="10.7109375" style="16" customWidth="1"/>
    <col min="7636" max="7864" width="10.7109375" style="16"/>
    <col min="7865" max="7865" width="10.7109375" style="16" customWidth="1"/>
    <col min="7866" max="7866" width="11.7109375" style="16" customWidth="1"/>
    <col min="7867" max="7867" width="17.7109375" style="16" customWidth="1"/>
    <col min="7868" max="7868" width="11.7109375" style="16" customWidth="1"/>
    <col min="7869" max="7869" width="17.7109375" style="16" customWidth="1"/>
    <col min="7870" max="7870" width="10.7109375" style="16" customWidth="1"/>
    <col min="7871" max="7871" width="2.7109375" style="16" customWidth="1"/>
    <col min="7872" max="7872" width="10.7109375" style="16" customWidth="1"/>
    <col min="7873" max="7873" width="11.7109375" style="16" customWidth="1"/>
    <col min="7874" max="7874" width="17.7109375" style="16" customWidth="1"/>
    <col min="7875" max="7875" width="11.7109375" style="16" customWidth="1"/>
    <col min="7876" max="7876" width="17.7109375" style="16" customWidth="1"/>
    <col min="7877" max="7877" width="10.7109375" style="16" customWidth="1"/>
    <col min="7878" max="7878" width="2.7109375" style="16" customWidth="1"/>
    <col min="7879" max="7879" width="10.7109375" style="16" customWidth="1"/>
    <col min="7880" max="7880" width="11.7109375" style="16" customWidth="1"/>
    <col min="7881" max="7881" width="17.7109375" style="16" customWidth="1"/>
    <col min="7882" max="7882" width="11.7109375" style="16" customWidth="1"/>
    <col min="7883" max="7883" width="17.7109375" style="16" customWidth="1"/>
    <col min="7884" max="7884" width="10.7109375" style="16" customWidth="1"/>
    <col min="7885" max="7885" width="2.7109375" style="16" customWidth="1"/>
    <col min="7886" max="7886" width="10.7109375" style="16" customWidth="1"/>
    <col min="7887" max="7887" width="11.7109375" style="16" customWidth="1"/>
    <col min="7888" max="7888" width="17.7109375" style="16" customWidth="1"/>
    <col min="7889" max="7889" width="11.7109375" style="16" customWidth="1"/>
    <col min="7890" max="7890" width="17.7109375" style="16" customWidth="1"/>
    <col min="7891" max="7891" width="10.7109375" style="16" customWidth="1"/>
    <col min="7892" max="8120" width="10.7109375" style="16"/>
    <col min="8121" max="8121" width="10.7109375" style="16" customWidth="1"/>
    <col min="8122" max="8122" width="11.7109375" style="16" customWidth="1"/>
    <col min="8123" max="8123" width="17.7109375" style="16" customWidth="1"/>
    <col min="8124" max="8124" width="11.7109375" style="16" customWidth="1"/>
    <col min="8125" max="8125" width="17.7109375" style="16" customWidth="1"/>
    <col min="8126" max="8126" width="10.7109375" style="16" customWidth="1"/>
    <col min="8127" max="8127" width="2.7109375" style="16" customWidth="1"/>
    <col min="8128" max="8128" width="10.7109375" style="16" customWidth="1"/>
    <col min="8129" max="8129" width="11.7109375" style="16" customWidth="1"/>
    <col min="8130" max="8130" width="17.7109375" style="16" customWidth="1"/>
    <col min="8131" max="8131" width="11.7109375" style="16" customWidth="1"/>
    <col min="8132" max="8132" width="17.7109375" style="16" customWidth="1"/>
    <col min="8133" max="8133" width="10.7109375" style="16" customWidth="1"/>
    <col min="8134" max="8134" width="2.7109375" style="16" customWidth="1"/>
    <col min="8135" max="8135" width="10.7109375" style="16" customWidth="1"/>
    <col min="8136" max="8136" width="11.7109375" style="16" customWidth="1"/>
    <col min="8137" max="8137" width="17.7109375" style="16" customWidth="1"/>
    <col min="8138" max="8138" width="11.7109375" style="16" customWidth="1"/>
    <col min="8139" max="8139" width="17.7109375" style="16" customWidth="1"/>
    <col min="8140" max="8140" width="10.7109375" style="16" customWidth="1"/>
    <col min="8141" max="8141" width="2.7109375" style="16" customWidth="1"/>
    <col min="8142" max="8142" width="10.7109375" style="16" customWidth="1"/>
    <col min="8143" max="8143" width="11.7109375" style="16" customWidth="1"/>
    <col min="8144" max="8144" width="17.7109375" style="16" customWidth="1"/>
    <col min="8145" max="8145" width="11.7109375" style="16" customWidth="1"/>
    <col min="8146" max="8146" width="17.7109375" style="16" customWidth="1"/>
    <col min="8147" max="8147" width="10.7109375" style="16" customWidth="1"/>
    <col min="8148" max="8376" width="10.7109375" style="16"/>
    <col min="8377" max="8377" width="10.7109375" style="16" customWidth="1"/>
    <col min="8378" max="8378" width="11.7109375" style="16" customWidth="1"/>
    <col min="8379" max="8379" width="17.7109375" style="16" customWidth="1"/>
    <col min="8380" max="8380" width="11.7109375" style="16" customWidth="1"/>
    <col min="8381" max="8381" width="17.7109375" style="16" customWidth="1"/>
    <col min="8382" max="8382" width="10.7109375" style="16" customWidth="1"/>
    <col min="8383" max="8383" width="2.7109375" style="16" customWidth="1"/>
    <col min="8384" max="8384" width="10.7109375" style="16" customWidth="1"/>
    <col min="8385" max="8385" width="11.7109375" style="16" customWidth="1"/>
    <col min="8386" max="8386" width="17.7109375" style="16" customWidth="1"/>
    <col min="8387" max="8387" width="11.7109375" style="16" customWidth="1"/>
    <col min="8388" max="8388" width="17.7109375" style="16" customWidth="1"/>
    <col min="8389" max="8389" width="10.7109375" style="16" customWidth="1"/>
    <col min="8390" max="8390" width="2.7109375" style="16" customWidth="1"/>
    <col min="8391" max="8391" width="10.7109375" style="16" customWidth="1"/>
    <col min="8392" max="8392" width="11.7109375" style="16" customWidth="1"/>
    <col min="8393" max="8393" width="17.7109375" style="16" customWidth="1"/>
    <col min="8394" max="8394" width="11.7109375" style="16" customWidth="1"/>
    <col min="8395" max="8395" width="17.7109375" style="16" customWidth="1"/>
    <col min="8396" max="8396" width="10.7109375" style="16" customWidth="1"/>
    <col min="8397" max="8397" width="2.7109375" style="16" customWidth="1"/>
    <col min="8398" max="8398" width="10.7109375" style="16" customWidth="1"/>
    <col min="8399" max="8399" width="11.7109375" style="16" customWidth="1"/>
    <col min="8400" max="8400" width="17.7109375" style="16" customWidth="1"/>
    <col min="8401" max="8401" width="11.7109375" style="16" customWidth="1"/>
    <col min="8402" max="8402" width="17.7109375" style="16" customWidth="1"/>
    <col min="8403" max="8403" width="10.7109375" style="16" customWidth="1"/>
    <col min="8404" max="8632" width="10.7109375" style="16"/>
    <col min="8633" max="8633" width="10.7109375" style="16" customWidth="1"/>
    <col min="8634" max="8634" width="11.7109375" style="16" customWidth="1"/>
    <col min="8635" max="8635" width="17.7109375" style="16" customWidth="1"/>
    <col min="8636" max="8636" width="11.7109375" style="16" customWidth="1"/>
    <col min="8637" max="8637" width="17.7109375" style="16" customWidth="1"/>
    <col min="8638" max="8638" width="10.7109375" style="16" customWidth="1"/>
    <col min="8639" max="8639" width="2.7109375" style="16" customWidth="1"/>
    <col min="8640" max="8640" width="10.7109375" style="16" customWidth="1"/>
    <col min="8641" max="8641" width="11.7109375" style="16" customWidth="1"/>
    <col min="8642" max="8642" width="17.7109375" style="16" customWidth="1"/>
    <col min="8643" max="8643" width="11.7109375" style="16" customWidth="1"/>
    <col min="8644" max="8644" width="17.7109375" style="16" customWidth="1"/>
    <col min="8645" max="8645" width="10.7109375" style="16" customWidth="1"/>
    <col min="8646" max="8646" width="2.7109375" style="16" customWidth="1"/>
    <col min="8647" max="8647" width="10.7109375" style="16" customWidth="1"/>
    <col min="8648" max="8648" width="11.7109375" style="16" customWidth="1"/>
    <col min="8649" max="8649" width="17.7109375" style="16" customWidth="1"/>
    <col min="8650" max="8650" width="11.7109375" style="16" customWidth="1"/>
    <col min="8651" max="8651" width="17.7109375" style="16" customWidth="1"/>
    <col min="8652" max="8652" width="10.7109375" style="16" customWidth="1"/>
    <col min="8653" max="8653" width="2.7109375" style="16" customWidth="1"/>
    <col min="8654" max="8654" width="10.7109375" style="16" customWidth="1"/>
    <col min="8655" max="8655" width="11.7109375" style="16" customWidth="1"/>
    <col min="8656" max="8656" width="17.7109375" style="16" customWidth="1"/>
    <col min="8657" max="8657" width="11.7109375" style="16" customWidth="1"/>
    <col min="8658" max="8658" width="17.7109375" style="16" customWidth="1"/>
    <col min="8659" max="8659" width="10.7109375" style="16" customWidth="1"/>
    <col min="8660" max="8888" width="10.7109375" style="16"/>
    <col min="8889" max="8889" width="10.7109375" style="16" customWidth="1"/>
    <col min="8890" max="8890" width="11.7109375" style="16" customWidth="1"/>
    <col min="8891" max="8891" width="17.7109375" style="16" customWidth="1"/>
    <col min="8892" max="8892" width="11.7109375" style="16" customWidth="1"/>
    <col min="8893" max="8893" width="17.7109375" style="16" customWidth="1"/>
    <col min="8894" max="8894" width="10.7109375" style="16" customWidth="1"/>
    <col min="8895" max="8895" width="2.7109375" style="16" customWidth="1"/>
    <col min="8896" max="8896" width="10.7109375" style="16" customWidth="1"/>
    <col min="8897" max="8897" width="11.7109375" style="16" customWidth="1"/>
    <col min="8898" max="8898" width="17.7109375" style="16" customWidth="1"/>
    <col min="8899" max="8899" width="11.7109375" style="16" customWidth="1"/>
    <col min="8900" max="8900" width="17.7109375" style="16" customWidth="1"/>
    <col min="8901" max="8901" width="10.7109375" style="16" customWidth="1"/>
    <col min="8902" max="8902" width="2.7109375" style="16" customWidth="1"/>
    <col min="8903" max="8903" width="10.7109375" style="16" customWidth="1"/>
    <col min="8904" max="8904" width="11.7109375" style="16" customWidth="1"/>
    <col min="8905" max="8905" width="17.7109375" style="16" customWidth="1"/>
    <col min="8906" max="8906" width="11.7109375" style="16" customWidth="1"/>
    <col min="8907" max="8907" width="17.7109375" style="16" customWidth="1"/>
    <col min="8908" max="8908" width="10.7109375" style="16" customWidth="1"/>
    <col min="8909" max="8909" width="2.7109375" style="16" customWidth="1"/>
    <col min="8910" max="8910" width="10.7109375" style="16" customWidth="1"/>
    <col min="8911" max="8911" width="11.7109375" style="16" customWidth="1"/>
    <col min="8912" max="8912" width="17.7109375" style="16" customWidth="1"/>
    <col min="8913" max="8913" width="11.7109375" style="16" customWidth="1"/>
    <col min="8914" max="8914" width="17.7109375" style="16" customWidth="1"/>
    <col min="8915" max="8915" width="10.7109375" style="16" customWidth="1"/>
    <col min="8916" max="9144" width="10.7109375" style="16"/>
    <col min="9145" max="9145" width="10.7109375" style="16" customWidth="1"/>
    <col min="9146" max="9146" width="11.7109375" style="16" customWidth="1"/>
    <col min="9147" max="9147" width="17.7109375" style="16" customWidth="1"/>
    <col min="9148" max="9148" width="11.7109375" style="16" customWidth="1"/>
    <col min="9149" max="9149" width="17.7109375" style="16" customWidth="1"/>
    <col min="9150" max="9150" width="10.7109375" style="16" customWidth="1"/>
    <col min="9151" max="9151" width="2.7109375" style="16" customWidth="1"/>
    <col min="9152" max="9152" width="10.7109375" style="16" customWidth="1"/>
    <col min="9153" max="9153" width="11.7109375" style="16" customWidth="1"/>
    <col min="9154" max="9154" width="17.7109375" style="16" customWidth="1"/>
    <col min="9155" max="9155" width="11.7109375" style="16" customWidth="1"/>
    <col min="9156" max="9156" width="17.7109375" style="16" customWidth="1"/>
    <col min="9157" max="9157" width="10.7109375" style="16" customWidth="1"/>
    <col min="9158" max="9158" width="2.7109375" style="16" customWidth="1"/>
    <col min="9159" max="9159" width="10.7109375" style="16" customWidth="1"/>
    <col min="9160" max="9160" width="11.7109375" style="16" customWidth="1"/>
    <col min="9161" max="9161" width="17.7109375" style="16" customWidth="1"/>
    <col min="9162" max="9162" width="11.7109375" style="16" customWidth="1"/>
    <col min="9163" max="9163" width="17.7109375" style="16" customWidth="1"/>
    <col min="9164" max="9164" width="10.7109375" style="16" customWidth="1"/>
    <col min="9165" max="9165" width="2.7109375" style="16" customWidth="1"/>
    <col min="9166" max="9166" width="10.7109375" style="16" customWidth="1"/>
    <col min="9167" max="9167" width="11.7109375" style="16" customWidth="1"/>
    <col min="9168" max="9168" width="17.7109375" style="16" customWidth="1"/>
    <col min="9169" max="9169" width="11.7109375" style="16" customWidth="1"/>
    <col min="9170" max="9170" width="17.7109375" style="16" customWidth="1"/>
    <col min="9171" max="9171" width="10.7109375" style="16" customWidth="1"/>
    <col min="9172" max="9400" width="10.7109375" style="16"/>
    <col min="9401" max="9401" width="10.7109375" style="16" customWidth="1"/>
    <col min="9402" max="9402" width="11.7109375" style="16" customWidth="1"/>
    <col min="9403" max="9403" width="17.7109375" style="16" customWidth="1"/>
    <col min="9404" max="9404" width="11.7109375" style="16" customWidth="1"/>
    <col min="9405" max="9405" width="17.7109375" style="16" customWidth="1"/>
    <col min="9406" max="9406" width="10.7109375" style="16" customWidth="1"/>
    <col min="9407" max="9407" width="2.7109375" style="16" customWidth="1"/>
    <col min="9408" max="9408" width="10.7109375" style="16" customWidth="1"/>
    <col min="9409" max="9409" width="11.7109375" style="16" customWidth="1"/>
    <col min="9410" max="9410" width="17.7109375" style="16" customWidth="1"/>
    <col min="9411" max="9411" width="11.7109375" style="16" customWidth="1"/>
    <col min="9412" max="9412" width="17.7109375" style="16" customWidth="1"/>
    <col min="9413" max="9413" width="10.7109375" style="16" customWidth="1"/>
    <col min="9414" max="9414" width="2.7109375" style="16" customWidth="1"/>
    <col min="9415" max="9415" width="10.7109375" style="16" customWidth="1"/>
    <col min="9416" max="9416" width="11.7109375" style="16" customWidth="1"/>
    <col min="9417" max="9417" width="17.7109375" style="16" customWidth="1"/>
    <col min="9418" max="9418" width="11.7109375" style="16" customWidth="1"/>
    <col min="9419" max="9419" width="17.7109375" style="16" customWidth="1"/>
    <col min="9420" max="9420" width="10.7109375" style="16" customWidth="1"/>
    <col min="9421" max="9421" width="2.7109375" style="16" customWidth="1"/>
    <col min="9422" max="9422" width="10.7109375" style="16" customWidth="1"/>
    <col min="9423" max="9423" width="11.7109375" style="16" customWidth="1"/>
    <col min="9424" max="9424" width="17.7109375" style="16" customWidth="1"/>
    <col min="9425" max="9425" width="11.7109375" style="16" customWidth="1"/>
    <col min="9426" max="9426" width="17.7109375" style="16" customWidth="1"/>
    <col min="9427" max="9427" width="10.7109375" style="16" customWidth="1"/>
    <col min="9428" max="9656" width="10.7109375" style="16"/>
    <col min="9657" max="9657" width="10.7109375" style="16" customWidth="1"/>
    <col min="9658" max="9658" width="11.7109375" style="16" customWidth="1"/>
    <col min="9659" max="9659" width="17.7109375" style="16" customWidth="1"/>
    <col min="9660" max="9660" width="11.7109375" style="16" customWidth="1"/>
    <col min="9661" max="9661" width="17.7109375" style="16" customWidth="1"/>
    <col min="9662" max="9662" width="10.7109375" style="16" customWidth="1"/>
    <col min="9663" max="9663" width="2.7109375" style="16" customWidth="1"/>
    <col min="9664" max="9664" width="10.7109375" style="16" customWidth="1"/>
    <col min="9665" max="9665" width="11.7109375" style="16" customWidth="1"/>
    <col min="9666" max="9666" width="17.7109375" style="16" customWidth="1"/>
    <col min="9667" max="9667" width="11.7109375" style="16" customWidth="1"/>
    <col min="9668" max="9668" width="17.7109375" style="16" customWidth="1"/>
    <col min="9669" max="9669" width="10.7109375" style="16" customWidth="1"/>
    <col min="9670" max="9670" width="2.7109375" style="16" customWidth="1"/>
    <col min="9671" max="9671" width="10.7109375" style="16" customWidth="1"/>
    <col min="9672" max="9672" width="11.7109375" style="16" customWidth="1"/>
    <col min="9673" max="9673" width="17.7109375" style="16" customWidth="1"/>
    <col min="9674" max="9674" width="11.7109375" style="16" customWidth="1"/>
    <col min="9675" max="9675" width="17.7109375" style="16" customWidth="1"/>
    <col min="9676" max="9676" width="10.7109375" style="16" customWidth="1"/>
    <col min="9677" max="9677" width="2.7109375" style="16" customWidth="1"/>
    <col min="9678" max="9678" width="10.7109375" style="16" customWidth="1"/>
    <col min="9679" max="9679" width="11.7109375" style="16" customWidth="1"/>
    <col min="9680" max="9680" width="17.7109375" style="16" customWidth="1"/>
    <col min="9681" max="9681" width="11.7109375" style="16" customWidth="1"/>
    <col min="9682" max="9682" width="17.7109375" style="16" customWidth="1"/>
    <col min="9683" max="9683" width="10.7109375" style="16" customWidth="1"/>
    <col min="9684" max="9912" width="10.7109375" style="16"/>
    <col min="9913" max="9913" width="10.7109375" style="16" customWidth="1"/>
    <col min="9914" max="9914" width="11.7109375" style="16" customWidth="1"/>
    <col min="9915" max="9915" width="17.7109375" style="16" customWidth="1"/>
    <col min="9916" max="9916" width="11.7109375" style="16" customWidth="1"/>
    <col min="9917" max="9917" width="17.7109375" style="16" customWidth="1"/>
    <col min="9918" max="9918" width="10.7109375" style="16" customWidth="1"/>
    <col min="9919" max="9919" width="2.7109375" style="16" customWidth="1"/>
    <col min="9920" max="9920" width="10.7109375" style="16" customWidth="1"/>
    <col min="9921" max="9921" width="11.7109375" style="16" customWidth="1"/>
    <col min="9922" max="9922" width="17.7109375" style="16" customWidth="1"/>
    <col min="9923" max="9923" width="11.7109375" style="16" customWidth="1"/>
    <col min="9924" max="9924" width="17.7109375" style="16" customWidth="1"/>
    <col min="9925" max="9925" width="10.7109375" style="16" customWidth="1"/>
    <col min="9926" max="9926" width="2.7109375" style="16" customWidth="1"/>
    <col min="9927" max="9927" width="10.7109375" style="16" customWidth="1"/>
    <col min="9928" max="9928" width="11.7109375" style="16" customWidth="1"/>
    <col min="9929" max="9929" width="17.7109375" style="16" customWidth="1"/>
    <col min="9930" max="9930" width="11.7109375" style="16" customWidth="1"/>
    <col min="9931" max="9931" width="17.7109375" style="16" customWidth="1"/>
    <col min="9932" max="9932" width="10.7109375" style="16" customWidth="1"/>
    <col min="9933" max="9933" width="2.7109375" style="16" customWidth="1"/>
    <col min="9934" max="9934" width="10.7109375" style="16" customWidth="1"/>
    <col min="9935" max="9935" width="11.7109375" style="16" customWidth="1"/>
    <col min="9936" max="9936" width="17.7109375" style="16" customWidth="1"/>
    <col min="9937" max="9937" width="11.7109375" style="16" customWidth="1"/>
    <col min="9938" max="9938" width="17.7109375" style="16" customWidth="1"/>
    <col min="9939" max="9939" width="10.7109375" style="16" customWidth="1"/>
    <col min="9940" max="10168" width="10.7109375" style="16"/>
    <col min="10169" max="10169" width="10.7109375" style="16" customWidth="1"/>
    <col min="10170" max="10170" width="11.7109375" style="16" customWidth="1"/>
    <col min="10171" max="10171" width="17.7109375" style="16" customWidth="1"/>
    <col min="10172" max="10172" width="11.7109375" style="16" customWidth="1"/>
    <col min="10173" max="10173" width="17.7109375" style="16" customWidth="1"/>
    <col min="10174" max="10174" width="10.7109375" style="16" customWidth="1"/>
    <col min="10175" max="10175" width="2.7109375" style="16" customWidth="1"/>
    <col min="10176" max="10176" width="10.7109375" style="16" customWidth="1"/>
    <col min="10177" max="10177" width="11.7109375" style="16" customWidth="1"/>
    <col min="10178" max="10178" width="17.7109375" style="16" customWidth="1"/>
    <col min="10179" max="10179" width="11.7109375" style="16" customWidth="1"/>
    <col min="10180" max="10180" width="17.7109375" style="16" customWidth="1"/>
    <col min="10181" max="10181" width="10.7109375" style="16" customWidth="1"/>
    <col min="10182" max="10182" width="2.7109375" style="16" customWidth="1"/>
    <col min="10183" max="10183" width="10.7109375" style="16" customWidth="1"/>
    <col min="10184" max="10184" width="11.7109375" style="16" customWidth="1"/>
    <col min="10185" max="10185" width="17.7109375" style="16" customWidth="1"/>
    <col min="10186" max="10186" width="11.7109375" style="16" customWidth="1"/>
    <col min="10187" max="10187" width="17.7109375" style="16" customWidth="1"/>
    <col min="10188" max="10188" width="10.7109375" style="16" customWidth="1"/>
    <col min="10189" max="10189" width="2.7109375" style="16" customWidth="1"/>
    <col min="10190" max="10190" width="10.7109375" style="16" customWidth="1"/>
    <col min="10191" max="10191" width="11.7109375" style="16" customWidth="1"/>
    <col min="10192" max="10192" width="17.7109375" style="16" customWidth="1"/>
    <col min="10193" max="10193" width="11.7109375" style="16" customWidth="1"/>
    <col min="10194" max="10194" width="17.7109375" style="16" customWidth="1"/>
    <col min="10195" max="10195" width="10.7109375" style="16" customWidth="1"/>
    <col min="10196" max="10424" width="10.7109375" style="16"/>
    <col min="10425" max="10425" width="10.7109375" style="16" customWidth="1"/>
    <col min="10426" max="10426" width="11.7109375" style="16" customWidth="1"/>
    <col min="10427" max="10427" width="17.7109375" style="16" customWidth="1"/>
    <col min="10428" max="10428" width="11.7109375" style="16" customWidth="1"/>
    <col min="10429" max="10429" width="17.7109375" style="16" customWidth="1"/>
    <col min="10430" max="10430" width="10.7109375" style="16" customWidth="1"/>
    <col min="10431" max="10431" width="2.7109375" style="16" customWidth="1"/>
    <col min="10432" max="10432" width="10.7109375" style="16" customWidth="1"/>
    <col min="10433" max="10433" width="11.7109375" style="16" customWidth="1"/>
    <col min="10434" max="10434" width="17.7109375" style="16" customWidth="1"/>
    <col min="10435" max="10435" width="11.7109375" style="16" customWidth="1"/>
    <col min="10436" max="10436" width="17.7109375" style="16" customWidth="1"/>
    <col min="10437" max="10437" width="10.7109375" style="16" customWidth="1"/>
    <col min="10438" max="10438" width="2.7109375" style="16" customWidth="1"/>
    <col min="10439" max="10439" width="10.7109375" style="16" customWidth="1"/>
    <col min="10440" max="10440" width="11.7109375" style="16" customWidth="1"/>
    <col min="10441" max="10441" width="17.7109375" style="16" customWidth="1"/>
    <col min="10442" max="10442" width="11.7109375" style="16" customWidth="1"/>
    <col min="10443" max="10443" width="17.7109375" style="16" customWidth="1"/>
    <col min="10444" max="10444" width="10.7109375" style="16" customWidth="1"/>
    <col min="10445" max="10445" width="2.7109375" style="16" customWidth="1"/>
    <col min="10446" max="10446" width="10.7109375" style="16" customWidth="1"/>
    <col min="10447" max="10447" width="11.7109375" style="16" customWidth="1"/>
    <col min="10448" max="10448" width="17.7109375" style="16" customWidth="1"/>
    <col min="10449" max="10449" width="11.7109375" style="16" customWidth="1"/>
    <col min="10450" max="10450" width="17.7109375" style="16" customWidth="1"/>
    <col min="10451" max="10451" width="10.7109375" style="16" customWidth="1"/>
    <col min="10452" max="10680" width="10.7109375" style="16"/>
    <col min="10681" max="10681" width="10.7109375" style="16" customWidth="1"/>
    <col min="10682" max="10682" width="11.7109375" style="16" customWidth="1"/>
    <col min="10683" max="10683" width="17.7109375" style="16" customWidth="1"/>
    <col min="10684" max="10684" width="11.7109375" style="16" customWidth="1"/>
    <col min="10685" max="10685" width="17.7109375" style="16" customWidth="1"/>
    <col min="10686" max="10686" width="10.7109375" style="16" customWidth="1"/>
    <col min="10687" max="10687" width="2.7109375" style="16" customWidth="1"/>
    <col min="10688" max="10688" width="10.7109375" style="16" customWidth="1"/>
    <col min="10689" max="10689" width="11.7109375" style="16" customWidth="1"/>
    <col min="10690" max="10690" width="17.7109375" style="16" customWidth="1"/>
    <col min="10691" max="10691" width="11.7109375" style="16" customWidth="1"/>
    <col min="10692" max="10692" width="17.7109375" style="16" customWidth="1"/>
    <col min="10693" max="10693" width="10.7109375" style="16" customWidth="1"/>
    <col min="10694" max="10694" width="2.7109375" style="16" customWidth="1"/>
    <col min="10695" max="10695" width="10.7109375" style="16" customWidth="1"/>
    <col min="10696" max="10696" width="11.7109375" style="16" customWidth="1"/>
    <col min="10697" max="10697" width="17.7109375" style="16" customWidth="1"/>
    <col min="10698" max="10698" width="11.7109375" style="16" customWidth="1"/>
    <col min="10699" max="10699" width="17.7109375" style="16" customWidth="1"/>
    <col min="10700" max="10700" width="10.7109375" style="16" customWidth="1"/>
    <col min="10701" max="10701" width="2.7109375" style="16" customWidth="1"/>
    <col min="10702" max="10702" width="10.7109375" style="16" customWidth="1"/>
    <col min="10703" max="10703" width="11.7109375" style="16" customWidth="1"/>
    <col min="10704" max="10704" width="17.7109375" style="16" customWidth="1"/>
    <col min="10705" max="10705" width="11.7109375" style="16" customWidth="1"/>
    <col min="10706" max="10706" width="17.7109375" style="16" customWidth="1"/>
    <col min="10707" max="10707" width="10.7109375" style="16" customWidth="1"/>
    <col min="10708" max="10936" width="10.7109375" style="16"/>
    <col min="10937" max="10937" width="10.7109375" style="16" customWidth="1"/>
    <col min="10938" max="10938" width="11.7109375" style="16" customWidth="1"/>
    <col min="10939" max="10939" width="17.7109375" style="16" customWidth="1"/>
    <col min="10940" max="10940" width="11.7109375" style="16" customWidth="1"/>
    <col min="10941" max="10941" width="17.7109375" style="16" customWidth="1"/>
    <col min="10942" max="10942" width="10.7109375" style="16" customWidth="1"/>
    <col min="10943" max="10943" width="2.7109375" style="16" customWidth="1"/>
    <col min="10944" max="10944" width="10.7109375" style="16" customWidth="1"/>
    <col min="10945" max="10945" width="11.7109375" style="16" customWidth="1"/>
    <col min="10946" max="10946" width="17.7109375" style="16" customWidth="1"/>
    <col min="10947" max="10947" width="11.7109375" style="16" customWidth="1"/>
    <col min="10948" max="10948" width="17.7109375" style="16" customWidth="1"/>
    <col min="10949" max="10949" width="10.7109375" style="16" customWidth="1"/>
    <col min="10950" max="10950" width="2.7109375" style="16" customWidth="1"/>
    <col min="10951" max="10951" width="10.7109375" style="16" customWidth="1"/>
    <col min="10952" max="10952" width="11.7109375" style="16" customWidth="1"/>
    <col min="10953" max="10953" width="17.7109375" style="16" customWidth="1"/>
    <col min="10954" max="10954" width="11.7109375" style="16" customWidth="1"/>
    <col min="10955" max="10955" width="17.7109375" style="16" customWidth="1"/>
    <col min="10956" max="10956" width="10.7109375" style="16" customWidth="1"/>
    <col min="10957" max="10957" width="2.7109375" style="16" customWidth="1"/>
    <col min="10958" max="10958" width="10.7109375" style="16" customWidth="1"/>
    <col min="10959" max="10959" width="11.7109375" style="16" customWidth="1"/>
    <col min="10960" max="10960" width="17.7109375" style="16" customWidth="1"/>
    <col min="10961" max="10961" width="11.7109375" style="16" customWidth="1"/>
    <col min="10962" max="10962" width="17.7109375" style="16" customWidth="1"/>
    <col min="10963" max="10963" width="10.7109375" style="16" customWidth="1"/>
    <col min="10964" max="11192" width="10.7109375" style="16"/>
    <col min="11193" max="11193" width="10.7109375" style="16" customWidth="1"/>
    <col min="11194" max="11194" width="11.7109375" style="16" customWidth="1"/>
    <col min="11195" max="11195" width="17.7109375" style="16" customWidth="1"/>
    <col min="11196" max="11196" width="11.7109375" style="16" customWidth="1"/>
    <col min="11197" max="11197" width="17.7109375" style="16" customWidth="1"/>
    <col min="11198" max="11198" width="10.7109375" style="16" customWidth="1"/>
    <col min="11199" max="11199" width="2.7109375" style="16" customWidth="1"/>
    <col min="11200" max="11200" width="10.7109375" style="16" customWidth="1"/>
    <col min="11201" max="11201" width="11.7109375" style="16" customWidth="1"/>
    <col min="11202" max="11202" width="17.7109375" style="16" customWidth="1"/>
    <col min="11203" max="11203" width="11.7109375" style="16" customWidth="1"/>
    <col min="11204" max="11204" width="17.7109375" style="16" customWidth="1"/>
    <col min="11205" max="11205" width="10.7109375" style="16" customWidth="1"/>
    <col min="11206" max="11206" width="2.7109375" style="16" customWidth="1"/>
    <col min="11207" max="11207" width="10.7109375" style="16" customWidth="1"/>
    <col min="11208" max="11208" width="11.7109375" style="16" customWidth="1"/>
    <col min="11209" max="11209" width="17.7109375" style="16" customWidth="1"/>
    <col min="11210" max="11210" width="11.7109375" style="16" customWidth="1"/>
    <col min="11211" max="11211" width="17.7109375" style="16" customWidth="1"/>
    <col min="11212" max="11212" width="10.7109375" style="16" customWidth="1"/>
    <col min="11213" max="11213" width="2.7109375" style="16" customWidth="1"/>
    <col min="11214" max="11214" width="10.7109375" style="16" customWidth="1"/>
    <col min="11215" max="11215" width="11.7109375" style="16" customWidth="1"/>
    <col min="11216" max="11216" width="17.7109375" style="16" customWidth="1"/>
    <col min="11217" max="11217" width="11.7109375" style="16" customWidth="1"/>
    <col min="11218" max="11218" width="17.7109375" style="16" customWidth="1"/>
    <col min="11219" max="11219" width="10.7109375" style="16" customWidth="1"/>
    <col min="11220" max="11448" width="10.7109375" style="16"/>
    <col min="11449" max="11449" width="10.7109375" style="16" customWidth="1"/>
    <col min="11450" max="11450" width="11.7109375" style="16" customWidth="1"/>
    <col min="11451" max="11451" width="17.7109375" style="16" customWidth="1"/>
    <col min="11452" max="11452" width="11.7109375" style="16" customWidth="1"/>
    <col min="11453" max="11453" width="17.7109375" style="16" customWidth="1"/>
    <col min="11454" max="11454" width="10.7109375" style="16" customWidth="1"/>
    <col min="11455" max="11455" width="2.7109375" style="16" customWidth="1"/>
    <col min="11456" max="11456" width="10.7109375" style="16" customWidth="1"/>
    <col min="11457" max="11457" width="11.7109375" style="16" customWidth="1"/>
    <col min="11458" max="11458" width="17.7109375" style="16" customWidth="1"/>
    <col min="11459" max="11459" width="11.7109375" style="16" customWidth="1"/>
    <col min="11460" max="11460" width="17.7109375" style="16" customWidth="1"/>
    <col min="11461" max="11461" width="10.7109375" style="16" customWidth="1"/>
    <col min="11462" max="11462" width="2.7109375" style="16" customWidth="1"/>
    <col min="11463" max="11463" width="10.7109375" style="16" customWidth="1"/>
    <col min="11464" max="11464" width="11.7109375" style="16" customWidth="1"/>
    <col min="11465" max="11465" width="17.7109375" style="16" customWidth="1"/>
    <col min="11466" max="11466" width="11.7109375" style="16" customWidth="1"/>
    <col min="11467" max="11467" width="17.7109375" style="16" customWidth="1"/>
    <col min="11468" max="11468" width="10.7109375" style="16" customWidth="1"/>
    <col min="11469" max="11469" width="2.7109375" style="16" customWidth="1"/>
    <col min="11470" max="11470" width="10.7109375" style="16" customWidth="1"/>
    <col min="11471" max="11471" width="11.7109375" style="16" customWidth="1"/>
    <col min="11472" max="11472" width="17.7109375" style="16" customWidth="1"/>
    <col min="11473" max="11473" width="11.7109375" style="16" customWidth="1"/>
    <col min="11474" max="11474" width="17.7109375" style="16" customWidth="1"/>
    <col min="11475" max="11475" width="10.7109375" style="16" customWidth="1"/>
    <col min="11476" max="11704" width="10.7109375" style="16"/>
    <col min="11705" max="11705" width="10.7109375" style="16" customWidth="1"/>
    <col min="11706" max="11706" width="11.7109375" style="16" customWidth="1"/>
    <col min="11707" max="11707" width="17.7109375" style="16" customWidth="1"/>
    <col min="11708" max="11708" width="11.7109375" style="16" customWidth="1"/>
    <col min="11709" max="11709" width="17.7109375" style="16" customWidth="1"/>
    <col min="11710" max="11710" width="10.7109375" style="16" customWidth="1"/>
    <col min="11711" max="11711" width="2.7109375" style="16" customWidth="1"/>
    <col min="11712" max="11712" width="10.7109375" style="16" customWidth="1"/>
    <col min="11713" max="11713" width="11.7109375" style="16" customWidth="1"/>
    <col min="11714" max="11714" width="17.7109375" style="16" customWidth="1"/>
    <col min="11715" max="11715" width="11.7109375" style="16" customWidth="1"/>
    <col min="11716" max="11716" width="17.7109375" style="16" customWidth="1"/>
    <col min="11717" max="11717" width="10.7109375" style="16" customWidth="1"/>
    <col min="11718" max="11718" width="2.7109375" style="16" customWidth="1"/>
    <col min="11719" max="11719" width="10.7109375" style="16" customWidth="1"/>
    <col min="11720" max="11720" width="11.7109375" style="16" customWidth="1"/>
    <col min="11721" max="11721" width="17.7109375" style="16" customWidth="1"/>
    <col min="11722" max="11722" width="11.7109375" style="16" customWidth="1"/>
    <col min="11723" max="11723" width="17.7109375" style="16" customWidth="1"/>
    <col min="11724" max="11724" width="10.7109375" style="16" customWidth="1"/>
    <col min="11725" max="11725" width="2.7109375" style="16" customWidth="1"/>
    <col min="11726" max="11726" width="10.7109375" style="16" customWidth="1"/>
    <col min="11727" max="11727" width="11.7109375" style="16" customWidth="1"/>
    <col min="11728" max="11728" width="17.7109375" style="16" customWidth="1"/>
    <col min="11729" max="11729" width="11.7109375" style="16" customWidth="1"/>
    <col min="11730" max="11730" width="17.7109375" style="16" customWidth="1"/>
    <col min="11731" max="11731" width="10.7109375" style="16" customWidth="1"/>
    <col min="11732" max="11960" width="10.7109375" style="16"/>
    <col min="11961" max="11961" width="10.7109375" style="16" customWidth="1"/>
    <col min="11962" max="11962" width="11.7109375" style="16" customWidth="1"/>
    <col min="11963" max="11963" width="17.7109375" style="16" customWidth="1"/>
    <col min="11964" max="11964" width="11.7109375" style="16" customWidth="1"/>
    <col min="11965" max="11965" width="17.7109375" style="16" customWidth="1"/>
    <col min="11966" max="11966" width="10.7109375" style="16" customWidth="1"/>
    <col min="11967" max="11967" width="2.7109375" style="16" customWidth="1"/>
    <col min="11968" max="11968" width="10.7109375" style="16" customWidth="1"/>
    <col min="11969" max="11969" width="11.7109375" style="16" customWidth="1"/>
    <col min="11970" max="11970" width="17.7109375" style="16" customWidth="1"/>
    <col min="11971" max="11971" width="11.7109375" style="16" customWidth="1"/>
    <col min="11972" max="11972" width="17.7109375" style="16" customWidth="1"/>
    <col min="11973" max="11973" width="10.7109375" style="16" customWidth="1"/>
    <col min="11974" max="11974" width="2.7109375" style="16" customWidth="1"/>
    <col min="11975" max="11975" width="10.7109375" style="16" customWidth="1"/>
    <col min="11976" max="11976" width="11.7109375" style="16" customWidth="1"/>
    <col min="11977" max="11977" width="17.7109375" style="16" customWidth="1"/>
    <col min="11978" max="11978" width="11.7109375" style="16" customWidth="1"/>
    <col min="11979" max="11979" width="17.7109375" style="16" customWidth="1"/>
    <col min="11980" max="11980" width="10.7109375" style="16" customWidth="1"/>
    <col min="11981" max="11981" width="2.7109375" style="16" customWidth="1"/>
    <col min="11982" max="11982" width="10.7109375" style="16" customWidth="1"/>
    <col min="11983" max="11983" width="11.7109375" style="16" customWidth="1"/>
    <col min="11984" max="11984" width="17.7109375" style="16" customWidth="1"/>
    <col min="11985" max="11985" width="11.7109375" style="16" customWidth="1"/>
    <col min="11986" max="11986" width="17.7109375" style="16" customWidth="1"/>
    <col min="11987" max="11987" width="10.7109375" style="16" customWidth="1"/>
    <col min="11988" max="12216" width="10.7109375" style="16"/>
    <col min="12217" max="12217" width="10.7109375" style="16" customWidth="1"/>
    <col min="12218" max="12218" width="11.7109375" style="16" customWidth="1"/>
    <col min="12219" max="12219" width="17.7109375" style="16" customWidth="1"/>
    <col min="12220" max="12220" width="11.7109375" style="16" customWidth="1"/>
    <col min="12221" max="12221" width="17.7109375" style="16" customWidth="1"/>
    <col min="12222" max="12222" width="10.7109375" style="16" customWidth="1"/>
    <col min="12223" max="12223" width="2.7109375" style="16" customWidth="1"/>
    <col min="12224" max="12224" width="10.7109375" style="16" customWidth="1"/>
    <col min="12225" max="12225" width="11.7109375" style="16" customWidth="1"/>
    <col min="12226" max="12226" width="17.7109375" style="16" customWidth="1"/>
    <col min="12227" max="12227" width="11.7109375" style="16" customWidth="1"/>
    <col min="12228" max="12228" width="17.7109375" style="16" customWidth="1"/>
    <col min="12229" max="12229" width="10.7109375" style="16" customWidth="1"/>
    <col min="12230" max="12230" width="2.7109375" style="16" customWidth="1"/>
    <col min="12231" max="12231" width="10.7109375" style="16" customWidth="1"/>
    <col min="12232" max="12232" width="11.7109375" style="16" customWidth="1"/>
    <col min="12233" max="12233" width="17.7109375" style="16" customWidth="1"/>
    <col min="12234" max="12234" width="11.7109375" style="16" customWidth="1"/>
    <col min="12235" max="12235" width="17.7109375" style="16" customWidth="1"/>
    <col min="12236" max="12236" width="10.7109375" style="16" customWidth="1"/>
    <col min="12237" max="12237" width="2.7109375" style="16" customWidth="1"/>
    <col min="12238" max="12238" width="10.7109375" style="16" customWidth="1"/>
    <col min="12239" max="12239" width="11.7109375" style="16" customWidth="1"/>
    <col min="12240" max="12240" width="17.7109375" style="16" customWidth="1"/>
    <col min="12241" max="12241" width="11.7109375" style="16" customWidth="1"/>
    <col min="12242" max="12242" width="17.7109375" style="16" customWidth="1"/>
    <col min="12243" max="12243" width="10.7109375" style="16" customWidth="1"/>
    <col min="12244" max="12472" width="10.7109375" style="16"/>
    <col min="12473" max="12473" width="10.7109375" style="16" customWidth="1"/>
    <col min="12474" max="12474" width="11.7109375" style="16" customWidth="1"/>
    <col min="12475" max="12475" width="17.7109375" style="16" customWidth="1"/>
    <col min="12476" max="12476" width="11.7109375" style="16" customWidth="1"/>
    <col min="12477" max="12477" width="17.7109375" style="16" customWidth="1"/>
    <col min="12478" max="12478" width="10.7109375" style="16" customWidth="1"/>
    <col min="12479" max="12479" width="2.7109375" style="16" customWidth="1"/>
    <col min="12480" max="12480" width="10.7109375" style="16" customWidth="1"/>
    <col min="12481" max="12481" width="11.7109375" style="16" customWidth="1"/>
    <col min="12482" max="12482" width="17.7109375" style="16" customWidth="1"/>
    <col min="12483" max="12483" width="11.7109375" style="16" customWidth="1"/>
    <col min="12484" max="12484" width="17.7109375" style="16" customWidth="1"/>
    <col min="12485" max="12485" width="10.7109375" style="16" customWidth="1"/>
    <col min="12486" max="12486" width="2.7109375" style="16" customWidth="1"/>
    <col min="12487" max="12487" width="10.7109375" style="16" customWidth="1"/>
    <col min="12488" max="12488" width="11.7109375" style="16" customWidth="1"/>
    <col min="12489" max="12489" width="17.7109375" style="16" customWidth="1"/>
    <col min="12490" max="12490" width="11.7109375" style="16" customWidth="1"/>
    <col min="12491" max="12491" width="17.7109375" style="16" customWidth="1"/>
    <col min="12492" max="12492" width="10.7109375" style="16" customWidth="1"/>
    <col min="12493" max="12493" width="2.7109375" style="16" customWidth="1"/>
    <col min="12494" max="12494" width="10.7109375" style="16" customWidth="1"/>
    <col min="12495" max="12495" width="11.7109375" style="16" customWidth="1"/>
    <col min="12496" max="12496" width="17.7109375" style="16" customWidth="1"/>
    <col min="12497" max="12497" width="11.7109375" style="16" customWidth="1"/>
    <col min="12498" max="12498" width="17.7109375" style="16" customWidth="1"/>
    <col min="12499" max="12499" width="10.7109375" style="16" customWidth="1"/>
    <col min="12500" max="12728" width="10.7109375" style="16"/>
    <col min="12729" max="12729" width="10.7109375" style="16" customWidth="1"/>
    <col min="12730" max="12730" width="11.7109375" style="16" customWidth="1"/>
    <col min="12731" max="12731" width="17.7109375" style="16" customWidth="1"/>
    <col min="12732" max="12732" width="11.7109375" style="16" customWidth="1"/>
    <col min="12733" max="12733" width="17.7109375" style="16" customWidth="1"/>
    <col min="12734" max="12734" width="10.7109375" style="16" customWidth="1"/>
    <col min="12735" max="12735" width="2.7109375" style="16" customWidth="1"/>
    <col min="12736" max="12736" width="10.7109375" style="16" customWidth="1"/>
    <col min="12737" max="12737" width="11.7109375" style="16" customWidth="1"/>
    <col min="12738" max="12738" width="17.7109375" style="16" customWidth="1"/>
    <col min="12739" max="12739" width="11.7109375" style="16" customWidth="1"/>
    <col min="12740" max="12740" width="17.7109375" style="16" customWidth="1"/>
    <col min="12741" max="12741" width="10.7109375" style="16" customWidth="1"/>
    <col min="12742" max="12742" width="2.7109375" style="16" customWidth="1"/>
    <col min="12743" max="12743" width="10.7109375" style="16" customWidth="1"/>
    <col min="12744" max="12744" width="11.7109375" style="16" customWidth="1"/>
    <col min="12745" max="12745" width="17.7109375" style="16" customWidth="1"/>
    <col min="12746" max="12746" width="11.7109375" style="16" customWidth="1"/>
    <col min="12747" max="12747" width="17.7109375" style="16" customWidth="1"/>
    <col min="12748" max="12748" width="10.7109375" style="16" customWidth="1"/>
    <col min="12749" max="12749" width="2.7109375" style="16" customWidth="1"/>
    <col min="12750" max="12750" width="10.7109375" style="16" customWidth="1"/>
    <col min="12751" max="12751" width="11.7109375" style="16" customWidth="1"/>
    <col min="12752" max="12752" width="17.7109375" style="16" customWidth="1"/>
    <col min="12753" max="12753" width="11.7109375" style="16" customWidth="1"/>
    <col min="12754" max="12754" width="17.7109375" style="16" customWidth="1"/>
    <col min="12755" max="12755" width="10.7109375" style="16" customWidth="1"/>
    <col min="12756" max="12984" width="10.7109375" style="16"/>
    <col min="12985" max="12985" width="10.7109375" style="16" customWidth="1"/>
    <col min="12986" max="12986" width="11.7109375" style="16" customWidth="1"/>
    <col min="12987" max="12987" width="17.7109375" style="16" customWidth="1"/>
    <col min="12988" max="12988" width="11.7109375" style="16" customWidth="1"/>
    <col min="12989" max="12989" width="17.7109375" style="16" customWidth="1"/>
    <col min="12990" max="12990" width="10.7109375" style="16" customWidth="1"/>
    <col min="12991" max="12991" width="2.7109375" style="16" customWidth="1"/>
    <col min="12992" max="12992" width="10.7109375" style="16" customWidth="1"/>
    <col min="12993" max="12993" width="11.7109375" style="16" customWidth="1"/>
    <col min="12994" max="12994" width="17.7109375" style="16" customWidth="1"/>
    <col min="12995" max="12995" width="11.7109375" style="16" customWidth="1"/>
    <col min="12996" max="12996" width="17.7109375" style="16" customWidth="1"/>
    <col min="12997" max="12997" width="10.7109375" style="16" customWidth="1"/>
    <col min="12998" max="12998" width="2.7109375" style="16" customWidth="1"/>
    <col min="12999" max="12999" width="10.7109375" style="16" customWidth="1"/>
    <col min="13000" max="13000" width="11.7109375" style="16" customWidth="1"/>
    <col min="13001" max="13001" width="17.7109375" style="16" customWidth="1"/>
    <col min="13002" max="13002" width="11.7109375" style="16" customWidth="1"/>
    <col min="13003" max="13003" width="17.7109375" style="16" customWidth="1"/>
    <col min="13004" max="13004" width="10.7109375" style="16" customWidth="1"/>
    <col min="13005" max="13005" width="2.7109375" style="16" customWidth="1"/>
    <col min="13006" max="13006" width="10.7109375" style="16" customWidth="1"/>
    <col min="13007" max="13007" width="11.7109375" style="16" customWidth="1"/>
    <col min="13008" max="13008" width="17.7109375" style="16" customWidth="1"/>
    <col min="13009" max="13009" width="11.7109375" style="16" customWidth="1"/>
    <col min="13010" max="13010" width="17.7109375" style="16" customWidth="1"/>
    <col min="13011" max="13011" width="10.7109375" style="16" customWidth="1"/>
    <col min="13012" max="13240" width="10.7109375" style="16"/>
    <col min="13241" max="13241" width="10.7109375" style="16" customWidth="1"/>
    <col min="13242" max="13242" width="11.7109375" style="16" customWidth="1"/>
    <col min="13243" max="13243" width="17.7109375" style="16" customWidth="1"/>
    <col min="13244" max="13244" width="11.7109375" style="16" customWidth="1"/>
    <col min="13245" max="13245" width="17.7109375" style="16" customWidth="1"/>
    <col min="13246" max="13246" width="10.7109375" style="16" customWidth="1"/>
    <col min="13247" max="13247" width="2.7109375" style="16" customWidth="1"/>
    <col min="13248" max="13248" width="10.7109375" style="16" customWidth="1"/>
    <col min="13249" max="13249" width="11.7109375" style="16" customWidth="1"/>
    <col min="13250" max="13250" width="17.7109375" style="16" customWidth="1"/>
    <col min="13251" max="13251" width="11.7109375" style="16" customWidth="1"/>
    <col min="13252" max="13252" width="17.7109375" style="16" customWidth="1"/>
    <col min="13253" max="13253" width="10.7109375" style="16" customWidth="1"/>
    <col min="13254" max="13254" width="2.7109375" style="16" customWidth="1"/>
    <col min="13255" max="13255" width="10.7109375" style="16" customWidth="1"/>
    <col min="13256" max="13256" width="11.7109375" style="16" customWidth="1"/>
    <col min="13257" max="13257" width="17.7109375" style="16" customWidth="1"/>
    <col min="13258" max="13258" width="11.7109375" style="16" customWidth="1"/>
    <col min="13259" max="13259" width="17.7109375" style="16" customWidth="1"/>
    <col min="13260" max="13260" width="10.7109375" style="16" customWidth="1"/>
    <col min="13261" max="13261" width="2.7109375" style="16" customWidth="1"/>
    <col min="13262" max="13262" width="10.7109375" style="16" customWidth="1"/>
    <col min="13263" max="13263" width="11.7109375" style="16" customWidth="1"/>
    <col min="13264" max="13264" width="17.7109375" style="16" customWidth="1"/>
    <col min="13265" max="13265" width="11.7109375" style="16" customWidth="1"/>
    <col min="13266" max="13266" width="17.7109375" style="16" customWidth="1"/>
    <col min="13267" max="13267" width="10.7109375" style="16" customWidth="1"/>
    <col min="13268" max="13496" width="10.7109375" style="16"/>
    <col min="13497" max="13497" width="10.7109375" style="16" customWidth="1"/>
    <col min="13498" max="13498" width="11.7109375" style="16" customWidth="1"/>
    <col min="13499" max="13499" width="17.7109375" style="16" customWidth="1"/>
    <col min="13500" max="13500" width="11.7109375" style="16" customWidth="1"/>
    <col min="13501" max="13501" width="17.7109375" style="16" customWidth="1"/>
    <col min="13502" max="13502" width="10.7109375" style="16" customWidth="1"/>
    <col min="13503" max="13503" width="2.7109375" style="16" customWidth="1"/>
    <col min="13504" max="13504" width="10.7109375" style="16" customWidth="1"/>
    <col min="13505" max="13505" width="11.7109375" style="16" customWidth="1"/>
    <col min="13506" max="13506" width="17.7109375" style="16" customWidth="1"/>
    <col min="13507" max="13507" width="11.7109375" style="16" customWidth="1"/>
    <col min="13508" max="13508" width="17.7109375" style="16" customWidth="1"/>
    <col min="13509" max="13509" width="10.7109375" style="16" customWidth="1"/>
    <col min="13510" max="13510" width="2.7109375" style="16" customWidth="1"/>
    <col min="13511" max="13511" width="10.7109375" style="16" customWidth="1"/>
    <col min="13512" max="13512" width="11.7109375" style="16" customWidth="1"/>
    <col min="13513" max="13513" width="17.7109375" style="16" customWidth="1"/>
    <col min="13514" max="13514" width="11.7109375" style="16" customWidth="1"/>
    <col min="13515" max="13515" width="17.7109375" style="16" customWidth="1"/>
    <col min="13516" max="13516" width="10.7109375" style="16" customWidth="1"/>
    <col min="13517" max="13517" width="2.7109375" style="16" customWidth="1"/>
    <col min="13518" max="13518" width="10.7109375" style="16" customWidth="1"/>
    <col min="13519" max="13519" width="11.7109375" style="16" customWidth="1"/>
    <col min="13520" max="13520" width="17.7109375" style="16" customWidth="1"/>
    <col min="13521" max="13521" width="11.7109375" style="16" customWidth="1"/>
    <col min="13522" max="13522" width="17.7109375" style="16" customWidth="1"/>
    <col min="13523" max="13523" width="10.7109375" style="16" customWidth="1"/>
    <col min="13524" max="13752" width="10.7109375" style="16"/>
    <col min="13753" max="13753" width="10.7109375" style="16" customWidth="1"/>
    <col min="13754" max="13754" width="11.7109375" style="16" customWidth="1"/>
    <col min="13755" max="13755" width="17.7109375" style="16" customWidth="1"/>
    <col min="13756" max="13756" width="11.7109375" style="16" customWidth="1"/>
    <col min="13757" max="13757" width="17.7109375" style="16" customWidth="1"/>
    <col min="13758" max="13758" width="10.7109375" style="16" customWidth="1"/>
    <col min="13759" max="13759" width="2.7109375" style="16" customWidth="1"/>
    <col min="13760" max="13760" width="10.7109375" style="16" customWidth="1"/>
    <col min="13761" max="13761" width="11.7109375" style="16" customWidth="1"/>
    <col min="13762" max="13762" width="17.7109375" style="16" customWidth="1"/>
    <col min="13763" max="13763" width="11.7109375" style="16" customWidth="1"/>
    <col min="13764" max="13764" width="17.7109375" style="16" customWidth="1"/>
    <col min="13765" max="13765" width="10.7109375" style="16" customWidth="1"/>
    <col min="13766" max="13766" width="2.7109375" style="16" customWidth="1"/>
    <col min="13767" max="13767" width="10.7109375" style="16" customWidth="1"/>
    <col min="13768" max="13768" width="11.7109375" style="16" customWidth="1"/>
    <col min="13769" max="13769" width="17.7109375" style="16" customWidth="1"/>
    <col min="13770" max="13770" width="11.7109375" style="16" customWidth="1"/>
    <col min="13771" max="13771" width="17.7109375" style="16" customWidth="1"/>
    <col min="13772" max="13772" width="10.7109375" style="16" customWidth="1"/>
    <col min="13773" max="13773" width="2.7109375" style="16" customWidth="1"/>
    <col min="13774" max="13774" width="10.7109375" style="16" customWidth="1"/>
    <col min="13775" max="13775" width="11.7109375" style="16" customWidth="1"/>
    <col min="13776" max="13776" width="17.7109375" style="16" customWidth="1"/>
    <col min="13777" max="13777" width="11.7109375" style="16" customWidth="1"/>
    <col min="13778" max="13778" width="17.7109375" style="16" customWidth="1"/>
    <col min="13779" max="13779" width="10.7109375" style="16" customWidth="1"/>
    <col min="13780" max="14008" width="10.7109375" style="16"/>
    <col min="14009" max="14009" width="10.7109375" style="16" customWidth="1"/>
    <col min="14010" max="14010" width="11.7109375" style="16" customWidth="1"/>
    <col min="14011" max="14011" width="17.7109375" style="16" customWidth="1"/>
    <col min="14012" max="14012" width="11.7109375" style="16" customWidth="1"/>
    <col min="14013" max="14013" width="17.7109375" style="16" customWidth="1"/>
    <col min="14014" max="14014" width="10.7109375" style="16" customWidth="1"/>
    <col min="14015" max="14015" width="2.7109375" style="16" customWidth="1"/>
    <col min="14016" max="14016" width="10.7109375" style="16" customWidth="1"/>
    <col min="14017" max="14017" width="11.7109375" style="16" customWidth="1"/>
    <col min="14018" max="14018" width="17.7109375" style="16" customWidth="1"/>
    <col min="14019" max="14019" width="11.7109375" style="16" customWidth="1"/>
    <col min="14020" max="14020" width="17.7109375" style="16" customWidth="1"/>
    <col min="14021" max="14021" width="10.7109375" style="16" customWidth="1"/>
    <col min="14022" max="14022" width="2.7109375" style="16" customWidth="1"/>
    <col min="14023" max="14023" width="10.7109375" style="16" customWidth="1"/>
    <col min="14024" max="14024" width="11.7109375" style="16" customWidth="1"/>
    <col min="14025" max="14025" width="17.7109375" style="16" customWidth="1"/>
    <col min="14026" max="14026" width="11.7109375" style="16" customWidth="1"/>
    <col min="14027" max="14027" width="17.7109375" style="16" customWidth="1"/>
    <col min="14028" max="14028" width="10.7109375" style="16" customWidth="1"/>
    <col min="14029" max="14029" width="2.7109375" style="16" customWidth="1"/>
    <col min="14030" max="14030" width="10.7109375" style="16" customWidth="1"/>
    <col min="14031" max="14031" width="11.7109375" style="16" customWidth="1"/>
    <col min="14032" max="14032" width="17.7109375" style="16" customWidth="1"/>
    <col min="14033" max="14033" width="11.7109375" style="16" customWidth="1"/>
    <col min="14034" max="14034" width="17.7109375" style="16" customWidth="1"/>
    <col min="14035" max="14035" width="10.7109375" style="16" customWidth="1"/>
    <col min="14036" max="14264" width="10.7109375" style="16"/>
    <col min="14265" max="14265" width="10.7109375" style="16" customWidth="1"/>
    <col min="14266" max="14266" width="11.7109375" style="16" customWidth="1"/>
    <col min="14267" max="14267" width="17.7109375" style="16" customWidth="1"/>
    <col min="14268" max="14268" width="11.7109375" style="16" customWidth="1"/>
    <col min="14269" max="14269" width="17.7109375" style="16" customWidth="1"/>
    <col min="14270" max="14270" width="10.7109375" style="16" customWidth="1"/>
    <col min="14271" max="14271" width="2.7109375" style="16" customWidth="1"/>
    <col min="14272" max="14272" width="10.7109375" style="16" customWidth="1"/>
    <col min="14273" max="14273" width="11.7109375" style="16" customWidth="1"/>
    <col min="14274" max="14274" width="17.7109375" style="16" customWidth="1"/>
    <col min="14275" max="14275" width="11.7109375" style="16" customWidth="1"/>
    <col min="14276" max="14276" width="17.7109375" style="16" customWidth="1"/>
    <col min="14277" max="14277" width="10.7109375" style="16" customWidth="1"/>
    <col min="14278" max="14278" width="2.7109375" style="16" customWidth="1"/>
    <col min="14279" max="14279" width="10.7109375" style="16" customWidth="1"/>
    <col min="14280" max="14280" width="11.7109375" style="16" customWidth="1"/>
    <col min="14281" max="14281" width="17.7109375" style="16" customWidth="1"/>
    <col min="14282" max="14282" width="11.7109375" style="16" customWidth="1"/>
    <col min="14283" max="14283" width="17.7109375" style="16" customWidth="1"/>
    <col min="14284" max="14284" width="10.7109375" style="16" customWidth="1"/>
    <col min="14285" max="14285" width="2.7109375" style="16" customWidth="1"/>
    <col min="14286" max="14286" width="10.7109375" style="16" customWidth="1"/>
    <col min="14287" max="14287" width="11.7109375" style="16" customWidth="1"/>
    <col min="14288" max="14288" width="17.7109375" style="16" customWidth="1"/>
    <col min="14289" max="14289" width="11.7109375" style="16" customWidth="1"/>
    <col min="14290" max="14290" width="17.7109375" style="16" customWidth="1"/>
    <col min="14291" max="14291" width="10.7109375" style="16" customWidth="1"/>
    <col min="14292" max="14520" width="10.7109375" style="16"/>
    <col min="14521" max="14521" width="10.7109375" style="16" customWidth="1"/>
    <col min="14522" max="14522" width="11.7109375" style="16" customWidth="1"/>
    <col min="14523" max="14523" width="17.7109375" style="16" customWidth="1"/>
    <col min="14524" max="14524" width="11.7109375" style="16" customWidth="1"/>
    <col min="14525" max="14525" width="17.7109375" style="16" customWidth="1"/>
    <col min="14526" max="14526" width="10.7109375" style="16" customWidth="1"/>
    <col min="14527" max="14527" width="2.7109375" style="16" customWidth="1"/>
    <col min="14528" max="14528" width="10.7109375" style="16" customWidth="1"/>
    <col min="14529" max="14529" width="11.7109375" style="16" customWidth="1"/>
    <col min="14530" max="14530" width="17.7109375" style="16" customWidth="1"/>
    <col min="14531" max="14531" width="11.7109375" style="16" customWidth="1"/>
    <col min="14532" max="14532" width="17.7109375" style="16" customWidth="1"/>
    <col min="14533" max="14533" width="10.7109375" style="16" customWidth="1"/>
    <col min="14534" max="14534" width="2.7109375" style="16" customWidth="1"/>
    <col min="14535" max="14535" width="10.7109375" style="16" customWidth="1"/>
    <col min="14536" max="14536" width="11.7109375" style="16" customWidth="1"/>
    <col min="14537" max="14537" width="17.7109375" style="16" customWidth="1"/>
    <col min="14538" max="14538" width="11.7109375" style="16" customWidth="1"/>
    <col min="14539" max="14539" width="17.7109375" style="16" customWidth="1"/>
    <col min="14540" max="14540" width="10.7109375" style="16" customWidth="1"/>
    <col min="14541" max="14541" width="2.7109375" style="16" customWidth="1"/>
    <col min="14542" max="14542" width="10.7109375" style="16" customWidth="1"/>
    <col min="14543" max="14543" width="11.7109375" style="16" customWidth="1"/>
    <col min="14544" max="14544" width="17.7109375" style="16" customWidth="1"/>
    <col min="14545" max="14545" width="11.7109375" style="16" customWidth="1"/>
    <col min="14546" max="14546" width="17.7109375" style="16" customWidth="1"/>
    <col min="14547" max="14547" width="10.7109375" style="16" customWidth="1"/>
    <col min="14548" max="14776" width="10.7109375" style="16"/>
    <col min="14777" max="14777" width="10.7109375" style="16" customWidth="1"/>
    <col min="14778" max="14778" width="11.7109375" style="16" customWidth="1"/>
    <col min="14779" max="14779" width="17.7109375" style="16" customWidth="1"/>
    <col min="14780" max="14780" width="11.7109375" style="16" customWidth="1"/>
    <col min="14781" max="14781" width="17.7109375" style="16" customWidth="1"/>
    <col min="14782" max="14782" width="10.7109375" style="16" customWidth="1"/>
    <col min="14783" max="14783" width="2.7109375" style="16" customWidth="1"/>
    <col min="14784" max="14784" width="10.7109375" style="16" customWidth="1"/>
    <col min="14785" max="14785" width="11.7109375" style="16" customWidth="1"/>
    <col min="14786" max="14786" width="17.7109375" style="16" customWidth="1"/>
    <col min="14787" max="14787" width="11.7109375" style="16" customWidth="1"/>
    <col min="14788" max="14788" width="17.7109375" style="16" customWidth="1"/>
    <col min="14789" max="14789" width="10.7109375" style="16" customWidth="1"/>
    <col min="14790" max="14790" width="2.7109375" style="16" customWidth="1"/>
    <col min="14791" max="14791" width="10.7109375" style="16" customWidth="1"/>
    <col min="14792" max="14792" width="11.7109375" style="16" customWidth="1"/>
    <col min="14793" max="14793" width="17.7109375" style="16" customWidth="1"/>
    <col min="14794" max="14794" width="11.7109375" style="16" customWidth="1"/>
    <col min="14795" max="14795" width="17.7109375" style="16" customWidth="1"/>
    <col min="14796" max="14796" width="10.7109375" style="16" customWidth="1"/>
    <col min="14797" max="14797" width="2.7109375" style="16" customWidth="1"/>
    <col min="14798" max="14798" width="10.7109375" style="16" customWidth="1"/>
    <col min="14799" max="14799" width="11.7109375" style="16" customWidth="1"/>
    <col min="14800" max="14800" width="17.7109375" style="16" customWidth="1"/>
    <col min="14801" max="14801" width="11.7109375" style="16" customWidth="1"/>
    <col min="14802" max="14802" width="17.7109375" style="16" customWidth="1"/>
    <col min="14803" max="14803" width="10.7109375" style="16" customWidth="1"/>
    <col min="14804" max="15032" width="10.7109375" style="16"/>
    <col min="15033" max="15033" width="10.7109375" style="16" customWidth="1"/>
    <col min="15034" max="15034" width="11.7109375" style="16" customWidth="1"/>
    <col min="15035" max="15035" width="17.7109375" style="16" customWidth="1"/>
    <col min="15036" max="15036" width="11.7109375" style="16" customWidth="1"/>
    <col min="15037" max="15037" width="17.7109375" style="16" customWidth="1"/>
    <col min="15038" max="15038" width="10.7109375" style="16" customWidth="1"/>
    <col min="15039" max="15039" width="2.7109375" style="16" customWidth="1"/>
    <col min="15040" max="15040" width="10.7109375" style="16" customWidth="1"/>
    <col min="15041" max="15041" width="11.7109375" style="16" customWidth="1"/>
    <col min="15042" max="15042" width="17.7109375" style="16" customWidth="1"/>
    <col min="15043" max="15043" width="11.7109375" style="16" customWidth="1"/>
    <col min="15044" max="15044" width="17.7109375" style="16" customWidth="1"/>
    <col min="15045" max="15045" width="10.7109375" style="16" customWidth="1"/>
    <col min="15046" max="15046" width="2.7109375" style="16" customWidth="1"/>
    <col min="15047" max="15047" width="10.7109375" style="16" customWidth="1"/>
    <col min="15048" max="15048" width="11.7109375" style="16" customWidth="1"/>
    <col min="15049" max="15049" width="17.7109375" style="16" customWidth="1"/>
    <col min="15050" max="15050" width="11.7109375" style="16" customWidth="1"/>
    <col min="15051" max="15051" width="17.7109375" style="16" customWidth="1"/>
    <col min="15052" max="15052" width="10.7109375" style="16" customWidth="1"/>
    <col min="15053" max="15053" width="2.7109375" style="16" customWidth="1"/>
    <col min="15054" max="15054" width="10.7109375" style="16" customWidth="1"/>
    <col min="15055" max="15055" width="11.7109375" style="16" customWidth="1"/>
    <col min="15056" max="15056" width="17.7109375" style="16" customWidth="1"/>
    <col min="15057" max="15057" width="11.7109375" style="16" customWidth="1"/>
    <col min="15058" max="15058" width="17.7109375" style="16" customWidth="1"/>
    <col min="15059" max="15059" width="10.7109375" style="16" customWidth="1"/>
    <col min="15060" max="15288" width="10.7109375" style="16"/>
    <col min="15289" max="15289" width="10.7109375" style="16" customWidth="1"/>
    <col min="15290" max="15290" width="11.7109375" style="16" customWidth="1"/>
    <col min="15291" max="15291" width="17.7109375" style="16" customWidth="1"/>
    <col min="15292" max="15292" width="11.7109375" style="16" customWidth="1"/>
    <col min="15293" max="15293" width="17.7109375" style="16" customWidth="1"/>
    <col min="15294" max="15294" width="10.7109375" style="16" customWidth="1"/>
    <col min="15295" max="15295" width="2.7109375" style="16" customWidth="1"/>
    <col min="15296" max="15296" width="10.7109375" style="16" customWidth="1"/>
    <col min="15297" max="15297" width="11.7109375" style="16" customWidth="1"/>
    <col min="15298" max="15298" width="17.7109375" style="16" customWidth="1"/>
    <col min="15299" max="15299" width="11.7109375" style="16" customWidth="1"/>
    <col min="15300" max="15300" width="17.7109375" style="16" customWidth="1"/>
    <col min="15301" max="15301" width="10.7109375" style="16" customWidth="1"/>
    <col min="15302" max="15302" width="2.7109375" style="16" customWidth="1"/>
    <col min="15303" max="15303" width="10.7109375" style="16" customWidth="1"/>
    <col min="15304" max="15304" width="11.7109375" style="16" customWidth="1"/>
    <col min="15305" max="15305" width="17.7109375" style="16" customWidth="1"/>
    <col min="15306" max="15306" width="11.7109375" style="16" customWidth="1"/>
    <col min="15307" max="15307" width="17.7109375" style="16" customWidth="1"/>
    <col min="15308" max="15308" width="10.7109375" style="16" customWidth="1"/>
    <col min="15309" max="15309" width="2.7109375" style="16" customWidth="1"/>
    <col min="15310" max="15310" width="10.7109375" style="16" customWidth="1"/>
    <col min="15311" max="15311" width="11.7109375" style="16" customWidth="1"/>
    <col min="15312" max="15312" width="17.7109375" style="16" customWidth="1"/>
    <col min="15313" max="15313" width="11.7109375" style="16" customWidth="1"/>
    <col min="15314" max="15314" width="17.7109375" style="16" customWidth="1"/>
    <col min="15315" max="15315" width="10.7109375" style="16" customWidth="1"/>
    <col min="15316" max="15544" width="10.7109375" style="16"/>
    <col min="15545" max="15545" width="10.7109375" style="16" customWidth="1"/>
    <col min="15546" max="15546" width="11.7109375" style="16" customWidth="1"/>
    <col min="15547" max="15547" width="17.7109375" style="16" customWidth="1"/>
    <col min="15548" max="15548" width="11.7109375" style="16" customWidth="1"/>
    <col min="15549" max="15549" width="17.7109375" style="16" customWidth="1"/>
    <col min="15550" max="15550" width="10.7109375" style="16" customWidth="1"/>
    <col min="15551" max="15551" width="2.7109375" style="16" customWidth="1"/>
    <col min="15552" max="15552" width="10.7109375" style="16" customWidth="1"/>
    <col min="15553" max="15553" width="11.7109375" style="16" customWidth="1"/>
    <col min="15554" max="15554" width="17.7109375" style="16" customWidth="1"/>
    <col min="15555" max="15555" width="11.7109375" style="16" customWidth="1"/>
    <col min="15556" max="15556" width="17.7109375" style="16" customWidth="1"/>
    <col min="15557" max="15557" width="10.7109375" style="16" customWidth="1"/>
    <col min="15558" max="15558" width="2.7109375" style="16" customWidth="1"/>
    <col min="15559" max="15559" width="10.7109375" style="16" customWidth="1"/>
    <col min="15560" max="15560" width="11.7109375" style="16" customWidth="1"/>
    <col min="15561" max="15561" width="17.7109375" style="16" customWidth="1"/>
    <col min="15562" max="15562" width="11.7109375" style="16" customWidth="1"/>
    <col min="15563" max="15563" width="17.7109375" style="16" customWidth="1"/>
    <col min="15564" max="15564" width="10.7109375" style="16" customWidth="1"/>
    <col min="15565" max="15565" width="2.7109375" style="16" customWidth="1"/>
    <col min="15566" max="15566" width="10.7109375" style="16" customWidth="1"/>
    <col min="15567" max="15567" width="11.7109375" style="16" customWidth="1"/>
    <col min="15568" max="15568" width="17.7109375" style="16" customWidth="1"/>
    <col min="15569" max="15569" width="11.7109375" style="16" customWidth="1"/>
    <col min="15570" max="15570" width="17.7109375" style="16" customWidth="1"/>
    <col min="15571" max="15571" width="10.7109375" style="16" customWidth="1"/>
    <col min="15572" max="15800" width="10.7109375" style="16"/>
    <col min="15801" max="15801" width="10.7109375" style="16" customWidth="1"/>
    <col min="15802" max="15802" width="11.7109375" style="16" customWidth="1"/>
    <col min="15803" max="15803" width="17.7109375" style="16" customWidth="1"/>
    <col min="15804" max="15804" width="11.7109375" style="16" customWidth="1"/>
    <col min="15805" max="15805" width="17.7109375" style="16" customWidth="1"/>
    <col min="15806" max="15806" width="10.7109375" style="16" customWidth="1"/>
    <col min="15807" max="15807" width="2.7109375" style="16" customWidth="1"/>
    <col min="15808" max="15808" width="10.7109375" style="16" customWidth="1"/>
    <col min="15809" max="15809" width="11.7109375" style="16" customWidth="1"/>
    <col min="15810" max="15810" width="17.7109375" style="16" customWidth="1"/>
    <col min="15811" max="15811" width="11.7109375" style="16" customWidth="1"/>
    <col min="15812" max="15812" width="17.7109375" style="16" customWidth="1"/>
    <col min="15813" max="15813" width="10.7109375" style="16" customWidth="1"/>
    <col min="15814" max="15814" width="2.7109375" style="16" customWidth="1"/>
    <col min="15815" max="15815" width="10.7109375" style="16" customWidth="1"/>
    <col min="15816" max="15816" width="11.7109375" style="16" customWidth="1"/>
    <col min="15817" max="15817" width="17.7109375" style="16" customWidth="1"/>
    <col min="15818" max="15818" width="11.7109375" style="16" customWidth="1"/>
    <col min="15819" max="15819" width="17.7109375" style="16" customWidth="1"/>
    <col min="15820" max="15820" width="10.7109375" style="16" customWidth="1"/>
    <col min="15821" max="15821" width="2.7109375" style="16" customWidth="1"/>
    <col min="15822" max="15822" width="10.7109375" style="16" customWidth="1"/>
    <col min="15823" max="15823" width="11.7109375" style="16" customWidth="1"/>
    <col min="15824" max="15824" width="17.7109375" style="16" customWidth="1"/>
    <col min="15825" max="15825" width="11.7109375" style="16" customWidth="1"/>
    <col min="15826" max="15826" width="17.7109375" style="16" customWidth="1"/>
    <col min="15827" max="15827" width="10.7109375" style="16" customWidth="1"/>
    <col min="15828" max="16056" width="10.7109375" style="16"/>
    <col min="16057" max="16057" width="10.7109375" style="16" customWidth="1"/>
    <col min="16058" max="16058" width="11.7109375" style="16" customWidth="1"/>
    <col min="16059" max="16059" width="17.7109375" style="16" customWidth="1"/>
    <col min="16060" max="16060" width="11.7109375" style="16" customWidth="1"/>
    <col min="16061" max="16061" width="17.7109375" style="16" customWidth="1"/>
    <col min="16062" max="16062" width="10.7109375" style="16" customWidth="1"/>
    <col min="16063" max="16063" width="2.7109375" style="16" customWidth="1"/>
    <col min="16064" max="16064" width="10.7109375" style="16" customWidth="1"/>
    <col min="16065" max="16065" width="11.7109375" style="16" customWidth="1"/>
    <col min="16066" max="16066" width="17.7109375" style="16" customWidth="1"/>
    <col min="16067" max="16067" width="11.7109375" style="16" customWidth="1"/>
    <col min="16068" max="16068" width="17.7109375" style="16" customWidth="1"/>
    <col min="16069" max="16069" width="10.7109375" style="16" customWidth="1"/>
    <col min="16070" max="16070" width="2.7109375" style="16" customWidth="1"/>
    <col min="16071" max="16071" width="10.7109375" style="16" customWidth="1"/>
    <col min="16072" max="16072" width="11.7109375" style="16" customWidth="1"/>
    <col min="16073" max="16073" width="17.7109375" style="16" customWidth="1"/>
    <col min="16074" max="16074" width="11.7109375" style="16" customWidth="1"/>
    <col min="16075" max="16075" width="17.7109375" style="16" customWidth="1"/>
    <col min="16076" max="16076" width="10.7109375" style="16" customWidth="1"/>
    <col min="16077" max="16077" width="2.7109375" style="16" customWidth="1"/>
    <col min="16078" max="16078" width="10.7109375" style="16" customWidth="1"/>
    <col min="16079" max="16079" width="11.7109375" style="16" customWidth="1"/>
    <col min="16080" max="16080" width="17.7109375" style="16" customWidth="1"/>
    <col min="16081" max="16081" width="11.7109375" style="16" customWidth="1"/>
    <col min="16082" max="16082" width="17.7109375" style="16" customWidth="1"/>
    <col min="16083" max="16083" width="10.7109375" style="16" customWidth="1"/>
    <col min="16084" max="16384" width="10.7109375" style="16"/>
  </cols>
  <sheetData>
    <row r="1" spans="1:37" ht="44.25" customHeight="1" thickBot="1" x14ac:dyDescent="0.25">
      <c r="B1" s="292" t="s">
        <v>90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4"/>
      <c r="AC1" s="49"/>
      <c r="AD1" s="49"/>
      <c r="AE1" s="277" t="s">
        <v>12</v>
      </c>
      <c r="AF1" s="277"/>
      <c r="AG1" s="277"/>
      <c r="AH1" s="277"/>
      <c r="AI1" s="277"/>
      <c r="AJ1" s="277"/>
      <c r="AK1" s="277"/>
    </row>
    <row r="2" spans="1:37" s="15" customFormat="1" ht="18.75" customHeight="1" thickTop="1" thickBot="1" x14ac:dyDescent="0.25">
      <c r="B2" s="52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53"/>
      <c r="AC2" s="49"/>
      <c r="AD2" s="49"/>
      <c r="AE2" s="277"/>
      <c r="AF2" s="277"/>
      <c r="AG2" s="277"/>
      <c r="AH2" s="277"/>
      <c r="AI2" s="277"/>
      <c r="AJ2" s="277"/>
      <c r="AK2" s="277"/>
    </row>
    <row r="3" spans="1:37" s="19" customFormat="1" ht="29.25" thickBot="1" x14ac:dyDescent="0.5">
      <c r="B3" s="295">
        <v>1</v>
      </c>
      <c r="C3" s="296"/>
      <c r="D3" s="290" t="s">
        <v>64</v>
      </c>
      <c r="E3" s="290"/>
      <c r="F3" s="290"/>
      <c r="G3" s="291"/>
      <c r="H3" s="288"/>
      <c r="I3" s="295">
        <v>2</v>
      </c>
      <c r="J3" s="296"/>
      <c r="K3" s="320" t="s">
        <v>65</v>
      </c>
      <c r="L3" s="290"/>
      <c r="M3" s="290"/>
      <c r="N3" s="291"/>
      <c r="O3" s="288"/>
      <c r="P3" s="295">
        <v>3</v>
      </c>
      <c r="Q3" s="296"/>
      <c r="R3" s="290" t="s">
        <v>66</v>
      </c>
      <c r="S3" s="290"/>
      <c r="T3" s="290"/>
      <c r="U3" s="291"/>
      <c r="V3" s="288"/>
      <c r="W3" s="295">
        <v>4</v>
      </c>
      <c r="X3" s="296"/>
      <c r="Y3" s="290" t="s">
        <v>67</v>
      </c>
      <c r="Z3" s="290"/>
      <c r="AA3" s="290"/>
      <c r="AB3" s="291"/>
      <c r="AC3" s="49"/>
      <c r="AD3" s="49"/>
      <c r="AE3" s="277"/>
      <c r="AF3" s="277"/>
      <c r="AG3" s="277"/>
      <c r="AH3" s="277"/>
      <c r="AI3" s="277"/>
      <c r="AJ3" s="277"/>
      <c r="AK3" s="277"/>
    </row>
    <row r="4" spans="1:37" ht="29.25" customHeight="1" thickBot="1" x14ac:dyDescent="0.25">
      <c r="B4" s="98" t="s">
        <v>8</v>
      </c>
      <c r="C4" s="77"/>
      <c r="D4" s="119"/>
      <c r="E4" s="100" t="s">
        <v>84</v>
      </c>
      <c r="F4" s="73">
        <v>0.25</v>
      </c>
      <c r="G4" s="96">
        <v>40</v>
      </c>
      <c r="H4" s="288"/>
      <c r="I4" s="98" t="s">
        <v>8</v>
      </c>
      <c r="J4" s="77"/>
      <c r="K4" s="77"/>
      <c r="L4" s="140" t="s">
        <v>68</v>
      </c>
      <c r="M4" s="73">
        <v>0.25</v>
      </c>
      <c r="N4" s="99">
        <v>45</v>
      </c>
      <c r="O4" s="288"/>
      <c r="P4" s="98" t="s">
        <v>8</v>
      </c>
      <c r="Q4" s="77"/>
      <c r="R4" s="119"/>
      <c r="S4" s="140" t="s">
        <v>15</v>
      </c>
      <c r="T4" s="73">
        <v>0.25</v>
      </c>
      <c r="U4" s="99">
        <v>60</v>
      </c>
      <c r="V4" s="288"/>
      <c r="W4" s="98" t="s">
        <v>8</v>
      </c>
      <c r="X4" s="77"/>
      <c r="Y4" s="119"/>
      <c r="Z4" s="100" t="s">
        <v>69</v>
      </c>
      <c r="AA4" s="73" t="s">
        <v>99</v>
      </c>
      <c r="AB4" s="79">
        <v>70</v>
      </c>
      <c r="AC4" s="49"/>
      <c r="AD4" s="49"/>
      <c r="AE4" s="49"/>
    </row>
    <row r="5" spans="1:37" ht="28.5" customHeight="1" thickBot="1" x14ac:dyDescent="0.4">
      <c r="A5" s="16">
        <v>1</v>
      </c>
      <c r="B5" s="76"/>
      <c r="C5" s="231" t="s">
        <v>101</v>
      </c>
      <c r="D5" s="71" t="s">
        <v>102</v>
      </c>
      <c r="E5" s="95" t="s">
        <v>103</v>
      </c>
      <c r="F5" s="71" t="s">
        <v>104</v>
      </c>
      <c r="G5" s="79">
        <v>51</v>
      </c>
      <c r="H5" s="288"/>
      <c r="I5" s="76"/>
      <c r="J5" s="231" t="s">
        <v>101</v>
      </c>
      <c r="K5" s="71" t="s">
        <v>113</v>
      </c>
      <c r="L5" s="95" t="s">
        <v>103</v>
      </c>
      <c r="M5" s="71" t="s">
        <v>114</v>
      </c>
      <c r="N5" s="79">
        <v>51</v>
      </c>
      <c r="O5" s="288"/>
      <c r="P5" s="76"/>
      <c r="Q5" s="231" t="s">
        <v>101</v>
      </c>
      <c r="R5" s="71" t="s">
        <v>123</v>
      </c>
      <c r="S5" s="95" t="s">
        <v>103</v>
      </c>
      <c r="T5" s="71" t="s">
        <v>124</v>
      </c>
      <c r="U5" s="79">
        <v>51</v>
      </c>
      <c r="V5" s="288"/>
      <c r="W5" s="76"/>
      <c r="X5" s="231" t="s">
        <v>101</v>
      </c>
      <c r="Y5" s="71" t="s">
        <v>133</v>
      </c>
      <c r="Z5" s="95" t="s">
        <v>103</v>
      </c>
      <c r="AA5" s="71" t="s">
        <v>134</v>
      </c>
      <c r="AB5" s="79">
        <v>51</v>
      </c>
      <c r="AC5" s="49"/>
      <c r="AD5" s="49"/>
      <c r="AE5" s="49"/>
      <c r="AG5" s="278" t="s">
        <v>10</v>
      </c>
      <c r="AH5" s="279"/>
      <c r="AI5" s="280"/>
      <c r="AJ5" s="109">
        <v>0.20833333333333334</v>
      </c>
      <c r="AK5" s="109">
        <v>0.29166666666666669</v>
      </c>
    </row>
    <row r="6" spans="1:37" ht="28.5" customHeight="1" thickBot="1" x14ac:dyDescent="0.45">
      <c r="A6" s="16">
        <v>2</v>
      </c>
      <c r="B6" s="76">
        <v>19</v>
      </c>
      <c r="C6" s="231" t="s">
        <v>101</v>
      </c>
      <c r="D6" s="71" t="s">
        <v>105</v>
      </c>
      <c r="E6" s="95" t="s">
        <v>103</v>
      </c>
      <c r="F6" s="71" t="s">
        <v>106</v>
      </c>
      <c r="G6" s="79">
        <v>51</v>
      </c>
      <c r="H6" s="288"/>
      <c r="I6" s="76">
        <v>18</v>
      </c>
      <c r="J6" s="231" t="s">
        <v>101</v>
      </c>
      <c r="K6" s="71" t="s">
        <v>193</v>
      </c>
      <c r="L6" s="95" t="s">
        <v>103</v>
      </c>
      <c r="M6" s="71" t="s">
        <v>194</v>
      </c>
      <c r="N6" s="79">
        <v>51</v>
      </c>
      <c r="O6" s="288"/>
      <c r="P6" s="76">
        <v>17</v>
      </c>
      <c r="Q6" s="231" t="s">
        <v>101</v>
      </c>
      <c r="R6" s="71" t="s">
        <v>115</v>
      </c>
      <c r="S6" s="95" t="s">
        <v>103</v>
      </c>
      <c r="T6" s="71" t="s">
        <v>116</v>
      </c>
      <c r="U6" s="79">
        <v>51</v>
      </c>
      <c r="V6" s="288"/>
      <c r="W6" s="76">
        <v>16</v>
      </c>
      <c r="X6" s="231" t="s">
        <v>101</v>
      </c>
      <c r="Y6" s="71" t="s">
        <v>125</v>
      </c>
      <c r="Z6" s="95" t="s">
        <v>103</v>
      </c>
      <c r="AA6" s="71" t="s">
        <v>126</v>
      </c>
      <c r="AB6" s="79">
        <v>51</v>
      </c>
      <c r="AC6" s="49"/>
      <c r="AD6" s="55"/>
      <c r="AE6" s="49"/>
      <c r="AG6" s="75" t="s">
        <v>16</v>
      </c>
      <c r="AH6" s="56"/>
      <c r="AI6" s="75" t="s">
        <v>15</v>
      </c>
      <c r="AJ6" s="287" t="s">
        <v>22</v>
      </c>
      <c r="AK6" s="287" t="s">
        <v>23</v>
      </c>
    </row>
    <row r="7" spans="1:37" ht="28.5" customHeight="1" thickBot="1" x14ac:dyDescent="0.25">
      <c r="A7" s="16">
        <v>3</v>
      </c>
      <c r="B7" s="76">
        <v>13</v>
      </c>
      <c r="C7" s="231" t="s">
        <v>101</v>
      </c>
      <c r="D7" s="71" t="s">
        <v>183</v>
      </c>
      <c r="E7" s="95" t="s">
        <v>103</v>
      </c>
      <c r="F7" s="124" t="s">
        <v>184</v>
      </c>
      <c r="G7" s="79">
        <v>51</v>
      </c>
      <c r="H7" s="288"/>
      <c r="I7" s="76">
        <v>15</v>
      </c>
      <c r="J7" s="231" t="s">
        <v>101</v>
      </c>
      <c r="K7" s="71" t="s">
        <v>107</v>
      </c>
      <c r="L7" s="95" t="s">
        <v>103</v>
      </c>
      <c r="M7" s="71" t="s">
        <v>108</v>
      </c>
      <c r="N7" s="79">
        <v>51</v>
      </c>
      <c r="O7" s="288"/>
      <c r="P7" s="76">
        <v>18</v>
      </c>
      <c r="Q7" s="231" t="s">
        <v>101</v>
      </c>
      <c r="R7" s="71" t="s">
        <v>195</v>
      </c>
      <c r="S7" s="95" t="s">
        <v>103</v>
      </c>
      <c r="T7" s="71" t="s">
        <v>196</v>
      </c>
      <c r="U7" s="79">
        <v>51</v>
      </c>
      <c r="V7" s="288"/>
      <c r="W7" s="76">
        <v>21</v>
      </c>
      <c r="X7" s="231" t="s">
        <v>101</v>
      </c>
      <c r="Y7" s="71" t="s">
        <v>117</v>
      </c>
      <c r="Z7" s="95" t="s">
        <v>103</v>
      </c>
      <c r="AA7" s="71" t="s">
        <v>118</v>
      </c>
      <c r="AB7" s="79">
        <v>51</v>
      </c>
      <c r="AC7" s="49"/>
      <c r="AD7" s="49"/>
      <c r="AE7" s="49"/>
      <c r="AJ7" s="287"/>
      <c r="AK7" s="287"/>
    </row>
    <row r="8" spans="1:37" ht="28.5" customHeight="1" thickBot="1" x14ac:dyDescent="0.35">
      <c r="A8" s="16">
        <v>4</v>
      </c>
      <c r="B8" s="76">
        <v>38</v>
      </c>
      <c r="C8" s="231" t="s">
        <v>101</v>
      </c>
      <c r="D8" s="71" t="s">
        <v>173</v>
      </c>
      <c r="E8" s="95" t="s">
        <v>103</v>
      </c>
      <c r="F8" s="71" t="s">
        <v>174</v>
      </c>
      <c r="G8" s="79">
        <v>51</v>
      </c>
      <c r="H8" s="288"/>
      <c r="I8" s="76">
        <v>38</v>
      </c>
      <c r="J8" s="231" t="s">
        <v>101</v>
      </c>
      <c r="K8" s="71" t="s">
        <v>185</v>
      </c>
      <c r="L8" s="95" t="s">
        <v>103</v>
      </c>
      <c r="M8" s="71" t="s">
        <v>186</v>
      </c>
      <c r="N8" s="79">
        <v>51</v>
      </c>
      <c r="O8" s="288"/>
      <c r="P8" s="76">
        <v>38</v>
      </c>
      <c r="Q8" s="231" t="s">
        <v>101</v>
      </c>
      <c r="R8" s="71" t="s">
        <v>109</v>
      </c>
      <c r="S8" s="95" t="s">
        <v>103</v>
      </c>
      <c r="T8" s="71" t="s">
        <v>110</v>
      </c>
      <c r="U8" s="79">
        <v>51</v>
      </c>
      <c r="V8" s="288"/>
      <c r="W8" s="76">
        <v>38</v>
      </c>
      <c r="X8" s="231" t="s">
        <v>101</v>
      </c>
      <c r="Y8" s="71" t="s">
        <v>197</v>
      </c>
      <c r="Z8" s="95" t="s">
        <v>103</v>
      </c>
      <c r="AA8" s="71" t="s">
        <v>198</v>
      </c>
      <c r="AB8" s="79">
        <v>51</v>
      </c>
      <c r="AC8" s="49"/>
      <c r="AD8" s="49"/>
      <c r="AE8" s="49"/>
      <c r="AF8" s="300" t="s">
        <v>19</v>
      </c>
      <c r="AG8" s="301"/>
      <c r="AH8" s="301"/>
      <c r="AI8" s="302"/>
      <c r="AJ8" s="287"/>
      <c r="AK8" s="287"/>
    </row>
    <row r="9" spans="1:37" ht="28.5" customHeight="1" thickBot="1" x14ac:dyDescent="0.4">
      <c r="A9" s="16">
        <v>5</v>
      </c>
      <c r="B9" s="76">
        <v>38</v>
      </c>
      <c r="C9" s="231" t="s">
        <v>101</v>
      </c>
      <c r="D9" s="71" t="s">
        <v>156</v>
      </c>
      <c r="E9" s="95" t="s">
        <v>103</v>
      </c>
      <c r="F9" s="124" t="s">
        <v>157</v>
      </c>
      <c r="G9" s="79">
        <v>51</v>
      </c>
      <c r="H9" s="288"/>
      <c r="I9" s="76">
        <v>38</v>
      </c>
      <c r="J9" s="231" t="s">
        <v>101</v>
      </c>
      <c r="K9" s="71" t="s">
        <v>175</v>
      </c>
      <c r="L9" s="95" t="s">
        <v>103</v>
      </c>
      <c r="M9" s="135" t="s">
        <v>176</v>
      </c>
      <c r="N9" s="79">
        <v>51</v>
      </c>
      <c r="O9" s="288"/>
      <c r="P9" s="125">
        <v>38</v>
      </c>
      <c r="Q9" s="231" t="s">
        <v>101</v>
      </c>
      <c r="R9" s="124" t="s">
        <v>166</v>
      </c>
      <c r="S9" s="95" t="s">
        <v>103</v>
      </c>
      <c r="T9" s="71" t="s">
        <v>167</v>
      </c>
      <c r="U9" s="79">
        <v>51</v>
      </c>
      <c r="V9" s="288"/>
      <c r="W9" s="76">
        <v>38</v>
      </c>
      <c r="X9" s="231" t="s">
        <v>101</v>
      </c>
      <c r="Y9" s="135" t="s">
        <v>187</v>
      </c>
      <c r="Z9" s="95" t="s">
        <v>103</v>
      </c>
      <c r="AA9" s="71" t="s">
        <v>188</v>
      </c>
      <c r="AB9" s="79">
        <v>51</v>
      </c>
      <c r="AC9" s="49"/>
      <c r="AD9" s="49"/>
      <c r="AE9" s="49"/>
      <c r="AF9" s="303" t="s">
        <v>17</v>
      </c>
      <c r="AG9" s="304"/>
      <c r="AH9" s="303" t="s">
        <v>18</v>
      </c>
      <c r="AI9" s="304"/>
      <c r="AJ9" s="283" t="s">
        <v>21</v>
      </c>
      <c r="AK9" s="284"/>
    </row>
    <row r="10" spans="1:37" ht="29.25" customHeight="1" x14ac:dyDescent="0.4">
      <c r="A10" s="16">
        <v>6</v>
      </c>
      <c r="B10" s="234"/>
      <c r="C10" s="235"/>
      <c r="D10" s="235"/>
      <c r="E10" s="268"/>
      <c r="F10" s="77"/>
      <c r="G10" s="79"/>
      <c r="H10" s="288"/>
      <c r="I10" s="125"/>
      <c r="J10" s="184"/>
      <c r="K10" s="185"/>
      <c r="L10" s="185"/>
      <c r="M10" s="185"/>
      <c r="N10" s="79"/>
      <c r="O10" s="288"/>
      <c r="P10" s="186"/>
      <c r="Q10" s="180"/>
      <c r="R10" s="181"/>
      <c r="S10" s="180"/>
      <c r="T10" s="181"/>
      <c r="U10" s="187"/>
      <c r="V10" s="288"/>
      <c r="W10" s="186"/>
      <c r="X10" s="180"/>
      <c r="Y10" s="181"/>
      <c r="Z10" s="180"/>
      <c r="AA10" s="181"/>
      <c r="AB10" s="187"/>
      <c r="AC10" s="49"/>
      <c r="AD10" s="49"/>
      <c r="AE10" s="49"/>
      <c r="AF10" s="59"/>
      <c r="AG10" s="68"/>
      <c r="AH10" s="59">
        <v>0.30217592592592596</v>
      </c>
      <c r="AI10" s="63"/>
      <c r="AJ10" s="285">
        <v>51</v>
      </c>
      <c r="AK10" s="286"/>
    </row>
    <row r="11" spans="1:37" ht="29.25" thickBot="1" x14ac:dyDescent="0.4">
      <c r="A11" s="16">
        <v>7</v>
      </c>
      <c r="B11" s="102"/>
      <c r="C11" s="103"/>
      <c r="D11" s="104" t="s">
        <v>4</v>
      </c>
      <c r="E11" s="105">
        <f>G11*100/540</f>
        <v>54.629629629629626</v>
      </c>
      <c r="F11" s="106" t="s">
        <v>5</v>
      </c>
      <c r="G11" s="107">
        <f>SUM(G4:G10)</f>
        <v>295</v>
      </c>
      <c r="H11" s="288"/>
      <c r="I11" s="102"/>
      <c r="J11" s="103"/>
      <c r="K11" s="104" t="s">
        <v>4</v>
      </c>
      <c r="L11" s="105">
        <f>N11*100/540</f>
        <v>55.555555555555557</v>
      </c>
      <c r="M11" s="106" t="s">
        <v>5</v>
      </c>
      <c r="N11" s="107">
        <f>SUM(N4:N10)</f>
        <v>300</v>
      </c>
      <c r="O11" s="288"/>
      <c r="P11" s="102"/>
      <c r="Q11" s="103"/>
      <c r="R11" s="104" t="s">
        <v>4</v>
      </c>
      <c r="S11" s="105">
        <f>U11*100/540</f>
        <v>58.333333333333336</v>
      </c>
      <c r="T11" s="106" t="s">
        <v>5</v>
      </c>
      <c r="U11" s="107">
        <f>SUM(U4:U9)</f>
        <v>315</v>
      </c>
      <c r="V11" s="288"/>
      <c r="W11" s="102"/>
      <c r="X11" s="103"/>
      <c r="Y11" s="104" t="s">
        <v>4</v>
      </c>
      <c r="Z11" s="105">
        <f>AB11*100/540</f>
        <v>60.185185185185183</v>
      </c>
      <c r="AA11" s="106" t="s">
        <v>5</v>
      </c>
      <c r="AB11" s="107">
        <f>SUM(AB4:AB9)</f>
        <v>325</v>
      </c>
      <c r="AC11" s="49"/>
      <c r="AD11" s="49"/>
      <c r="AE11" s="49"/>
      <c r="AF11" s="59"/>
      <c r="AG11" s="68"/>
      <c r="AH11" s="59"/>
      <c r="AI11" s="65"/>
      <c r="AJ11" s="285"/>
      <c r="AK11" s="286"/>
    </row>
    <row r="12" spans="1:37" ht="29.25" thickBot="1" x14ac:dyDescent="0.4">
      <c r="B12" s="91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  <c r="AB12" s="309"/>
      <c r="AC12" s="49"/>
      <c r="AD12" s="49"/>
      <c r="AE12" s="49"/>
      <c r="AF12" s="59"/>
      <c r="AG12" s="68"/>
      <c r="AH12" s="59"/>
      <c r="AI12" s="65"/>
    </row>
    <row r="13" spans="1:37" ht="29.25" thickBot="1" x14ac:dyDescent="0.4">
      <c r="B13" s="313">
        <v>5</v>
      </c>
      <c r="C13" s="314"/>
      <c r="D13" s="315" t="s">
        <v>305</v>
      </c>
      <c r="E13" s="316"/>
      <c r="F13" s="316"/>
      <c r="G13" s="317"/>
      <c r="H13" s="319"/>
      <c r="I13" s="313">
        <v>6</v>
      </c>
      <c r="J13" s="314"/>
      <c r="K13" s="318" t="s">
        <v>168</v>
      </c>
      <c r="L13" s="316"/>
      <c r="M13" s="316"/>
      <c r="N13" s="317"/>
      <c r="O13" s="289"/>
      <c r="P13" s="295">
        <v>7</v>
      </c>
      <c r="Q13" s="296"/>
      <c r="R13" s="320" t="s">
        <v>24</v>
      </c>
      <c r="S13" s="290"/>
      <c r="T13" s="290"/>
      <c r="U13" s="291"/>
      <c r="V13" s="288"/>
      <c r="W13" s="295"/>
      <c r="X13" s="321"/>
      <c r="Y13" s="299"/>
      <c r="Z13" s="290"/>
      <c r="AA13" s="290"/>
      <c r="AB13" s="291"/>
      <c r="AC13" s="49"/>
      <c r="AD13" s="49"/>
      <c r="AE13" s="49"/>
      <c r="AF13" s="59"/>
      <c r="AG13" s="68"/>
      <c r="AH13" s="59"/>
      <c r="AI13" s="65"/>
    </row>
    <row r="14" spans="1:37" ht="28.5" x14ac:dyDescent="0.35">
      <c r="B14" s="98" t="s">
        <v>8</v>
      </c>
      <c r="C14" s="77"/>
      <c r="D14" s="119"/>
      <c r="E14" s="100" t="s">
        <v>304</v>
      </c>
      <c r="F14" s="73" t="s">
        <v>100</v>
      </c>
      <c r="G14" s="96">
        <v>80</v>
      </c>
      <c r="H14" s="319"/>
      <c r="I14" s="98"/>
      <c r="J14" s="135"/>
      <c r="K14" s="135"/>
      <c r="L14" s="100" t="s">
        <v>306</v>
      </c>
      <c r="M14" s="73">
        <v>0.25</v>
      </c>
      <c r="N14" s="99">
        <v>30</v>
      </c>
      <c r="O14" s="289"/>
      <c r="P14" s="98"/>
      <c r="Q14" s="322" t="s">
        <v>87</v>
      </c>
      <c r="R14" s="323"/>
      <c r="S14" s="323"/>
      <c r="T14" s="324"/>
      <c r="U14" s="189">
        <v>30</v>
      </c>
      <c r="V14" s="288"/>
      <c r="W14" s="188"/>
      <c r="X14" s="77"/>
      <c r="Y14" s="77"/>
      <c r="Z14" s="77"/>
      <c r="AA14" s="77"/>
      <c r="AB14" s="99"/>
      <c r="AC14" s="49"/>
      <c r="AD14" s="49"/>
      <c r="AE14" s="49"/>
      <c r="AF14" s="59"/>
      <c r="AG14" s="68"/>
      <c r="AH14" s="59"/>
      <c r="AI14" s="65"/>
      <c r="AJ14" s="120"/>
    </row>
    <row r="15" spans="1:37" ht="28.5" x14ac:dyDescent="0.35">
      <c r="B15" s="76"/>
      <c r="C15" s="231" t="s">
        <v>101</v>
      </c>
      <c r="D15" s="71" t="s">
        <v>141</v>
      </c>
      <c r="E15" s="95" t="s">
        <v>103</v>
      </c>
      <c r="F15" s="71" t="s">
        <v>142</v>
      </c>
      <c r="G15" s="79">
        <v>51</v>
      </c>
      <c r="H15" s="319"/>
      <c r="I15" s="76"/>
      <c r="J15" s="231" t="s">
        <v>101</v>
      </c>
      <c r="K15" s="71" t="s">
        <v>93</v>
      </c>
      <c r="L15" s="78" t="s">
        <v>103</v>
      </c>
      <c r="M15" s="71" t="s">
        <v>149</v>
      </c>
      <c r="N15" s="79">
        <v>51</v>
      </c>
      <c r="O15" s="289"/>
      <c r="P15" s="76"/>
      <c r="Q15" s="77" t="s">
        <v>101</v>
      </c>
      <c r="R15" s="72" t="s">
        <v>158</v>
      </c>
      <c r="S15" s="95" t="s">
        <v>103</v>
      </c>
      <c r="T15" s="72" t="s">
        <v>159</v>
      </c>
      <c r="U15" s="79">
        <v>51</v>
      </c>
      <c r="V15" s="288"/>
      <c r="W15" s="76"/>
      <c r="X15" s="135" t="str">
        <f>IF(Y15="","",$AG$6)</f>
        <v/>
      </c>
      <c r="Y15" s="71" t="str">
        <f>IF(IFERROR(VLOOKUP($W$13&amp;"-"&amp;$A5,USK_BILGILER,4,FALSE),"")&gt;AA15,IFERROR(VLOOKUP($W$13&amp;"-"&amp;$A5-1,USK_BILGILER,4,FALSE),""),IFERROR(VLOOKUP($W$13&amp;"-"&amp;$A5,USK_BILGILER,4,FALSE),""))</f>
        <v/>
      </c>
      <c r="Z15" s="78" t="str">
        <f>IF(AA15="","",$AI$6)</f>
        <v/>
      </c>
      <c r="AA15" s="72" t="str">
        <f t="shared" ref="AA15:AA19" si="0">IFERROR(VLOOKUP($W$13&amp;"-"&amp;$A5,CEK_BILGILER,4,FALSE),"")</f>
        <v/>
      </c>
      <c r="AB15" s="79" t="str">
        <f>IFERROR(INT(((AA15-Y15)*1440)+($AJ$10/2)),"")</f>
        <v/>
      </c>
      <c r="AC15" s="49"/>
      <c r="AD15" s="49"/>
      <c r="AE15" s="49"/>
      <c r="AF15" s="59"/>
      <c r="AG15" s="68"/>
      <c r="AH15" s="59"/>
      <c r="AI15" s="65"/>
    </row>
    <row r="16" spans="1:37" ht="28.5" x14ac:dyDescent="0.35">
      <c r="B16" s="76">
        <v>15</v>
      </c>
      <c r="C16" s="231" t="s">
        <v>101</v>
      </c>
      <c r="D16" s="71" t="s">
        <v>135</v>
      </c>
      <c r="E16" s="78" t="s">
        <v>103</v>
      </c>
      <c r="F16" s="71" t="s">
        <v>136</v>
      </c>
      <c r="G16" s="79">
        <v>51</v>
      </c>
      <c r="H16" s="319"/>
      <c r="I16" s="76">
        <v>8</v>
      </c>
      <c r="J16" s="231" t="s">
        <v>101</v>
      </c>
      <c r="K16" s="71" t="s">
        <v>150</v>
      </c>
      <c r="L16" s="95" t="s">
        <v>103</v>
      </c>
      <c r="M16" s="71" t="s">
        <v>151</v>
      </c>
      <c r="N16" s="79">
        <v>51</v>
      </c>
      <c r="O16" s="289"/>
      <c r="P16" s="76">
        <v>21</v>
      </c>
      <c r="Q16" s="135" t="s">
        <v>101</v>
      </c>
      <c r="R16" s="71" t="s">
        <v>181</v>
      </c>
      <c r="S16" s="95" t="s">
        <v>103</v>
      </c>
      <c r="T16" s="72" t="s">
        <v>182</v>
      </c>
      <c r="U16" s="79">
        <v>51</v>
      </c>
      <c r="V16" s="288"/>
      <c r="W16" s="76" t="str">
        <f t="shared" ref="W16:W20" si="1">IFERROR(INT((Y16-AA15)*1440-($AJ$10/2)),"")</f>
        <v/>
      </c>
      <c r="X16" s="77" t="str">
        <f t="shared" ref="X16:X20" si="2">IF(Y16="","",$AG$6)</f>
        <v/>
      </c>
      <c r="Y16" s="71" t="str">
        <f t="shared" ref="Y16:Y19" si="3">IF(IFERROR(VLOOKUP($W$13&amp;"-"&amp;$A6,USK_BILGILER,4,FALSE),"")&gt;AA16,IFERROR(VLOOKUP($W$13&amp;"-"&amp;$A6-1,USK_BILGILER,4,FALSE),""),IFERROR(VLOOKUP($W$13&amp;"-"&amp;$A6,USK_BILGILER,4,FALSE),""))</f>
        <v/>
      </c>
      <c r="Z16" s="78" t="str">
        <f t="shared" ref="Z16:Z20" si="4">IF(AA16="","",$AI$6)</f>
        <v/>
      </c>
      <c r="AA16" s="72" t="str">
        <f t="shared" si="0"/>
        <v/>
      </c>
      <c r="AB16" s="79" t="str">
        <f t="shared" ref="AB16:AB20" si="5">IFERROR(INT(((AA16-Y16)*1440)+($AJ$10/2)),"")</f>
        <v/>
      </c>
      <c r="AC16" s="49"/>
      <c r="AD16" s="49"/>
      <c r="AE16" s="49"/>
      <c r="AF16" s="59"/>
      <c r="AG16" s="68"/>
      <c r="AH16" s="59"/>
      <c r="AI16" s="65"/>
    </row>
    <row r="17" spans="2:35" ht="28.5" x14ac:dyDescent="0.35">
      <c r="B17" s="76">
        <v>24</v>
      </c>
      <c r="C17" s="231" t="s">
        <v>101</v>
      </c>
      <c r="D17" s="71" t="s">
        <v>127</v>
      </c>
      <c r="E17" s="95" t="s">
        <v>103</v>
      </c>
      <c r="F17" s="71" t="s">
        <v>128</v>
      </c>
      <c r="G17" s="79">
        <v>51</v>
      </c>
      <c r="H17" s="319"/>
      <c r="I17" s="76">
        <v>15</v>
      </c>
      <c r="J17" s="231" t="s">
        <v>101</v>
      </c>
      <c r="K17" s="71" t="s">
        <v>143</v>
      </c>
      <c r="L17" s="78" t="s">
        <v>103</v>
      </c>
      <c r="M17" s="71" t="s">
        <v>144</v>
      </c>
      <c r="N17" s="79">
        <v>51</v>
      </c>
      <c r="O17" s="289"/>
      <c r="P17" s="76">
        <v>15</v>
      </c>
      <c r="Q17" s="135" t="s">
        <v>101</v>
      </c>
      <c r="R17" s="71" t="s">
        <v>171</v>
      </c>
      <c r="S17" s="95" t="s">
        <v>103</v>
      </c>
      <c r="T17" s="72" t="s">
        <v>172</v>
      </c>
      <c r="U17" s="79">
        <v>51</v>
      </c>
      <c r="V17" s="288"/>
      <c r="W17" s="76" t="str">
        <f t="shared" si="1"/>
        <v/>
      </c>
      <c r="X17" s="77" t="str">
        <f t="shared" si="2"/>
        <v/>
      </c>
      <c r="Y17" s="71" t="str">
        <f t="shared" si="3"/>
        <v/>
      </c>
      <c r="Z17" s="78" t="str">
        <f t="shared" si="4"/>
        <v/>
      </c>
      <c r="AA17" s="72" t="str">
        <f t="shared" si="0"/>
        <v/>
      </c>
      <c r="AB17" s="79" t="str">
        <f t="shared" si="5"/>
        <v/>
      </c>
      <c r="AC17" s="49"/>
      <c r="AD17" s="49"/>
      <c r="AE17" s="49"/>
      <c r="AF17" s="59"/>
      <c r="AG17" s="68"/>
      <c r="AH17" s="59"/>
      <c r="AI17" s="65"/>
    </row>
    <row r="18" spans="2:35" ht="29.25" thickBot="1" x14ac:dyDescent="0.4">
      <c r="B18" s="76">
        <v>38</v>
      </c>
      <c r="C18" s="231" t="s">
        <v>101</v>
      </c>
      <c r="D18" s="71" t="s">
        <v>119</v>
      </c>
      <c r="E18" s="95" t="s">
        <v>103</v>
      </c>
      <c r="F18" s="71" t="s">
        <v>120</v>
      </c>
      <c r="G18" s="79">
        <v>51</v>
      </c>
      <c r="H18" s="319"/>
      <c r="I18" s="76">
        <v>27</v>
      </c>
      <c r="J18" s="231" t="s">
        <v>101</v>
      </c>
      <c r="K18" s="71" t="s">
        <v>137</v>
      </c>
      <c r="L18" s="78" t="s">
        <v>103</v>
      </c>
      <c r="M18" s="71" t="s">
        <v>138</v>
      </c>
      <c r="N18" s="79">
        <v>51</v>
      </c>
      <c r="O18" s="289"/>
      <c r="P18" s="76">
        <v>35</v>
      </c>
      <c r="Q18" s="135" t="s">
        <v>101</v>
      </c>
      <c r="R18" s="71" t="s">
        <v>164</v>
      </c>
      <c r="S18" s="95" t="s">
        <v>103</v>
      </c>
      <c r="T18" s="72" t="s">
        <v>165</v>
      </c>
      <c r="U18" s="79">
        <v>51</v>
      </c>
      <c r="V18" s="288"/>
      <c r="W18" s="76" t="str">
        <f t="shared" si="1"/>
        <v/>
      </c>
      <c r="X18" s="77" t="str">
        <f t="shared" si="2"/>
        <v/>
      </c>
      <c r="Y18" s="71" t="str">
        <f t="shared" si="3"/>
        <v/>
      </c>
      <c r="Z18" s="78" t="str">
        <f t="shared" si="4"/>
        <v/>
      </c>
      <c r="AA18" s="72" t="str">
        <f t="shared" si="0"/>
        <v/>
      </c>
      <c r="AB18" s="79" t="str">
        <f t="shared" si="5"/>
        <v/>
      </c>
      <c r="AC18" s="49"/>
      <c r="AD18" s="49"/>
      <c r="AE18" s="49"/>
      <c r="AF18" s="69"/>
      <c r="AG18" s="70"/>
      <c r="AH18" s="66"/>
      <c r="AI18" s="67"/>
    </row>
    <row r="19" spans="2:35" ht="29.25" thickBot="1" x14ac:dyDescent="0.25">
      <c r="B19" s="76">
        <v>38</v>
      </c>
      <c r="C19" s="231" t="s">
        <v>101</v>
      </c>
      <c r="D19" s="71" t="s">
        <v>111</v>
      </c>
      <c r="E19" s="95" t="s">
        <v>103</v>
      </c>
      <c r="F19" s="71" t="s">
        <v>112</v>
      </c>
      <c r="G19" s="79">
        <v>51</v>
      </c>
      <c r="H19" s="319"/>
      <c r="I19" s="76">
        <v>38</v>
      </c>
      <c r="J19" s="231" t="s">
        <v>101</v>
      </c>
      <c r="K19" s="231" t="s">
        <v>129</v>
      </c>
      <c r="L19" s="185" t="s">
        <v>103</v>
      </c>
      <c r="M19" s="185" t="s">
        <v>130</v>
      </c>
      <c r="N19" s="79">
        <v>51</v>
      </c>
      <c r="O19" s="289"/>
      <c r="P19" s="76">
        <v>38</v>
      </c>
      <c r="Q19" s="77" t="s">
        <v>101</v>
      </c>
      <c r="R19" s="71" t="s">
        <v>147</v>
      </c>
      <c r="S19" s="95" t="s">
        <v>103</v>
      </c>
      <c r="T19" s="72" t="s">
        <v>148</v>
      </c>
      <c r="U19" s="79">
        <v>51</v>
      </c>
      <c r="V19" s="288"/>
      <c r="W19" s="76" t="str">
        <f t="shared" si="1"/>
        <v/>
      </c>
      <c r="X19" s="77" t="str">
        <f t="shared" si="2"/>
        <v/>
      </c>
      <c r="Y19" s="77" t="str">
        <f t="shared" si="3"/>
        <v/>
      </c>
      <c r="Z19" s="77" t="str">
        <f t="shared" si="4"/>
        <v/>
      </c>
      <c r="AA19" s="77" t="str">
        <f t="shared" si="0"/>
        <v/>
      </c>
      <c r="AB19" s="79" t="str">
        <f t="shared" si="5"/>
        <v/>
      </c>
      <c r="AC19" s="49"/>
      <c r="AD19" s="49"/>
      <c r="AE19" s="49"/>
    </row>
    <row r="20" spans="2:35" ht="29.25" thickBot="1" x14ac:dyDescent="0.45">
      <c r="B20" s="186"/>
      <c r="C20" s="180"/>
      <c r="D20" s="181"/>
      <c r="E20" s="180"/>
      <c r="F20" s="181"/>
      <c r="G20" s="187"/>
      <c r="H20" s="319"/>
      <c r="I20" s="76"/>
      <c r="J20" s="231"/>
      <c r="K20" s="231"/>
      <c r="L20" s="185"/>
      <c r="M20" s="185"/>
      <c r="N20" s="79"/>
      <c r="O20" s="289"/>
      <c r="P20" s="76" t="str">
        <f>IFERROR(INT((R20-T19)*1440-($AJ$10/2)),"")</f>
        <v/>
      </c>
      <c r="Q20" s="77" t="str">
        <f t="shared" ref="Q20" si="6">IF(R20="","",$AG$6)</f>
        <v/>
      </c>
      <c r="R20" s="77" t="str">
        <f t="shared" ref="R20" si="7">IF(IFERROR(VLOOKUP($P$13&amp;"-"&amp;$A10,USK_BILGILER,4,FALSE),"")&gt;T20,IFERROR(VLOOKUP($P$13&amp;"-"&amp;$A10-1,USK_BILGILER,4,FALSE),""),IFERROR(VLOOKUP($P$13&amp;"-"&amp;$A10,USK_BILGILER,4,FALSE),""))</f>
        <v/>
      </c>
      <c r="S20" s="77" t="str">
        <f t="shared" ref="S20" si="8">IF(T20="","",$AI$6)</f>
        <v/>
      </c>
      <c r="T20" s="77" t="str">
        <f>IFERROR(VLOOKUP($P$13&amp;"-"&amp;$A10,CEK_BILGILER,4,FALSE),"")</f>
        <v/>
      </c>
      <c r="U20" s="79"/>
      <c r="V20" s="288"/>
      <c r="W20" s="76" t="str">
        <f t="shared" si="1"/>
        <v/>
      </c>
      <c r="X20" s="77" t="str">
        <f t="shared" si="2"/>
        <v/>
      </c>
      <c r="Y20" s="77" t="str">
        <f>IF(IFERROR(VLOOKUP($W$13&amp;"-"&amp;$A10,USK_BILGILER,4,FALSE),"")&gt;AA20,IFERROR(VLOOKUP($W$13&amp;"-"&amp;$A10-1,USK_BILGILER,4,FALSE),""),IFERROR(VLOOKUP($W$13&amp;"-"&amp;$A10,USK_BILGILER,4,FALSE),""))</f>
        <v/>
      </c>
      <c r="Z20" s="77" t="str">
        <f t="shared" si="4"/>
        <v/>
      </c>
      <c r="AA20" s="77" t="str">
        <f>IFERROR(VLOOKUP($W$13&amp;"-"&amp;$A10,CEK_BILGILER,4,FALSE),"")</f>
        <v/>
      </c>
      <c r="AB20" s="79" t="str">
        <f t="shared" si="5"/>
        <v/>
      </c>
      <c r="AC20" s="49"/>
      <c r="AD20" s="49"/>
      <c r="AE20" s="49"/>
      <c r="AF20" s="300" t="s">
        <v>11</v>
      </c>
      <c r="AG20" s="301"/>
      <c r="AH20" s="301"/>
      <c r="AI20" s="302"/>
    </row>
    <row r="21" spans="2:35" ht="29.25" thickBot="1" x14ac:dyDescent="0.35">
      <c r="B21" s="42"/>
      <c r="C21" s="43"/>
      <c r="D21" s="44" t="s">
        <v>4</v>
      </c>
      <c r="E21" s="45">
        <f>G21*100/540</f>
        <v>62.037037037037038</v>
      </c>
      <c r="F21" s="46" t="s">
        <v>5</v>
      </c>
      <c r="G21" s="47">
        <f>SUM(G14:G19)</f>
        <v>335</v>
      </c>
      <c r="H21" s="319"/>
      <c r="I21" s="42"/>
      <c r="J21" s="43"/>
      <c r="K21" s="44" t="s">
        <v>4</v>
      </c>
      <c r="L21" s="45">
        <f>N21*100/540</f>
        <v>52.777777777777779</v>
      </c>
      <c r="M21" s="46" t="s">
        <v>5</v>
      </c>
      <c r="N21" s="47">
        <f>SUM(N14:N20)</f>
        <v>285</v>
      </c>
      <c r="O21" s="289"/>
      <c r="P21" s="42"/>
      <c r="Q21" s="43"/>
      <c r="R21" s="44" t="s">
        <v>4</v>
      </c>
      <c r="S21" s="45">
        <f>U21*100/540</f>
        <v>52.777777777777779</v>
      </c>
      <c r="T21" s="46" t="s">
        <v>5</v>
      </c>
      <c r="U21" s="47">
        <f>SUM(U14:U20)</f>
        <v>285</v>
      </c>
      <c r="V21" s="288"/>
      <c r="W21" s="42"/>
      <c r="X21" s="43"/>
      <c r="Y21" s="44" t="s">
        <v>4</v>
      </c>
      <c r="Z21" s="45">
        <f>AB21*100/600</f>
        <v>0</v>
      </c>
      <c r="AA21" s="46" t="s">
        <v>5</v>
      </c>
      <c r="AB21" s="47">
        <f>SUM(AB14:AB20)</f>
        <v>0</v>
      </c>
      <c r="AC21" s="49"/>
      <c r="AD21" s="49"/>
      <c r="AE21" s="49"/>
      <c r="AF21" s="303" t="s">
        <v>17</v>
      </c>
      <c r="AG21" s="304"/>
      <c r="AH21" s="303" t="s">
        <v>18</v>
      </c>
      <c r="AI21" s="304"/>
    </row>
    <row r="22" spans="2:35" ht="29.25" thickBot="1" x14ac:dyDescent="0.45">
      <c r="B22" s="310"/>
      <c r="C22" s="311"/>
      <c r="D22" s="311"/>
      <c r="E22" s="311"/>
      <c r="F22" s="311"/>
      <c r="G22" s="311"/>
      <c r="H22" s="311"/>
      <c r="I22" s="311"/>
      <c r="J22" s="311"/>
      <c r="K22" s="311"/>
      <c r="L22" s="311"/>
      <c r="M22" s="311"/>
      <c r="N22" s="311"/>
      <c r="O22" s="311"/>
      <c r="P22" s="311"/>
      <c r="Q22" s="311"/>
      <c r="R22" s="311"/>
      <c r="S22" s="311"/>
      <c r="T22" s="311"/>
      <c r="U22" s="311"/>
      <c r="V22" s="311"/>
      <c r="W22" s="311"/>
      <c r="X22" s="311"/>
      <c r="Y22" s="311"/>
      <c r="Z22" s="311"/>
      <c r="AA22" s="311"/>
      <c r="AB22" s="312"/>
      <c r="AC22" s="21"/>
      <c r="AD22" s="49"/>
      <c r="AE22" s="49"/>
      <c r="AF22" s="59">
        <v>0.35607638888888887</v>
      </c>
      <c r="AG22" s="60"/>
      <c r="AH22" s="59"/>
      <c r="AI22" s="63"/>
    </row>
    <row r="23" spans="2:35" ht="29.25" thickBot="1" x14ac:dyDescent="0.4">
      <c r="B23" s="295">
        <v>21</v>
      </c>
      <c r="C23" s="296"/>
      <c r="D23" s="290" t="s">
        <v>89</v>
      </c>
      <c r="E23" s="290"/>
      <c r="F23" s="290"/>
      <c r="G23" s="291"/>
      <c r="H23" s="288"/>
      <c r="I23" s="297">
        <v>22</v>
      </c>
      <c r="J23" s="305"/>
      <c r="K23" s="281" t="s">
        <v>309</v>
      </c>
      <c r="L23" s="281"/>
      <c r="M23" s="281"/>
      <c r="N23" s="282"/>
      <c r="O23" s="288"/>
      <c r="P23" s="297"/>
      <c r="Q23" s="305"/>
      <c r="R23" s="290"/>
      <c r="S23" s="290"/>
      <c r="T23" s="290"/>
      <c r="U23" s="291"/>
      <c r="V23" s="288"/>
      <c r="W23" s="306"/>
      <c r="X23" s="307"/>
      <c r="Y23" s="290"/>
      <c r="Z23" s="290"/>
      <c r="AA23" s="290"/>
      <c r="AB23" s="291"/>
      <c r="AC23" s="49"/>
      <c r="AD23" s="49"/>
      <c r="AE23" s="49"/>
      <c r="AF23" s="59">
        <v>0.37121527777777774</v>
      </c>
      <c r="AG23" s="62"/>
      <c r="AH23" s="64"/>
      <c r="AI23" s="65"/>
    </row>
    <row r="24" spans="2:35" ht="28.5" x14ac:dyDescent="0.35">
      <c r="B24" s="101"/>
      <c r="C24" s="135" t="s">
        <v>101</v>
      </c>
      <c r="D24" s="71" t="s">
        <v>160</v>
      </c>
      <c r="E24" s="95" t="s">
        <v>103</v>
      </c>
      <c r="F24" s="72" t="s">
        <v>161</v>
      </c>
      <c r="G24" s="79">
        <v>51</v>
      </c>
      <c r="H24" s="288"/>
      <c r="I24" s="101"/>
      <c r="J24" s="231" t="s">
        <v>101</v>
      </c>
      <c r="K24" s="72" t="s">
        <v>169</v>
      </c>
      <c r="L24" s="95" t="s">
        <v>103</v>
      </c>
      <c r="M24" s="72" t="s">
        <v>170</v>
      </c>
      <c r="N24" s="79">
        <v>51</v>
      </c>
      <c r="O24" s="288"/>
      <c r="P24" s="101"/>
      <c r="Q24" s="77"/>
      <c r="R24" s="77"/>
      <c r="S24" s="77"/>
      <c r="T24" s="77"/>
      <c r="U24" s="79"/>
      <c r="V24" s="288"/>
      <c r="W24" s="101"/>
      <c r="X24" s="77" t="str">
        <f>IF(Y24="","",$AG$6)</f>
        <v/>
      </c>
      <c r="Y24" s="72" t="str">
        <f t="shared" ref="Y24:Y30" si="9">IF(IFERROR(VLOOKUP($W$23&amp;"-"&amp;$A5,USK_BILGILER,4,FALSE),"")&gt;AA24,IFERROR(VLOOKUP($W$23&amp;"-"&amp;$A5-1,USK_BILGILER,4,FALSE),""),IFERROR(VLOOKUP($W$23&amp;"-"&amp;$A5,USK_BILGILER,4,FALSE),""))</f>
        <v/>
      </c>
      <c r="Z24" s="95" t="str">
        <f>IF(AA24="","",$AI$6)</f>
        <v/>
      </c>
      <c r="AA24" s="72" t="str">
        <f t="shared" ref="AA24:AA30" si="10">IFERROR(VLOOKUP($W$23&amp;"-"&amp;$A5,CEK_BILGILER,4,FALSE),"")</f>
        <v/>
      </c>
      <c r="AB24" s="79" t="str">
        <f>IFERROR(INT(((AA24-Y24)*1440)+25),"")</f>
        <v/>
      </c>
      <c r="AC24" s="49"/>
      <c r="AD24" s="49"/>
      <c r="AE24" s="49"/>
      <c r="AF24" s="59"/>
      <c r="AG24" s="62"/>
      <c r="AH24" s="64"/>
      <c r="AI24" s="65"/>
    </row>
    <row r="25" spans="2:35" ht="28.5" x14ac:dyDescent="0.35">
      <c r="B25" s="76">
        <v>14</v>
      </c>
      <c r="C25" s="231" t="s">
        <v>101</v>
      </c>
      <c r="D25" s="71" t="s">
        <v>152</v>
      </c>
      <c r="E25" s="78" t="s">
        <v>103</v>
      </c>
      <c r="F25" s="71" t="s">
        <v>153</v>
      </c>
      <c r="G25" s="79">
        <v>51</v>
      </c>
      <c r="H25" s="288"/>
      <c r="I25" s="76">
        <v>14</v>
      </c>
      <c r="J25" s="231" t="s">
        <v>101</v>
      </c>
      <c r="K25" s="71" t="s">
        <v>162</v>
      </c>
      <c r="L25" s="95" t="s">
        <v>103</v>
      </c>
      <c r="M25" s="71" t="s">
        <v>163</v>
      </c>
      <c r="N25" s="79">
        <v>51</v>
      </c>
      <c r="O25" s="288"/>
      <c r="P25" s="76"/>
      <c r="Q25" s="77"/>
      <c r="R25" s="77"/>
      <c r="S25" s="77"/>
      <c r="T25" s="77"/>
      <c r="U25" s="79"/>
      <c r="V25" s="288"/>
      <c r="W25" s="76" t="str">
        <f>IFERROR(INT((Y25-AA24)*1440-25),"")</f>
        <v/>
      </c>
      <c r="X25" s="77" t="str">
        <f t="shared" ref="X25:X30" si="11">IF(Y25="","",$AG$6)</f>
        <v/>
      </c>
      <c r="Y25" s="71" t="str">
        <f t="shared" si="9"/>
        <v/>
      </c>
      <c r="Z25" s="95" t="str">
        <f t="shared" ref="Z25:Z30" si="12">IF(AA25="","",$AI$6)</f>
        <v/>
      </c>
      <c r="AA25" s="71" t="str">
        <f t="shared" si="10"/>
        <v/>
      </c>
      <c r="AB25" s="79" t="str">
        <f t="shared" ref="AB25:AB29" si="13">IFERROR(INT(((AA25-Y25)*1440)+25),"")</f>
        <v/>
      </c>
      <c r="AC25" s="49"/>
      <c r="AD25" s="49"/>
      <c r="AE25" s="49"/>
      <c r="AF25" s="59"/>
      <c r="AG25" s="62"/>
      <c r="AH25" s="64"/>
      <c r="AI25" s="65"/>
    </row>
    <row r="26" spans="2:35" ht="28.5" x14ac:dyDescent="0.35">
      <c r="B26" s="76">
        <v>30</v>
      </c>
      <c r="C26" s="231" t="s">
        <v>101</v>
      </c>
      <c r="D26" s="71" t="s">
        <v>145</v>
      </c>
      <c r="E26" s="95" t="s">
        <v>103</v>
      </c>
      <c r="F26" s="71" t="s">
        <v>146</v>
      </c>
      <c r="G26" s="79">
        <v>51</v>
      </c>
      <c r="H26" s="288"/>
      <c r="I26" s="76">
        <v>33</v>
      </c>
      <c r="J26" s="231" t="s">
        <v>101</v>
      </c>
      <c r="K26" s="71" t="s">
        <v>154</v>
      </c>
      <c r="L26" s="95" t="s">
        <v>103</v>
      </c>
      <c r="M26" s="71" t="s">
        <v>155</v>
      </c>
      <c r="N26" s="79">
        <v>51</v>
      </c>
      <c r="O26" s="288"/>
      <c r="P26" s="76"/>
      <c r="Q26" s="77"/>
      <c r="R26" s="77"/>
      <c r="S26" s="77"/>
      <c r="T26" s="77"/>
      <c r="U26" s="79"/>
      <c r="V26" s="288"/>
      <c r="W26" s="76" t="str">
        <f t="shared" ref="W26:W29" si="14">IFERROR(INT((Y26-AA25)*1440-25),"")</f>
        <v/>
      </c>
      <c r="X26" s="77" t="str">
        <f t="shared" si="11"/>
        <v/>
      </c>
      <c r="Y26" s="71" t="str">
        <f t="shared" si="9"/>
        <v/>
      </c>
      <c r="Z26" s="95" t="str">
        <f t="shared" si="12"/>
        <v/>
      </c>
      <c r="AA26" s="71" t="str">
        <f t="shared" si="10"/>
        <v/>
      </c>
      <c r="AB26" s="79" t="str">
        <f t="shared" si="13"/>
        <v/>
      </c>
      <c r="AC26" s="49"/>
      <c r="AD26" s="49"/>
      <c r="AE26" s="49"/>
      <c r="AF26" s="59"/>
      <c r="AG26" s="62"/>
      <c r="AH26" s="64"/>
      <c r="AI26" s="65"/>
    </row>
    <row r="27" spans="2:35" ht="28.5" x14ac:dyDescent="0.35">
      <c r="B27" s="76">
        <v>38</v>
      </c>
      <c r="C27" s="231" t="s">
        <v>101</v>
      </c>
      <c r="D27" s="71" t="s">
        <v>139</v>
      </c>
      <c r="E27" s="95" t="s">
        <v>103</v>
      </c>
      <c r="F27" s="71" t="s">
        <v>140</v>
      </c>
      <c r="G27" s="79">
        <v>51</v>
      </c>
      <c r="H27" s="288"/>
      <c r="I27" s="76">
        <v>38</v>
      </c>
      <c r="J27" s="77" t="s">
        <v>101</v>
      </c>
      <c r="K27" s="71" t="s">
        <v>294</v>
      </c>
      <c r="L27" s="95" t="s">
        <v>103</v>
      </c>
      <c r="M27" s="71" t="s">
        <v>295</v>
      </c>
      <c r="N27" s="79">
        <v>51</v>
      </c>
      <c r="O27" s="288"/>
      <c r="P27" s="76"/>
      <c r="Q27" s="77"/>
      <c r="R27" s="77"/>
      <c r="S27" s="77"/>
      <c r="T27" s="77"/>
      <c r="U27" s="79"/>
      <c r="V27" s="288"/>
      <c r="W27" s="76" t="str">
        <f t="shared" si="14"/>
        <v/>
      </c>
      <c r="X27" s="231" t="str">
        <f t="shared" si="11"/>
        <v/>
      </c>
      <c r="Y27" s="71" t="str">
        <f t="shared" si="9"/>
        <v/>
      </c>
      <c r="Z27" s="95" t="str">
        <f t="shared" si="12"/>
        <v/>
      </c>
      <c r="AA27" s="71" t="str">
        <f t="shared" si="10"/>
        <v/>
      </c>
      <c r="AB27" s="79" t="str">
        <f t="shared" si="13"/>
        <v/>
      </c>
      <c r="AC27" s="49"/>
      <c r="AD27" s="49"/>
      <c r="AE27" s="49"/>
      <c r="AF27" s="59"/>
      <c r="AG27" s="62"/>
      <c r="AH27" s="64"/>
      <c r="AI27" s="65"/>
    </row>
    <row r="28" spans="2:35" ht="28.5" x14ac:dyDescent="0.35">
      <c r="B28" s="76">
        <v>49</v>
      </c>
      <c r="C28" s="231" t="s">
        <v>101</v>
      </c>
      <c r="D28" s="71" t="s">
        <v>131</v>
      </c>
      <c r="E28" s="95" t="s">
        <v>103</v>
      </c>
      <c r="F28" s="71" t="s">
        <v>132</v>
      </c>
      <c r="G28" s="79">
        <v>51</v>
      </c>
      <c r="H28" s="288"/>
      <c r="I28" s="76">
        <v>38</v>
      </c>
      <c r="J28" s="77" t="s">
        <v>101</v>
      </c>
      <c r="K28" s="71">
        <v>0.54155092592592591</v>
      </c>
      <c r="L28" s="95" t="s">
        <v>103</v>
      </c>
      <c r="M28" s="71">
        <v>0.56012731481481481</v>
      </c>
      <c r="N28" s="79">
        <v>51</v>
      </c>
      <c r="O28" s="288"/>
      <c r="P28" s="76"/>
      <c r="Q28" s="77"/>
      <c r="R28" s="77"/>
      <c r="S28" s="77"/>
      <c r="T28" s="77"/>
      <c r="U28" s="79"/>
      <c r="V28" s="288"/>
      <c r="W28" s="76" t="str">
        <f t="shared" si="14"/>
        <v/>
      </c>
      <c r="X28" s="231" t="str">
        <f t="shared" si="11"/>
        <v/>
      </c>
      <c r="Y28" s="71" t="str">
        <f t="shared" si="9"/>
        <v/>
      </c>
      <c r="Z28" s="95" t="str">
        <f t="shared" si="12"/>
        <v/>
      </c>
      <c r="AA28" s="71" t="str">
        <f t="shared" si="10"/>
        <v/>
      </c>
      <c r="AB28" s="79" t="str">
        <f t="shared" si="13"/>
        <v/>
      </c>
      <c r="AC28" s="49"/>
      <c r="AD28" s="49"/>
      <c r="AE28" s="49"/>
      <c r="AF28" s="59"/>
      <c r="AG28" s="62"/>
      <c r="AH28" s="64"/>
      <c r="AI28" s="65"/>
    </row>
    <row r="29" spans="2:35" ht="28.5" customHeight="1" x14ac:dyDescent="0.35">
      <c r="B29" s="76">
        <v>59</v>
      </c>
      <c r="C29" s="231" t="s">
        <v>101</v>
      </c>
      <c r="D29" s="231" t="s">
        <v>179</v>
      </c>
      <c r="E29" s="231" t="s">
        <v>103</v>
      </c>
      <c r="F29" s="231" t="s">
        <v>180</v>
      </c>
      <c r="G29" s="79">
        <v>51</v>
      </c>
      <c r="H29" s="288"/>
      <c r="I29" s="76"/>
      <c r="J29" s="77"/>
      <c r="K29" s="77"/>
      <c r="L29" s="77"/>
      <c r="M29" s="77"/>
      <c r="N29" s="79"/>
      <c r="O29" s="288"/>
      <c r="P29" s="76"/>
      <c r="Q29" s="77"/>
      <c r="R29" s="77"/>
      <c r="S29" s="77"/>
      <c r="T29" s="77"/>
      <c r="U29" s="79"/>
      <c r="V29" s="288"/>
      <c r="W29" s="76" t="str">
        <f t="shared" si="14"/>
        <v/>
      </c>
      <c r="X29" s="231" t="str">
        <f t="shared" si="11"/>
        <v/>
      </c>
      <c r="Y29" s="71" t="str">
        <f t="shared" si="9"/>
        <v/>
      </c>
      <c r="Z29" s="95" t="str">
        <f t="shared" si="12"/>
        <v/>
      </c>
      <c r="AA29" s="71" t="str">
        <f t="shared" si="10"/>
        <v/>
      </c>
      <c r="AB29" s="79" t="str">
        <f t="shared" si="13"/>
        <v/>
      </c>
      <c r="AC29" s="49"/>
      <c r="AD29" s="49"/>
      <c r="AE29" s="49"/>
      <c r="AF29" s="61"/>
      <c r="AG29" s="62"/>
      <c r="AH29" s="64"/>
      <c r="AI29" s="65"/>
    </row>
    <row r="30" spans="2:35" ht="28.5" customHeight="1" thickBot="1" x14ac:dyDescent="0.4">
      <c r="B30" s="76" t="str">
        <f t="shared" ref="B30" si="15">IFERROR(INT((D30-F29)*1440-($AJ$10/2)),"")</f>
        <v/>
      </c>
      <c r="C30" s="77" t="str">
        <f t="shared" ref="C30" si="16">IF(D30="","",$AG$6)</f>
        <v/>
      </c>
      <c r="D30" s="77" t="str">
        <f t="shared" ref="D30" si="17">IF(IFERROR(VLOOKUP($B$23&amp;"-"&amp;$A11,USK_BILGILER,4,FALSE),"")&gt;F30,IFERROR(VLOOKUP($B$23&amp;"-"&amp;$A11-1,USK_BILGILER,4,FALSE),""),IFERROR(VLOOKUP($B$23&amp;"-"&amp;$A11,USK_BILGILER,4,FALSE),""))</f>
        <v/>
      </c>
      <c r="E30" s="77" t="str">
        <f t="shared" ref="E30" si="18">IF(F30="","",$AI$6)</f>
        <v/>
      </c>
      <c r="F30" s="77" t="str">
        <f t="shared" ref="F30" si="19">IFERROR(VLOOKUP($B$23&amp;"-"&amp;$A11,CEK_BILGILER,4,FALSE),"")</f>
        <v/>
      </c>
      <c r="G30" s="96"/>
      <c r="H30" s="288"/>
      <c r="I30" s="76"/>
      <c r="J30" s="77"/>
      <c r="K30" s="77"/>
      <c r="L30" s="77"/>
      <c r="M30" s="77"/>
      <c r="N30" s="96"/>
      <c r="O30" s="288"/>
      <c r="P30" s="76"/>
      <c r="Q30" s="77"/>
      <c r="R30" s="135"/>
      <c r="S30" s="135"/>
      <c r="T30" s="135"/>
      <c r="U30" s="96"/>
      <c r="V30" s="288"/>
      <c r="W30" s="76" t="str">
        <f t="shared" ref="W30" si="20">IFERROR(INT((Y30-AA29)*1440-34),"")</f>
        <v/>
      </c>
      <c r="X30" s="77" t="str">
        <f t="shared" si="11"/>
        <v/>
      </c>
      <c r="Y30" s="77" t="str">
        <f t="shared" si="9"/>
        <v/>
      </c>
      <c r="Z30" s="77" t="str">
        <f t="shared" si="12"/>
        <v/>
      </c>
      <c r="AA30" s="77" t="str">
        <f t="shared" si="10"/>
        <v/>
      </c>
      <c r="AB30" s="79" t="str">
        <f t="shared" ref="AB30" si="21">IFERROR(INT(((AA30-Y30)*1440)+36),"")</f>
        <v/>
      </c>
      <c r="AC30" s="49"/>
      <c r="AD30" s="49"/>
      <c r="AE30" s="49"/>
      <c r="AF30" s="69"/>
      <c r="AG30" s="70"/>
      <c r="AH30" s="66"/>
      <c r="AI30" s="67"/>
    </row>
    <row r="31" spans="2:35" ht="29.25" thickBot="1" x14ac:dyDescent="0.25">
      <c r="B31" s="42"/>
      <c r="C31" s="43"/>
      <c r="D31" s="44" t="s">
        <v>4</v>
      </c>
      <c r="E31" s="45">
        <f>G31*100/540</f>
        <v>56.666666666666664</v>
      </c>
      <c r="F31" s="46" t="s">
        <v>5</v>
      </c>
      <c r="G31" s="47">
        <f>SUM(G24:G30)</f>
        <v>306</v>
      </c>
      <c r="H31" s="288"/>
      <c r="I31" s="42"/>
      <c r="J31" s="43"/>
      <c r="K31" s="44" t="s">
        <v>4</v>
      </c>
      <c r="L31" s="45">
        <f>N31*100/540</f>
        <v>47.222222222222221</v>
      </c>
      <c r="M31" s="46" t="s">
        <v>5</v>
      </c>
      <c r="N31" s="47">
        <f>SUM(N24:N30)</f>
        <v>255</v>
      </c>
      <c r="O31" s="288"/>
      <c r="P31" s="42"/>
      <c r="Q31" s="43"/>
      <c r="R31" s="74"/>
      <c r="S31" s="45"/>
      <c r="T31" s="46"/>
      <c r="U31" s="47"/>
      <c r="V31" s="288"/>
      <c r="W31" s="42"/>
      <c r="X31" s="43"/>
      <c r="Y31" s="44" t="s">
        <v>4</v>
      </c>
      <c r="Z31" s="45">
        <f>AB31*100/540</f>
        <v>0</v>
      </c>
      <c r="AA31" s="46" t="s">
        <v>5</v>
      </c>
      <c r="AB31" s="47">
        <f>SUM(AB24:AB30)</f>
        <v>0</v>
      </c>
      <c r="AC31" s="49"/>
      <c r="AD31" s="49"/>
      <c r="AE31" s="49"/>
    </row>
    <row r="32" spans="2:35" ht="29.25" thickBot="1" x14ac:dyDescent="0.4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311"/>
      <c r="AB32" s="312"/>
      <c r="AC32" s="21"/>
      <c r="AD32" s="49"/>
      <c r="AE32" s="49"/>
    </row>
    <row r="33" spans="2:31" ht="29.25" hidden="1" thickBot="1" x14ac:dyDescent="0.5">
      <c r="B33" s="297"/>
      <c r="C33" s="298"/>
      <c r="D33" s="299"/>
      <c r="E33" s="290"/>
      <c r="F33" s="290"/>
      <c r="G33" s="291"/>
      <c r="H33" s="18"/>
      <c r="I33" s="297"/>
      <c r="J33" s="298"/>
      <c r="K33" s="299"/>
      <c r="L33" s="290"/>
      <c r="M33" s="290"/>
      <c r="N33" s="291"/>
      <c r="O33" s="18"/>
      <c r="P33" s="297"/>
      <c r="Q33" s="298"/>
      <c r="R33" s="299"/>
      <c r="S33" s="290"/>
      <c r="T33" s="290"/>
      <c r="U33" s="291"/>
      <c r="V33" s="18"/>
      <c r="W33" s="297"/>
      <c r="X33" s="298"/>
      <c r="Y33" s="299"/>
      <c r="Z33" s="290"/>
      <c r="AA33" s="290"/>
      <c r="AB33" s="291"/>
      <c r="AC33" s="49"/>
      <c r="AD33" s="49"/>
      <c r="AE33" s="49"/>
    </row>
    <row r="34" spans="2:31" ht="28.5" hidden="1" x14ac:dyDescent="0.35">
      <c r="B34" s="101" t="str">
        <f>IFERROR(INT((D34-F33)*1440),"")</f>
        <v/>
      </c>
      <c r="C34" s="77" t="str">
        <f>IF(D34="","",$AG$6)</f>
        <v/>
      </c>
      <c r="D34" s="77" t="str">
        <f t="shared" ref="D34:D40" si="22">IF(IFERROR(VLOOKUP($B$33&amp;"-"&amp;$A5,USK_BILGILER,4,FALSE),"")&gt;F34,IFERROR(VLOOKUP($B$33&amp;"-"&amp;$A5-1,USK_BILGILER,4,FALSE),""),IFERROR(VLOOKUP($B$33&amp;"-"&amp;$A5,USK_BILGILER,4,FALSE),""))</f>
        <v/>
      </c>
      <c r="E34" s="77" t="str">
        <f>IF(F34="","",$AI$6)</f>
        <v/>
      </c>
      <c r="F34" s="77" t="str">
        <f t="shared" ref="F34:F40" si="23">IFERROR(VLOOKUP($B$33&amp;"-"&amp;$A5,CEK_BILGILER,4,FALSE),"")</f>
        <v/>
      </c>
      <c r="G34" s="96" t="str">
        <f>IFERROR(INT(((F34-D34)*1440)+36),"")</f>
        <v/>
      </c>
      <c r="H34" s="80"/>
      <c r="I34" s="101" t="str">
        <f>IFERROR(INT((K34-M33)*1440),"")</f>
        <v/>
      </c>
      <c r="J34" s="77" t="str">
        <f>IF(K34="","",$AG$6)</f>
        <v/>
      </c>
      <c r="K34" s="77" t="str">
        <f t="shared" ref="K34" si="24">IF(IFERROR(VLOOKUP($I$33&amp;"-"&amp;$A5,USK_BILGILER,4,FALSE),"")&gt;M34,IFERROR(VLOOKUP($I$33&amp;"-"&amp;$A5-1,USK_BILGILER,4,FALSE),""),IFERROR(VLOOKUP($I$33&amp;"-"&amp;$A5,USK_BILGILER,4,FALSE),""))</f>
        <v/>
      </c>
      <c r="L34" s="77" t="str">
        <f>IF(M34="","",$AI$6)</f>
        <v/>
      </c>
      <c r="M34" s="77" t="str">
        <f t="shared" ref="M34:M40" si="25">IFERROR(VLOOKUP($I$33&amp;"-"&amp;$A5,CEK_BILGILER,4,FALSE),"")</f>
        <v/>
      </c>
      <c r="N34" s="96" t="str">
        <f>IFERROR(INT(((M34-K34)*1440)+36),"")</f>
        <v/>
      </c>
      <c r="O34" s="80"/>
      <c r="P34" s="101" t="str">
        <f>IFERROR(INT((R34-T33)*1440),"")</f>
        <v/>
      </c>
      <c r="Q34" s="77" t="str">
        <f>IF(R34="","",$AG$6)</f>
        <v/>
      </c>
      <c r="R34" s="77" t="str">
        <f t="shared" ref="R34:R40" si="26">IF(IFERROR(VLOOKUP($P$33&amp;"-"&amp;$A5,USK_BILGILER,4,FALSE),"")&gt;T34,IFERROR(VLOOKUP($P$33&amp;"-"&amp;$A5-1,USK_BILGILER,4,FALSE),""),IFERROR(VLOOKUP($P$33&amp;"-"&amp;$A5,USK_BILGILER,4,FALSE),""))</f>
        <v/>
      </c>
      <c r="S34" s="77" t="str">
        <f>IF(T34="","",$AI$6)</f>
        <v/>
      </c>
      <c r="T34" s="77" t="str">
        <f t="shared" ref="T34:T40" si="27">IFERROR(VLOOKUP($P$33&amp;"-"&amp;$A5,CEK_BILGILER,4,FALSE),"")</f>
        <v/>
      </c>
      <c r="U34" s="96" t="str">
        <f>IFERROR(INT(((T34-R34)*1440)+36),"")</f>
        <v/>
      </c>
      <c r="V34" s="80"/>
      <c r="W34" s="101" t="str">
        <f>IFERROR(INT((Y34-AA33)*1440),"")</f>
        <v/>
      </c>
      <c r="X34" s="77" t="str">
        <f>IF(Y34="","",$AG$6)</f>
        <v/>
      </c>
      <c r="Y34" s="77" t="str">
        <f t="shared" ref="Y34:Y40" si="28">IF(IFERROR(VLOOKUP($W$33&amp;"-"&amp;$A5,USK_BILGILER,4,FALSE),"")&gt;AA34,IFERROR(VLOOKUP($W$33&amp;"-"&amp;$A5-1,USK_BILGILER,4,FALSE),""),IFERROR(VLOOKUP($W$33&amp;"-"&amp;$A5,USK_BILGILER,4,FALSE),""))</f>
        <v/>
      </c>
      <c r="Z34" s="77" t="str">
        <f>IF(AA34="","",$AI$6)</f>
        <v/>
      </c>
      <c r="AA34" s="77" t="str">
        <f t="shared" ref="AA34:AA40" si="29">IFERROR(VLOOKUP($W$33&amp;"-"&amp;$A5,CEK_BILGILER,4,FALSE),"")</f>
        <v/>
      </c>
      <c r="AB34" s="96" t="str">
        <f>IFERROR(INT(((AA34-Y34)*1440)+36),"")</f>
        <v/>
      </c>
      <c r="AC34" s="49"/>
      <c r="AD34" s="49"/>
      <c r="AE34" s="49"/>
    </row>
    <row r="35" spans="2:31" ht="28.5" hidden="1" x14ac:dyDescent="0.35">
      <c r="B35" s="76" t="str">
        <f>IFERROR(INT((D35-F34)*1440-34),"")</f>
        <v/>
      </c>
      <c r="C35" s="77" t="str">
        <f t="shared" ref="C35:C40" si="30">IF(D35="","",$AG$6)</f>
        <v/>
      </c>
      <c r="D35" s="77" t="str">
        <f t="shared" si="22"/>
        <v/>
      </c>
      <c r="E35" s="77" t="str">
        <f t="shared" ref="E35:E40" si="31">IF(F35="","",$AI$6)</f>
        <v/>
      </c>
      <c r="F35" s="77" t="str">
        <f t="shared" si="23"/>
        <v/>
      </c>
      <c r="G35" s="79" t="str">
        <f t="shared" ref="G35:G40" si="32">IFERROR(INT(((F35-D35)*1440)+36),"")</f>
        <v/>
      </c>
      <c r="H35" s="81"/>
      <c r="I35" s="76"/>
      <c r="J35" s="77"/>
      <c r="K35" s="77"/>
      <c r="L35" s="77"/>
      <c r="M35" s="77"/>
      <c r="N35" s="79"/>
      <c r="O35" s="80"/>
      <c r="P35" s="76"/>
      <c r="Q35" s="77"/>
      <c r="R35" s="77"/>
      <c r="S35" s="77"/>
      <c r="T35" s="77"/>
      <c r="U35" s="79"/>
      <c r="V35" s="80"/>
      <c r="W35" s="76" t="str">
        <f>IFERROR(INT((Y35-AA34)*1440-34),"")</f>
        <v/>
      </c>
      <c r="X35" s="77" t="str">
        <f t="shared" ref="X35:X40" si="33">IF(Y35="","",$AG$6)</f>
        <v/>
      </c>
      <c r="Y35" s="77" t="str">
        <f t="shared" si="28"/>
        <v/>
      </c>
      <c r="Z35" s="77" t="str">
        <f t="shared" ref="Z35:Z40" si="34">IF(AA35="","",$AI$6)</f>
        <v/>
      </c>
      <c r="AA35" s="77" t="str">
        <f t="shared" si="29"/>
        <v/>
      </c>
      <c r="AB35" s="79" t="str">
        <f t="shared" ref="AB35:AB40" si="35">IFERROR(INT(((AA35-Y35)*1440)+36),"")</f>
        <v/>
      </c>
      <c r="AC35" s="49"/>
      <c r="AD35" s="49"/>
      <c r="AE35" s="49"/>
    </row>
    <row r="36" spans="2:31" ht="28.5" hidden="1" x14ac:dyDescent="0.35">
      <c r="B36" s="76" t="str">
        <f t="shared" ref="B36:B40" si="36">IFERROR(INT((D36-F35)*1440-34),"")</f>
        <v/>
      </c>
      <c r="C36" s="77" t="str">
        <f t="shared" si="30"/>
        <v/>
      </c>
      <c r="D36" s="77" t="str">
        <f t="shared" si="22"/>
        <v/>
      </c>
      <c r="E36" s="77" t="str">
        <f t="shared" si="31"/>
        <v/>
      </c>
      <c r="F36" s="77" t="str">
        <f t="shared" si="23"/>
        <v/>
      </c>
      <c r="G36" s="79" t="str">
        <f t="shared" si="32"/>
        <v/>
      </c>
      <c r="H36" s="81"/>
      <c r="I36" s="76"/>
      <c r="J36" s="231"/>
      <c r="K36" s="77"/>
      <c r="L36" s="95"/>
      <c r="M36" s="77"/>
      <c r="N36" s="79"/>
      <c r="O36" s="80"/>
      <c r="P36" s="76"/>
      <c r="Q36" s="77"/>
      <c r="R36" s="77"/>
      <c r="S36" s="95"/>
      <c r="T36" s="77"/>
      <c r="U36" s="79"/>
      <c r="V36" s="80"/>
      <c r="W36" s="76" t="str">
        <f t="shared" ref="W36:W40" si="37">IFERROR(INT((Y36-AA35)*1440-34),"")</f>
        <v/>
      </c>
      <c r="X36" s="77" t="str">
        <f t="shared" si="33"/>
        <v/>
      </c>
      <c r="Y36" s="77" t="str">
        <f t="shared" si="28"/>
        <v/>
      </c>
      <c r="Z36" s="77" t="str">
        <f t="shared" si="34"/>
        <v/>
      </c>
      <c r="AA36" s="77" t="str">
        <f t="shared" si="29"/>
        <v/>
      </c>
      <c r="AB36" s="79" t="str">
        <f t="shared" si="35"/>
        <v/>
      </c>
      <c r="AC36" s="49"/>
      <c r="AD36" s="49"/>
      <c r="AE36" s="49"/>
    </row>
    <row r="37" spans="2:31" ht="28.5" hidden="1" customHeight="1" x14ac:dyDescent="0.35">
      <c r="B37" s="76" t="str">
        <f t="shared" si="36"/>
        <v/>
      </c>
      <c r="C37" s="77" t="str">
        <f t="shared" si="30"/>
        <v/>
      </c>
      <c r="D37" s="77" t="str">
        <f t="shared" si="22"/>
        <v/>
      </c>
      <c r="E37" s="77" t="str">
        <f t="shared" si="31"/>
        <v/>
      </c>
      <c r="F37" s="77" t="str">
        <f t="shared" si="23"/>
        <v/>
      </c>
      <c r="G37" s="79" t="str">
        <f t="shared" si="32"/>
        <v/>
      </c>
      <c r="H37" s="82"/>
      <c r="I37" s="76"/>
      <c r="J37" s="231"/>
      <c r="K37" s="77"/>
      <c r="L37" s="95"/>
      <c r="M37" s="77"/>
      <c r="N37" s="79"/>
      <c r="O37" s="83"/>
      <c r="P37" s="76"/>
      <c r="Q37" s="77"/>
      <c r="R37" s="77"/>
      <c r="S37" s="95"/>
      <c r="T37" s="77"/>
      <c r="U37" s="79"/>
      <c r="V37" s="83"/>
      <c r="W37" s="76" t="str">
        <f t="shared" si="37"/>
        <v/>
      </c>
      <c r="X37" s="77" t="str">
        <f t="shared" si="33"/>
        <v/>
      </c>
      <c r="Y37" s="77" t="str">
        <f t="shared" si="28"/>
        <v/>
      </c>
      <c r="Z37" s="77" t="str">
        <f t="shared" si="34"/>
        <v/>
      </c>
      <c r="AA37" s="77" t="str">
        <f t="shared" si="29"/>
        <v/>
      </c>
      <c r="AB37" s="79" t="str">
        <f t="shared" si="35"/>
        <v/>
      </c>
      <c r="AC37" s="49"/>
      <c r="AD37" s="49"/>
      <c r="AE37" s="49"/>
    </row>
    <row r="38" spans="2:31" ht="28.5" hidden="1" customHeight="1" x14ac:dyDescent="0.35">
      <c r="B38" s="76" t="str">
        <f t="shared" si="36"/>
        <v/>
      </c>
      <c r="C38" s="77" t="str">
        <f t="shared" si="30"/>
        <v/>
      </c>
      <c r="D38" s="77" t="str">
        <f t="shared" si="22"/>
        <v/>
      </c>
      <c r="E38" s="77" t="str">
        <f t="shared" si="31"/>
        <v/>
      </c>
      <c r="F38" s="77" t="str">
        <f t="shared" si="23"/>
        <v/>
      </c>
      <c r="G38" s="79" t="str">
        <f t="shared" si="32"/>
        <v/>
      </c>
      <c r="H38" s="82"/>
      <c r="I38" s="76"/>
      <c r="J38" s="231"/>
      <c r="K38" s="77"/>
      <c r="L38" s="95"/>
      <c r="M38" s="77"/>
      <c r="N38" s="79"/>
      <c r="O38" s="83"/>
      <c r="P38" s="76"/>
      <c r="Q38" s="77"/>
      <c r="R38" s="77"/>
      <c r="S38" s="95"/>
      <c r="T38" s="77"/>
      <c r="U38" s="79"/>
      <c r="V38" s="83"/>
      <c r="W38" s="76" t="str">
        <f t="shared" si="37"/>
        <v/>
      </c>
      <c r="X38" s="77" t="str">
        <f t="shared" si="33"/>
        <v/>
      </c>
      <c r="Y38" s="77" t="str">
        <f t="shared" si="28"/>
        <v/>
      </c>
      <c r="Z38" s="77" t="str">
        <f t="shared" si="34"/>
        <v/>
      </c>
      <c r="AA38" s="77" t="str">
        <f t="shared" si="29"/>
        <v/>
      </c>
      <c r="AB38" s="79" t="str">
        <f t="shared" si="35"/>
        <v/>
      </c>
      <c r="AC38" s="49"/>
      <c r="AD38" s="49"/>
      <c r="AE38" s="49"/>
    </row>
    <row r="39" spans="2:31" ht="28.5" hidden="1" customHeight="1" x14ac:dyDescent="0.35">
      <c r="B39" s="76" t="str">
        <f t="shared" si="36"/>
        <v/>
      </c>
      <c r="C39" s="77" t="str">
        <f t="shared" si="30"/>
        <v/>
      </c>
      <c r="D39" s="77" t="str">
        <f t="shared" si="22"/>
        <v/>
      </c>
      <c r="E39" s="77" t="str">
        <f t="shared" si="31"/>
        <v/>
      </c>
      <c r="F39" s="77" t="str">
        <f t="shared" si="23"/>
        <v/>
      </c>
      <c r="G39" s="79" t="str">
        <f t="shared" si="32"/>
        <v/>
      </c>
      <c r="H39" s="82"/>
      <c r="I39" s="76"/>
      <c r="J39" s="77"/>
      <c r="K39" s="77"/>
      <c r="L39" s="77"/>
      <c r="M39" s="77"/>
      <c r="N39" s="79"/>
      <c r="O39" s="83"/>
      <c r="P39" s="76"/>
      <c r="Q39" s="77"/>
      <c r="R39" s="77"/>
      <c r="S39" s="77"/>
      <c r="T39" s="77"/>
      <c r="U39" s="79"/>
      <c r="V39" s="83"/>
      <c r="W39" s="76" t="str">
        <f t="shared" si="37"/>
        <v/>
      </c>
      <c r="X39" s="77" t="str">
        <f t="shared" si="33"/>
        <v/>
      </c>
      <c r="Y39" s="77" t="str">
        <f t="shared" si="28"/>
        <v/>
      </c>
      <c r="Z39" s="77" t="str">
        <f t="shared" si="34"/>
        <v/>
      </c>
      <c r="AA39" s="77" t="str">
        <f t="shared" si="29"/>
        <v/>
      </c>
      <c r="AB39" s="79" t="str">
        <f t="shared" si="35"/>
        <v/>
      </c>
      <c r="AC39" s="49"/>
      <c r="AD39" s="49"/>
      <c r="AE39" s="49"/>
    </row>
    <row r="40" spans="2:31" ht="28.5" hidden="1" customHeight="1" x14ac:dyDescent="0.35">
      <c r="B40" s="76" t="str">
        <f t="shared" si="36"/>
        <v/>
      </c>
      <c r="C40" s="77" t="str">
        <f t="shared" si="30"/>
        <v/>
      </c>
      <c r="D40" s="77" t="str">
        <f t="shared" si="22"/>
        <v/>
      </c>
      <c r="E40" s="77" t="str">
        <f t="shared" si="31"/>
        <v/>
      </c>
      <c r="F40" s="77" t="str">
        <f t="shared" si="23"/>
        <v/>
      </c>
      <c r="G40" s="79" t="str">
        <f t="shared" si="32"/>
        <v/>
      </c>
      <c r="H40" s="84"/>
      <c r="I40" s="76" t="str">
        <f>IFERROR(INT((#REF!-M39)*1440-34),"")</f>
        <v/>
      </c>
      <c r="J40" s="77"/>
      <c r="K40" s="77" t="str">
        <f>IF(IFERROR(VLOOKUP($I$33&amp;"-"&amp;$A10,USK_BILGILER,4,FALSE),"")&gt;M39,IFERROR(VLOOKUP($I$33&amp;"-"&amp;$A10-1,USK_BILGILER,4,FALSE),""),IFERROR(VLOOKUP($I$33&amp;"-"&amp;$A10,USK_BILGILER,4,FALSE),""))</f>
        <v/>
      </c>
      <c r="L40" s="77" t="str">
        <f t="shared" ref="L40" si="38">IF(M40="","",$AI$6)</f>
        <v/>
      </c>
      <c r="M40" s="77" t="str">
        <f t="shared" si="25"/>
        <v/>
      </c>
      <c r="N40" s="79" t="str">
        <f>IFERROR(INT(((M40-#REF!)*1440)+36),"")</f>
        <v/>
      </c>
      <c r="O40" s="85"/>
      <c r="P40" s="76" t="str">
        <f t="shared" ref="P40" si="39">IFERROR(INT((R40-T39)*1440-34),"")</f>
        <v/>
      </c>
      <c r="Q40" s="77" t="str">
        <f t="shared" ref="Q40" si="40">IF(R40="","",$AG$6)</f>
        <v/>
      </c>
      <c r="R40" s="77" t="str">
        <f t="shared" si="26"/>
        <v/>
      </c>
      <c r="S40" s="77" t="str">
        <f t="shared" ref="S40" si="41">IF(T40="","",$AI$6)</f>
        <v/>
      </c>
      <c r="T40" s="77" t="str">
        <f t="shared" si="27"/>
        <v/>
      </c>
      <c r="U40" s="79" t="str">
        <f t="shared" ref="U40" si="42">IFERROR(INT(((T40-R40)*1440)+36),"")</f>
        <v/>
      </c>
      <c r="V40" s="85"/>
      <c r="W40" s="76" t="str">
        <f t="shared" si="37"/>
        <v/>
      </c>
      <c r="X40" s="77" t="str">
        <f t="shared" si="33"/>
        <v/>
      </c>
      <c r="Y40" s="77" t="str">
        <f t="shared" si="28"/>
        <v/>
      </c>
      <c r="Z40" s="77" t="str">
        <f t="shared" si="34"/>
        <v/>
      </c>
      <c r="AA40" s="77" t="str">
        <f t="shared" si="29"/>
        <v/>
      </c>
      <c r="AB40" s="79" t="str">
        <f t="shared" si="35"/>
        <v/>
      </c>
      <c r="AC40" s="49"/>
      <c r="AD40" s="49"/>
      <c r="AE40" s="49"/>
    </row>
    <row r="41" spans="2:31" ht="29.25" hidden="1" thickBot="1" x14ac:dyDescent="0.4">
      <c r="B41" s="42"/>
      <c r="C41" s="43"/>
      <c r="D41" s="44" t="s">
        <v>4</v>
      </c>
      <c r="E41" s="45">
        <f>G41*100/600</f>
        <v>0</v>
      </c>
      <c r="F41" s="46" t="s">
        <v>5</v>
      </c>
      <c r="G41" s="47">
        <f>SUM(G34:G40)</f>
        <v>0</v>
      </c>
      <c r="H41" s="20"/>
      <c r="I41" s="42"/>
      <c r="J41" s="43"/>
      <c r="K41" s="44" t="s">
        <v>4</v>
      </c>
      <c r="L41" s="45">
        <f>N41*100/600</f>
        <v>0</v>
      </c>
      <c r="M41" s="46" t="s">
        <v>5</v>
      </c>
      <c r="N41" s="47">
        <f>SUM(N34:N40)</f>
        <v>0</v>
      </c>
      <c r="O41" s="20"/>
      <c r="P41" s="42"/>
      <c r="Q41" s="43"/>
      <c r="R41" s="44" t="s">
        <v>4</v>
      </c>
      <c r="S41" s="45">
        <f>U41*100/600</f>
        <v>0</v>
      </c>
      <c r="T41" s="46" t="s">
        <v>5</v>
      </c>
      <c r="U41" s="47">
        <f>SUM(U34:U40)</f>
        <v>0</v>
      </c>
      <c r="V41" s="20"/>
      <c r="W41" s="42"/>
      <c r="X41" s="43"/>
      <c r="Y41" s="44" t="s">
        <v>4</v>
      </c>
      <c r="Z41" s="45">
        <f>AB41*100/600</f>
        <v>0</v>
      </c>
      <c r="AA41" s="46" t="s">
        <v>5</v>
      </c>
      <c r="AB41" s="47">
        <f>SUM(AB34:AB40)</f>
        <v>0</v>
      </c>
      <c r="AC41" s="49"/>
      <c r="AD41" s="49"/>
      <c r="AE41" s="49"/>
    </row>
    <row r="42" spans="2:31" ht="17.25" hidden="1" customHeight="1" thickBot="1" x14ac:dyDescent="0.45">
      <c r="B42" s="54"/>
      <c r="C42" s="20"/>
      <c r="D42" s="21"/>
      <c r="E42" s="20"/>
      <c r="F42" s="21"/>
      <c r="G42" s="20"/>
      <c r="H42" s="20"/>
      <c r="I42" s="20"/>
      <c r="J42" s="20"/>
      <c r="L42" s="20"/>
      <c r="M42" s="21"/>
      <c r="N42" s="20"/>
      <c r="O42" s="20"/>
      <c r="P42" s="20"/>
      <c r="Q42" s="20"/>
      <c r="R42" s="21"/>
      <c r="S42" s="20"/>
      <c r="T42" s="21"/>
      <c r="U42" s="20"/>
      <c r="V42" s="20"/>
      <c r="W42" s="20"/>
      <c r="X42" s="20"/>
      <c r="Y42" s="21"/>
      <c r="Z42" s="20"/>
      <c r="AA42" s="21"/>
      <c r="AB42" s="48"/>
      <c r="AC42" s="49"/>
      <c r="AD42" s="49"/>
      <c r="AE42" s="49"/>
    </row>
    <row r="43" spans="2:31" ht="29.25" hidden="1" thickBot="1" x14ac:dyDescent="0.5">
      <c r="B43" s="297"/>
      <c r="C43" s="298"/>
      <c r="D43" s="299"/>
      <c r="E43" s="290"/>
      <c r="F43" s="290"/>
      <c r="G43" s="291"/>
      <c r="H43" s="18"/>
      <c r="I43" s="297"/>
      <c r="J43" s="298"/>
      <c r="K43" s="208"/>
      <c r="L43" s="209"/>
      <c r="M43" s="209"/>
      <c r="N43" s="210"/>
      <c r="O43" s="18"/>
      <c r="P43" s="297"/>
      <c r="Q43" s="298"/>
      <c r="R43" s="299"/>
      <c r="S43" s="290"/>
      <c r="T43" s="290"/>
      <c r="U43" s="291"/>
      <c r="V43" s="20"/>
      <c r="W43" s="297"/>
      <c r="X43" s="298"/>
      <c r="Y43" s="299"/>
      <c r="Z43" s="290"/>
      <c r="AA43" s="290"/>
      <c r="AB43" s="291"/>
      <c r="AC43" s="49"/>
      <c r="AD43" s="49"/>
      <c r="AE43" s="49"/>
    </row>
    <row r="44" spans="2:31" ht="28.5" hidden="1" x14ac:dyDescent="0.35">
      <c r="B44" s="101" t="str">
        <f>IFERROR(INT((D44-F43)*1440),"")</f>
        <v/>
      </c>
      <c r="C44" s="77" t="str">
        <f>IF(D44="","",$AG$6)</f>
        <v/>
      </c>
      <c r="D44" s="77" t="str">
        <f t="shared" ref="D44:D50" si="43">IF(IFERROR(VLOOKUP($B$43&amp;"-"&amp;$A5,USK_BILGILER,4,FALSE),"")&gt;F44,IFERROR(VLOOKUP($B$43&amp;"-"&amp;$A5-1,USK_BILGILER,4,FALSE),""),IFERROR(VLOOKUP($B$43&amp;"-"&amp;$A5,USK_BILGILER,4,FALSE),""))</f>
        <v/>
      </c>
      <c r="E44" s="77" t="str">
        <f>IF(F44="","",$AI$6)</f>
        <v/>
      </c>
      <c r="F44" s="77" t="str">
        <f t="shared" ref="F44:F50" si="44">IFERROR(VLOOKUP($B$43&amp;"-"&amp;$A5,CEK_BILGILER,4,FALSE),"")</f>
        <v/>
      </c>
      <c r="G44" s="96" t="str">
        <f>IFERROR(INT(((F44-D44)*1440)+36),"")</f>
        <v/>
      </c>
      <c r="H44" s="80"/>
      <c r="I44" s="101" t="str">
        <f>IFERROR(INT((K44-M43)*1440),"")</f>
        <v/>
      </c>
      <c r="J44" s="77" t="str">
        <f t="shared" ref="J44:J50" si="45">IF(K44="","",$AG$6)</f>
        <v/>
      </c>
      <c r="K44" s="77" t="str">
        <f t="shared" ref="K44:K50" si="46">IF(IFERROR(VLOOKUP($I$43&amp;"-"&amp;$A5,USK_BILGILER,4,FALSE),"")&gt;M44,IFERROR(VLOOKUP($I$43&amp;"-"&amp;$A5-1,USK_BILGILER,4,FALSE),""),IFERROR(VLOOKUP($I$43&amp;"-"&amp;$A5,USK_BILGILER,4,FALSE),""))</f>
        <v/>
      </c>
      <c r="L44" s="77" t="str">
        <f>IF(M44="","",$AI$6)</f>
        <v/>
      </c>
      <c r="M44" s="77" t="str">
        <f t="shared" ref="M44:M50" si="47">IFERROR(VLOOKUP($I$43&amp;"-"&amp;$A5,CEK_BILGILER,4,FALSE),"")</f>
        <v/>
      </c>
      <c r="N44" s="96" t="str">
        <f t="shared" ref="N44:N50" si="48">IFERROR(INT(((M44-K44)*1440)+36),"")</f>
        <v/>
      </c>
      <c r="O44" s="80"/>
      <c r="P44" s="101" t="str">
        <f>IFERROR(INT((R44-T43)*1440),"")</f>
        <v/>
      </c>
      <c r="Q44" s="77" t="str">
        <f>IF(R44="","",$AG$6)</f>
        <v/>
      </c>
      <c r="R44" s="77" t="str">
        <f t="shared" ref="R44:R50" si="49">IF(IFERROR(VLOOKUP($P$43&amp;"-"&amp;$A5,USK_BILGILER,4,FALSE),"")&gt;T44,IFERROR(VLOOKUP($P$43&amp;"-"&amp;$A5-1,USK_BILGILER,4,FALSE),""),IFERROR(VLOOKUP($P$43&amp;"-"&amp;$A5,USK_BILGILER,4,FALSE),""))</f>
        <v/>
      </c>
      <c r="S44" s="77" t="str">
        <f>IF(T44="","",$AI$6)</f>
        <v/>
      </c>
      <c r="T44" s="77" t="str">
        <f t="shared" ref="T44:T50" si="50">IFERROR(VLOOKUP($P$43&amp;"-"&amp;$A5,CEK_BILGILER,4,FALSE),"")</f>
        <v/>
      </c>
      <c r="U44" s="96" t="str">
        <f>IFERROR(INT(((T44-R44)*1440)+36),"")</f>
        <v/>
      </c>
      <c r="V44" s="85"/>
      <c r="W44" s="101" t="str">
        <f>IFERROR(INT((Y44-AA43)*1440),"")</f>
        <v/>
      </c>
      <c r="X44" s="77" t="str">
        <f>IF(Y44="","",$AG$6)</f>
        <v/>
      </c>
      <c r="Y44" s="77" t="str">
        <f t="shared" ref="Y44:Y50" si="51">IF(IFERROR(VLOOKUP($W$43&amp;"-"&amp;$A5,USK_BILGILER,4,FALSE),"")&gt;AA44,IFERROR(VLOOKUP($W$43&amp;"-"&amp;$A5-1,USK_BILGILER,4,FALSE),""),IFERROR(VLOOKUP($W$43&amp;"-"&amp;$A5,USK_BILGILER,4,FALSE),""))</f>
        <v/>
      </c>
      <c r="Z44" s="77" t="str">
        <f>IF(AA44="","",$AI$6)</f>
        <v/>
      </c>
      <c r="AA44" s="77" t="str">
        <f t="shared" ref="AA44:AA50" si="52">IFERROR(VLOOKUP($W$43&amp;"-"&amp;$A5,CEK_BILGILER,4,FALSE),"")</f>
        <v/>
      </c>
      <c r="AB44" s="96" t="str">
        <f>IFERROR(INT(((AA44-Y44)*1440)+36),"")</f>
        <v/>
      </c>
      <c r="AC44" s="49"/>
      <c r="AD44" s="49"/>
      <c r="AE44" s="49"/>
    </row>
    <row r="45" spans="2:31" ht="28.5" hidden="1" x14ac:dyDescent="0.35">
      <c r="B45" s="76" t="str">
        <f>IFERROR(INT((D45-F44)*1440-34),"")</f>
        <v/>
      </c>
      <c r="C45" s="77" t="str">
        <f t="shared" ref="C45:C50" si="53">IF(D45="","",$AG$6)</f>
        <v/>
      </c>
      <c r="D45" s="77" t="str">
        <f t="shared" si="43"/>
        <v/>
      </c>
      <c r="E45" s="77" t="str">
        <f t="shared" ref="E45:E50" si="54">IF(F45="","",$AI$6)</f>
        <v/>
      </c>
      <c r="F45" s="77" t="str">
        <f t="shared" si="44"/>
        <v/>
      </c>
      <c r="G45" s="79" t="str">
        <f t="shared" ref="G45:G50" si="55">IFERROR(INT(((F45-D45)*1440)+36),"")</f>
        <v/>
      </c>
      <c r="H45" s="81"/>
      <c r="I45" s="76" t="str">
        <f t="shared" ref="I45:I50" si="56">IFERROR(INT((K45-M44)*1440-34),"")</f>
        <v/>
      </c>
      <c r="J45" s="77" t="str">
        <f t="shared" si="45"/>
        <v/>
      </c>
      <c r="K45" s="77" t="str">
        <f t="shared" si="46"/>
        <v/>
      </c>
      <c r="L45" s="77" t="str">
        <f t="shared" ref="L45:L50" si="57">IF(M45="","",$AI$6)</f>
        <v/>
      </c>
      <c r="M45" s="77" t="str">
        <f t="shared" si="47"/>
        <v/>
      </c>
      <c r="N45" s="79" t="str">
        <f t="shared" si="48"/>
        <v/>
      </c>
      <c r="O45" s="80"/>
      <c r="P45" s="76" t="str">
        <f>IFERROR(INT((R45-T44)*1440-34),"")</f>
        <v/>
      </c>
      <c r="Q45" s="77" t="str">
        <f t="shared" ref="Q45:Q50" si="58">IF(R45="","",$AG$6)</f>
        <v/>
      </c>
      <c r="R45" s="77" t="str">
        <f t="shared" si="49"/>
        <v/>
      </c>
      <c r="S45" s="77" t="str">
        <f t="shared" ref="S45:S50" si="59">IF(T45="","",$AI$6)</f>
        <v/>
      </c>
      <c r="T45" s="77" t="str">
        <f t="shared" si="50"/>
        <v/>
      </c>
      <c r="U45" s="79" t="str">
        <f t="shared" ref="U45:U50" si="60">IFERROR(INT(((T45-R45)*1440)+36),"")</f>
        <v/>
      </c>
      <c r="V45" s="85"/>
      <c r="W45" s="76" t="str">
        <f>IFERROR(INT((Y45-AA44)*1440-34),"")</f>
        <v/>
      </c>
      <c r="X45" s="77" t="str">
        <f t="shared" ref="X45:X50" si="61">IF(Y45="","",$AG$6)</f>
        <v/>
      </c>
      <c r="Y45" s="77" t="str">
        <f t="shared" si="51"/>
        <v/>
      </c>
      <c r="Z45" s="77" t="str">
        <f t="shared" ref="Z45:Z50" si="62">IF(AA45="","",$AI$6)</f>
        <v/>
      </c>
      <c r="AA45" s="77" t="str">
        <f t="shared" si="52"/>
        <v/>
      </c>
      <c r="AB45" s="79" t="str">
        <f t="shared" ref="AB45:AB50" si="63">IFERROR(INT(((AA45-Y45)*1440)+36),"")</f>
        <v/>
      </c>
      <c r="AC45" s="49"/>
      <c r="AD45" s="49"/>
      <c r="AE45" s="49"/>
    </row>
    <row r="46" spans="2:31" ht="28.5" hidden="1" x14ac:dyDescent="0.35">
      <c r="B46" s="76" t="str">
        <f t="shared" ref="B46:B50" si="64">IFERROR(INT((D46-F45)*1440-34),"")</f>
        <v/>
      </c>
      <c r="C46" s="77" t="str">
        <f t="shared" si="53"/>
        <v/>
      </c>
      <c r="D46" s="77" t="str">
        <f t="shared" si="43"/>
        <v/>
      </c>
      <c r="E46" s="77" t="str">
        <f t="shared" si="54"/>
        <v/>
      </c>
      <c r="F46" s="77" t="str">
        <f t="shared" si="44"/>
        <v/>
      </c>
      <c r="G46" s="79" t="str">
        <f t="shared" si="55"/>
        <v/>
      </c>
      <c r="H46" s="81"/>
      <c r="I46" s="76" t="str">
        <f t="shared" si="56"/>
        <v/>
      </c>
      <c r="J46" s="77" t="str">
        <f t="shared" si="45"/>
        <v/>
      </c>
      <c r="K46" s="77" t="str">
        <f t="shared" si="46"/>
        <v/>
      </c>
      <c r="L46" s="77" t="str">
        <f t="shared" si="57"/>
        <v/>
      </c>
      <c r="M46" s="77" t="str">
        <f t="shared" si="47"/>
        <v/>
      </c>
      <c r="N46" s="79" t="str">
        <f t="shared" si="48"/>
        <v/>
      </c>
      <c r="O46" s="80"/>
      <c r="P46" s="76" t="str">
        <f t="shared" ref="P46:P50" si="65">IFERROR(INT((R46-T45)*1440-34),"")</f>
        <v/>
      </c>
      <c r="Q46" s="77" t="str">
        <f t="shared" si="58"/>
        <v/>
      </c>
      <c r="R46" s="77" t="str">
        <f t="shared" si="49"/>
        <v/>
      </c>
      <c r="S46" s="77" t="str">
        <f t="shared" si="59"/>
        <v/>
      </c>
      <c r="T46" s="77" t="str">
        <f t="shared" si="50"/>
        <v/>
      </c>
      <c r="U46" s="79" t="str">
        <f t="shared" si="60"/>
        <v/>
      </c>
      <c r="V46" s="85"/>
      <c r="W46" s="76" t="str">
        <f t="shared" ref="W46:W50" si="66">IFERROR(INT((Y46-AA45)*1440-34),"")</f>
        <v/>
      </c>
      <c r="X46" s="77" t="str">
        <f t="shared" si="61"/>
        <v/>
      </c>
      <c r="Y46" s="77" t="str">
        <f t="shared" si="51"/>
        <v/>
      </c>
      <c r="Z46" s="77" t="str">
        <f t="shared" si="62"/>
        <v/>
      </c>
      <c r="AA46" s="77" t="str">
        <f t="shared" si="52"/>
        <v/>
      </c>
      <c r="AB46" s="79" t="str">
        <f t="shared" si="63"/>
        <v/>
      </c>
      <c r="AC46" s="49"/>
      <c r="AD46" s="49"/>
      <c r="AE46" s="49"/>
    </row>
    <row r="47" spans="2:31" ht="28.5" hidden="1" customHeight="1" x14ac:dyDescent="0.35">
      <c r="B47" s="76" t="str">
        <f t="shared" si="64"/>
        <v/>
      </c>
      <c r="C47" s="77" t="str">
        <f t="shared" si="53"/>
        <v/>
      </c>
      <c r="D47" s="77" t="str">
        <f t="shared" si="43"/>
        <v/>
      </c>
      <c r="E47" s="77" t="str">
        <f t="shared" si="54"/>
        <v/>
      </c>
      <c r="F47" s="77" t="str">
        <f t="shared" si="44"/>
        <v/>
      </c>
      <c r="G47" s="79" t="str">
        <f t="shared" si="55"/>
        <v/>
      </c>
      <c r="H47" s="82"/>
      <c r="I47" s="76" t="str">
        <f t="shared" si="56"/>
        <v/>
      </c>
      <c r="J47" s="77" t="str">
        <f t="shared" si="45"/>
        <v/>
      </c>
      <c r="K47" s="77" t="str">
        <f t="shared" si="46"/>
        <v/>
      </c>
      <c r="L47" s="77" t="str">
        <f t="shared" si="57"/>
        <v/>
      </c>
      <c r="M47" s="77" t="str">
        <f t="shared" si="47"/>
        <v/>
      </c>
      <c r="N47" s="79" t="str">
        <f t="shared" si="48"/>
        <v/>
      </c>
      <c r="O47" s="80"/>
      <c r="P47" s="76" t="str">
        <f t="shared" si="65"/>
        <v/>
      </c>
      <c r="Q47" s="77" t="str">
        <f t="shared" si="58"/>
        <v/>
      </c>
      <c r="R47" s="77" t="str">
        <f t="shared" si="49"/>
        <v/>
      </c>
      <c r="S47" s="77" t="str">
        <f t="shared" si="59"/>
        <v/>
      </c>
      <c r="T47" s="77" t="str">
        <f t="shared" si="50"/>
        <v/>
      </c>
      <c r="U47" s="79" t="str">
        <f t="shared" si="60"/>
        <v/>
      </c>
      <c r="V47" s="85"/>
      <c r="W47" s="76" t="str">
        <f t="shared" si="66"/>
        <v/>
      </c>
      <c r="X47" s="77" t="str">
        <f t="shared" si="61"/>
        <v/>
      </c>
      <c r="Y47" s="77" t="str">
        <f t="shared" si="51"/>
        <v/>
      </c>
      <c r="Z47" s="77" t="str">
        <f t="shared" si="62"/>
        <v/>
      </c>
      <c r="AA47" s="77" t="str">
        <f t="shared" si="52"/>
        <v/>
      </c>
      <c r="AB47" s="79" t="str">
        <f t="shared" si="63"/>
        <v/>
      </c>
      <c r="AC47" s="49"/>
      <c r="AD47" s="49"/>
      <c r="AE47" s="49"/>
    </row>
    <row r="48" spans="2:31" ht="28.5" hidden="1" customHeight="1" x14ac:dyDescent="0.35">
      <c r="B48" s="76" t="str">
        <f t="shared" si="64"/>
        <v/>
      </c>
      <c r="C48" s="77" t="str">
        <f t="shared" si="53"/>
        <v/>
      </c>
      <c r="D48" s="77" t="str">
        <f t="shared" si="43"/>
        <v/>
      </c>
      <c r="E48" s="77" t="str">
        <f t="shared" si="54"/>
        <v/>
      </c>
      <c r="F48" s="77" t="str">
        <f t="shared" si="44"/>
        <v/>
      </c>
      <c r="G48" s="79" t="str">
        <f t="shared" si="55"/>
        <v/>
      </c>
      <c r="H48" s="82"/>
      <c r="I48" s="76" t="str">
        <f t="shared" si="56"/>
        <v/>
      </c>
      <c r="J48" s="77" t="str">
        <f t="shared" si="45"/>
        <v/>
      </c>
      <c r="K48" s="77" t="str">
        <f t="shared" si="46"/>
        <v/>
      </c>
      <c r="L48" s="77" t="str">
        <f t="shared" si="57"/>
        <v/>
      </c>
      <c r="M48" s="77" t="str">
        <f t="shared" si="47"/>
        <v/>
      </c>
      <c r="N48" s="79" t="str">
        <f t="shared" si="48"/>
        <v/>
      </c>
      <c r="O48" s="80"/>
      <c r="P48" s="76" t="str">
        <f t="shared" si="65"/>
        <v/>
      </c>
      <c r="Q48" s="77" t="str">
        <f t="shared" si="58"/>
        <v/>
      </c>
      <c r="R48" s="77" t="str">
        <f t="shared" si="49"/>
        <v/>
      </c>
      <c r="S48" s="77" t="str">
        <f t="shared" si="59"/>
        <v/>
      </c>
      <c r="T48" s="77" t="str">
        <f t="shared" si="50"/>
        <v/>
      </c>
      <c r="U48" s="79" t="str">
        <f t="shared" si="60"/>
        <v/>
      </c>
      <c r="V48" s="85"/>
      <c r="W48" s="76" t="str">
        <f t="shared" si="66"/>
        <v/>
      </c>
      <c r="X48" s="77" t="str">
        <f t="shared" si="61"/>
        <v/>
      </c>
      <c r="Y48" s="77" t="str">
        <f t="shared" si="51"/>
        <v/>
      </c>
      <c r="Z48" s="77" t="str">
        <f t="shared" si="62"/>
        <v/>
      </c>
      <c r="AA48" s="77" t="str">
        <f t="shared" si="52"/>
        <v/>
      </c>
      <c r="AB48" s="79" t="str">
        <f t="shared" si="63"/>
        <v/>
      </c>
      <c r="AC48" s="49"/>
      <c r="AD48" s="49"/>
      <c r="AE48" s="49"/>
    </row>
    <row r="49" spans="2:31" ht="28.5" hidden="1" customHeight="1" x14ac:dyDescent="0.35">
      <c r="B49" s="76" t="str">
        <f t="shared" si="64"/>
        <v/>
      </c>
      <c r="C49" s="77" t="str">
        <f t="shared" si="53"/>
        <v/>
      </c>
      <c r="D49" s="77" t="str">
        <f t="shared" si="43"/>
        <v/>
      </c>
      <c r="E49" s="77" t="str">
        <f t="shared" si="54"/>
        <v/>
      </c>
      <c r="F49" s="77" t="str">
        <f t="shared" si="44"/>
        <v/>
      </c>
      <c r="G49" s="79" t="str">
        <f t="shared" si="55"/>
        <v/>
      </c>
      <c r="H49" s="82"/>
      <c r="I49" s="76" t="str">
        <f t="shared" si="56"/>
        <v/>
      </c>
      <c r="J49" s="77" t="str">
        <f t="shared" si="45"/>
        <v/>
      </c>
      <c r="K49" s="77" t="str">
        <f t="shared" si="46"/>
        <v/>
      </c>
      <c r="L49" s="77" t="str">
        <f t="shared" si="57"/>
        <v/>
      </c>
      <c r="M49" s="77" t="str">
        <f t="shared" si="47"/>
        <v/>
      </c>
      <c r="N49" s="79" t="str">
        <f t="shared" si="48"/>
        <v/>
      </c>
      <c r="O49" s="80"/>
      <c r="P49" s="76" t="str">
        <f t="shared" si="65"/>
        <v/>
      </c>
      <c r="Q49" s="77" t="str">
        <f t="shared" si="58"/>
        <v/>
      </c>
      <c r="R49" s="77" t="str">
        <f t="shared" si="49"/>
        <v/>
      </c>
      <c r="S49" s="77" t="str">
        <f t="shared" si="59"/>
        <v/>
      </c>
      <c r="T49" s="77" t="str">
        <f t="shared" si="50"/>
        <v/>
      </c>
      <c r="U49" s="79" t="str">
        <f t="shared" si="60"/>
        <v/>
      </c>
      <c r="V49" s="85"/>
      <c r="W49" s="76" t="str">
        <f t="shared" si="66"/>
        <v/>
      </c>
      <c r="X49" s="77" t="str">
        <f t="shared" si="61"/>
        <v/>
      </c>
      <c r="Y49" s="77" t="str">
        <f t="shared" si="51"/>
        <v/>
      </c>
      <c r="Z49" s="77" t="str">
        <f t="shared" si="62"/>
        <v/>
      </c>
      <c r="AA49" s="77" t="str">
        <f t="shared" si="52"/>
        <v/>
      </c>
      <c r="AB49" s="79" t="str">
        <f t="shared" si="63"/>
        <v/>
      </c>
      <c r="AC49" s="49"/>
      <c r="AD49" s="49"/>
      <c r="AE49" s="49"/>
    </row>
    <row r="50" spans="2:31" ht="28.5" hidden="1" customHeight="1" x14ac:dyDescent="0.35">
      <c r="B50" s="76" t="str">
        <f t="shared" si="64"/>
        <v/>
      </c>
      <c r="C50" s="77" t="str">
        <f t="shared" si="53"/>
        <v/>
      </c>
      <c r="D50" s="77" t="str">
        <f t="shared" si="43"/>
        <v/>
      </c>
      <c r="E50" s="77" t="str">
        <f t="shared" si="54"/>
        <v/>
      </c>
      <c r="F50" s="77" t="str">
        <f t="shared" si="44"/>
        <v/>
      </c>
      <c r="G50" s="79" t="str">
        <f t="shared" si="55"/>
        <v/>
      </c>
      <c r="H50" s="84"/>
      <c r="I50" s="76" t="str">
        <f t="shared" si="56"/>
        <v/>
      </c>
      <c r="J50" s="77" t="str">
        <f t="shared" si="45"/>
        <v/>
      </c>
      <c r="K50" s="77" t="str">
        <f t="shared" si="46"/>
        <v/>
      </c>
      <c r="L50" s="77" t="str">
        <f t="shared" si="57"/>
        <v/>
      </c>
      <c r="M50" s="77" t="str">
        <f t="shared" si="47"/>
        <v/>
      </c>
      <c r="N50" s="79" t="str">
        <f t="shared" si="48"/>
        <v/>
      </c>
      <c r="O50" s="80"/>
      <c r="P50" s="76" t="str">
        <f t="shared" si="65"/>
        <v/>
      </c>
      <c r="Q50" s="77" t="str">
        <f t="shared" si="58"/>
        <v/>
      </c>
      <c r="R50" s="77" t="str">
        <f t="shared" si="49"/>
        <v/>
      </c>
      <c r="S50" s="77" t="str">
        <f t="shared" si="59"/>
        <v/>
      </c>
      <c r="T50" s="77" t="str">
        <f t="shared" si="50"/>
        <v/>
      </c>
      <c r="U50" s="79" t="str">
        <f t="shared" si="60"/>
        <v/>
      </c>
      <c r="V50" s="85"/>
      <c r="W50" s="76" t="str">
        <f t="shared" si="66"/>
        <v/>
      </c>
      <c r="X50" s="77" t="str">
        <f t="shared" si="61"/>
        <v/>
      </c>
      <c r="Y50" s="77" t="str">
        <f t="shared" si="51"/>
        <v/>
      </c>
      <c r="Z50" s="77" t="str">
        <f t="shared" si="62"/>
        <v/>
      </c>
      <c r="AA50" s="77" t="str">
        <f t="shared" si="52"/>
        <v/>
      </c>
      <c r="AB50" s="79" t="str">
        <f t="shared" si="63"/>
        <v/>
      </c>
      <c r="AC50" s="49"/>
      <c r="AD50" s="49"/>
      <c r="AE50" s="49"/>
    </row>
    <row r="51" spans="2:31" ht="29.25" hidden="1" thickBot="1" x14ac:dyDescent="0.4">
      <c r="B51" s="42"/>
      <c r="C51" s="43"/>
      <c r="D51" s="44" t="s">
        <v>4</v>
      </c>
      <c r="E51" s="45">
        <f>G51*100/600</f>
        <v>0</v>
      </c>
      <c r="F51" s="46" t="s">
        <v>5</v>
      </c>
      <c r="G51" s="47">
        <f>SUM(G44:G50)</f>
        <v>0</v>
      </c>
      <c r="H51" s="20"/>
      <c r="I51" s="42"/>
      <c r="J51" s="43"/>
      <c r="K51" s="44" t="s">
        <v>4</v>
      </c>
      <c r="L51" s="45">
        <f>N51*100/600</f>
        <v>0</v>
      </c>
      <c r="M51" s="46" t="s">
        <v>5</v>
      </c>
      <c r="N51" s="47">
        <f>SUM(N44:N50)</f>
        <v>0</v>
      </c>
      <c r="O51" s="20"/>
      <c r="P51" s="42"/>
      <c r="Q51" s="43"/>
      <c r="R51" s="44" t="s">
        <v>4</v>
      </c>
      <c r="S51" s="45">
        <f>U51*100/600</f>
        <v>0</v>
      </c>
      <c r="T51" s="46" t="s">
        <v>5</v>
      </c>
      <c r="U51" s="47">
        <f>SUM(U44:U50)</f>
        <v>0</v>
      </c>
      <c r="V51" s="20"/>
      <c r="W51" s="42"/>
      <c r="X51" s="43"/>
      <c r="Y51" s="44" t="s">
        <v>4</v>
      </c>
      <c r="Z51" s="45">
        <f>AB51*100/600</f>
        <v>0</v>
      </c>
      <c r="AA51" s="46" t="s">
        <v>5</v>
      </c>
      <c r="AB51" s="47">
        <f>SUM(AB44:AB50)</f>
        <v>0</v>
      </c>
      <c r="AC51" s="49"/>
      <c r="AD51" s="49"/>
      <c r="AE51" s="49"/>
    </row>
    <row r="52" spans="2:31" ht="29.25" hidden="1" thickBot="1" x14ac:dyDescent="0.25">
      <c r="B52" s="57"/>
      <c r="C52" s="58"/>
      <c r="D52" s="58"/>
      <c r="E52" s="58"/>
      <c r="F52" s="58"/>
      <c r="G52" s="58"/>
      <c r="H52" s="50"/>
      <c r="I52" s="58"/>
      <c r="J52" s="58"/>
      <c r="K52" s="58"/>
      <c r="L52" s="58"/>
      <c r="M52" s="58"/>
      <c r="N52" s="58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49"/>
      <c r="AD52" s="49"/>
      <c r="AE52" s="49"/>
    </row>
    <row r="53" spans="2:31" ht="31.5" customHeight="1" thickBot="1" x14ac:dyDescent="0.25">
      <c r="B53" s="214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6"/>
      <c r="AC53" s="49"/>
      <c r="AD53" s="49"/>
      <c r="AE53" s="49"/>
    </row>
    <row r="54" spans="2:31" ht="31.5" customHeight="1" thickBot="1" x14ac:dyDescent="0.4">
      <c r="B54" s="211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3"/>
      <c r="AC54" s="49"/>
      <c r="AD54" s="49"/>
      <c r="AE54" s="49"/>
    </row>
    <row r="55" spans="2:31" ht="31.5" customHeight="1" thickBot="1" x14ac:dyDescent="0.4">
      <c r="B55" s="217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9"/>
      <c r="AC55" s="49"/>
      <c r="AD55" s="49"/>
      <c r="AE55" s="49"/>
    </row>
    <row r="56" spans="2:31" ht="31.5" customHeight="1" thickBot="1" x14ac:dyDescent="0.4">
      <c r="B56" s="211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3"/>
      <c r="AC56" s="49"/>
      <c r="AD56" s="49"/>
      <c r="AE56" s="49"/>
    </row>
    <row r="57" spans="2:31" ht="24" customHeight="1" x14ac:dyDescent="0.2">
      <c r="D57" s="16"/>
      <c r="F57" s="16"/>
      <c r="K57" s="16"/>
      <c r="M57" s="16"/>
      <c r="R57" s="16"/>
      <c r="T57" s="16"/>
      <c r="Y57" s="16"/>
      <c r="AA57" s="16"/>
      <c r="AC57" s="49"/>
      <c r="AD57" s="49"/>
      <c r="AE57" s="49"/>
    </row>
    <row r="58" spans="2:31" ht="24" customHeight="1" x14ac:dyDescent="0.2">
      <c r="D58" s="16"/>
      <c r="F58" s="16"/>
      <c r="K58" s="16"/>
      <c r="M58" s="16"/>
      <c r="R58" s="16"/>
      <c r="T58" s="16"/>
      <c r="Y58" s="16"/>
      <c r="AA58" s="16"/>
      <c r="AC58" s="49"/>
      <c r="AD58" s="49"/>
      <c r="AE58" s="49"/>
    </row>
    <row r="59" spans="2:31" ht="28.5" x14ac:dyDescent="0.4">
      <c r="AB59" s="22"/>
      <c r="AC59" s="49"/>
      <c r="AD59" s="49"/>
      <c r="AE59" s="49"/>
    </row>
    <row r="60" spans="2:31" ht="28.5" x14ac:dyDescent="0.4">
      <c r="AB60" s="15"/>
      <c r="AC60" s="49"/>
      <c r="AD60" s="49"/>
      <c r="AE60" s="49"/>
    </row>
    <row r="61" spans="2:31" ht="28.5" x14ac:dyDescent="0.4">
      <c r="AB61" s="15"/>
      <c r="AC61" s="49"/>
      <c r="AD61" s="49"/>
      <c r="AE61" s="49"/>
    </row>
    <row r="62" spans="2:31" ht="28.5" x14ac:dyDescent="0.4">
      <c r="AB62" s="15"/>
      <c r="AC62" s="49"/>
      <c r="AD62" s="49"/>
      <c r="AE62" s="49"/>
    </row>
    <row r="63" spans="2:31" ht="28.5" x14ac:dyDescent="0.4">
      <c r="AB63" s="15"/>
      <c r="AC63" s="49"/>
      <c r="AD63" s="49"/>
      <c r="AE63" s="49"/>
    </row>
    <row r="64" spans="2:31" ht="28.5" x14ac:dyDescent="0.4">
      <c r="AB64" s="15"/>
      <c r="AC64" s="49"/>
      <c r="AD64" s="49"/>
      <c r="AE64" s="49"/>
    </row>
    <row r="65" spans="28:31" ht="28.5" x14ac:dyDescent="0.4">
      <c r="AB65" s="15"/>
      <c r="AC65" s="49"/>
      <c r="AD65" s="49"/>
      <c r="AE65" s="49"/>
    </row>
    <row r="66" spans="28:31" ht="28.5" x14ac:dyDescent="0.4">
      <c r="AB66" s="15"/>
      <c r="AC66" s="49"/>
      <c r="AD66" s="49"/>
      <c r="AE66" s="49"/>
    </row>
    <row r="67" spans="28:31" ht="28.5" x14ac:dyDescent="0.4">
      <c r="AB67" s="15"/>
      <c r="AC67" s="49"/>
      <c r="AD67" s="49"/>
      <c r="AE67" s="49"/>
    </row>
    <row r="68" spans="28:31" ht="28.5" x14ac:dyDescent="0.4">
      <c r="AB68" s="15"/>
      <c r="AC68" s="49"/>
      <c r="AD68" s="49"/>
      <c r="AE68" s="49"/>
    </row>
    <row r="69" spans="28:31" ht="28.5" x14ac:dyDescent="0.4">
      <c r="AB69" s="15"/>
      <c r="AC69" s="49"/>
      <c r="AD69" s="49"/>
      <c r="AE69" s="49"/>
    </row>
    <row r="70" spans="28:31" ht="28.5" x14ac:dyDescent="0.4">
      <c r="AB70" s="15"/>
      <c r="AC70" s="49"/>
      <c r="AD70" s="49"/>
      <c r="AE70" s="49"/>
    </row>
    <row r="71" spans="28:31" ht="28.5" x14ac:dyDescent="0.4">
      <c r="AB71" s="15"/>
      <c r="AC71" s="49"/>
      <c r="AD71" s="49"/>
      <c r="AE71" s="49"/>
    </row>
    <row r="72" spans="28:31" ht="28.5" x14ac:dyDescent="0.4">
      <c r="AB72" s="15"/>
      <c r="AC72" s="49"/>
      <c r="AD72" s="49"/>
      <c r="AE72" s="49"/>
    </row>
    <row r="73" spans="28:31" ht="28.5" x14ac:dyDescent="0.4">
      <c r="AB73" s="15"/>
      <c r="AC73" s="49"/>
      <c r="AD73" s="49"/>
      <c r="AE73" s="49"/>
    </row>
    <row r="74" spans="28:31" ht="28.5" x14ac:dyDescent="0.4">
      <c r="AB74" s="15"/>
      <c r="AC74" s="49"/>
      <c r="AD74" s="49"/>
      <c r="AE74" s="49"/>
    </row>
    <row r="75" spans="28:31" ht="28.5" x14ac:dyDescent="0.4">
      <c r="AB75" s="15"/>
      <c r="AC75" s="49"/>
      <c r="AD75" s="49"/>
      <c r="AE75" s="49"/>
    </row>
    <row r="76" spans="28:31" ht="28.5" x14ac:dyDescent="0.4">
      <c r="AB76" s="15"/>
      <c r="AC76" s="49"/>
      <c r="AD76" s="49"/>
      <c r="AE76" s="49"/>
    </row>
    <row r="77" spans="28:31" ht="28.5" x14ac:dyDescent="0.4">
      <c r="AB77" s="15"/>
      <c r="AC77" s="49"/>
      <c r="AD77" s="49"/>
      <c r="AE77" s="49"/>
    </row>
    <row r="78" spans="28:31" ht="28.5" x14ac:dyDescent="0.4">
      <c r="AB78" s="15"/>
      <c r="AC78" s="49"/>
      <c r="AD78" s="49"/>
      <c r="AE78" s="49"/>
    </row>
    <row r="79" spans="28:31" ht="28.5" x14ac:dyDescent="0.4">
      <c r="AB79" s="15"/>
      <c r="AC79" s="49"/>
      <c r="AD79" s="49"/>
      <c r="AE79" s="49"/>
    </row>
    <row r="80" spans="28:31" ht="28.5" x14ac:dyDescent="0.4">
      <c r="AB80" s="15"/>
      <c r="AC80" s="49"/>
      <c r="AD80" s="49"/>
      <c r="AE80" s="49"/>
    </row>
    <row r="81" spans="28:31" ht="28.5" x14ac:dyDescent="0.4">
      <c r="AB81" s="15"/>
      <c r="AC81" s="49"/>
      <c r="AD81" s="49"/>
      <c r="AE81" s="49"/>
    </row>
    <row r="82" spans="28:31" ht="28.5" x14ac:dyDescent="0.4">
      <c r="AB82" s="15"/>
      <c r="AC82" s="49"/>
      <c r="AD82" s="49"/>
      <c r="AE82" s="49"/>
    </row>
    <row r="83" spans="28:31" ht="28.5" x14ac:dyDescent="0.4">
      <c r="AB83" s="15"/>
      <c r="AC83" s="49"/>
      <c r="AD83" s="49"/>
      <c r="AE83" s="49"/>
    </row>
    <row r="84" spans="28:31" ht="28.5" x14ac:dyDescent="0.4">
      <c r="AB84" s="15"/>
      <c r="AC84" s="49"/>
      <c r="AD84" s="49"/>
      <c r="AE84" s="49"/>
    </row>
    <row r="85" spans="28:31" ht="28.5" x14ac:dyDescent="0.4">
      <c r="AB85" s="15"/>
      <c r="AC85" s="49"/>
      <c r="AD85" s="49"/>
      <c r="AE85" s="49"/>
    </row>
    <row r="86" spans="28:31" ht="28.5" x14ac:dyDescent="0.4">
      <c r="AB86" s="15"/>
      <c r="AC86" s="49"/>
      <c r="AD86" s="49"/>
      <c r="AE86" s="49"/>
    </row>
    <row r="87" spans="28:31" ht="28.5" x14ac:dyDescent="0.4">
      <c r="AB87" s="15"/>
      <c r="AC87" s="49"/>
      <c r="AD87" s="49"/>
      <c r="AE87" s="49"/>
    </row>
    <row r="88" spans="28:31" ht="28.5" x14ac:dyDescent="0.4">
      <c r="AB88" s="15"/>
      <c r="AC88" s="49"/>
      <c r="AD88" s="49"/>
      <c r="AE88" s="49"/>
    </row>
    <row r="89" spans="28:31" ht="28.5" x14ac:dyDescent="0.4">
      <c r="AB89" s="15"/>
      <c r="AC89" s="49"/>
      <c r="AD89" s="49"/>
      <c r="AE89" s="49"/>
    </row>
    <row r="90" spans="28:31" ht="28.5" x14ac:dyDescent="0.4">
      <c r="AB90" s="15"/>
      <c r="AC90" s="49"/>
      <c r="AD90" s="49"/>
      <c r="AE90" s="49"/>
    </row>
    <row r="91" spans="28:31" ht="28.5" x14ac:dyDescent="0.4">
      <c r="AB91" s="15"/>
      <c r="AC91" s="49"/>
      <c r="AD91" s="49"/>
      <c r="AE91" s="49"/>
    </row>
    <row r="92" spans="28:31" ht="28.5" x14ac:dyDescent="0.4">
      <c r="AB92" s="15"/>
      <c r="AC92" s="49"/>
      <c r="AD92" s="49"/>
      <c r="AE92" s="49"/>
    </row>
    <row r="93" spans="28:31" ht="28.5" x14ac:dyDescent="0.4">
      <c r="AB93" s="15"/>
      <c r="AC93" s="49"/>
      <c r="AD93" s="49"/>
      <c r="AE93" s="49"/>
    </row>
    <row r="94" spans="28:31" ht="28.5" x14ac:dyDescent="0.4">
      <c r="AB94" s="15"/>
      <c r="AC94" s="49"/>
      <c r="AD94" s="49"/>
      <c r="AE94" s="49"/>
    </row>
    <row r="95" spans="28:31" ht="28.5" x14ac:dyDescent="0.4">
      <c r="AB95" s="15"/>
      <c r="AC95" s="49"/>
      <c r="AD95" s="49"/>
      <c r="AE95" s="49"/>
    </row>
    <row r="96" spans="28:31" ht="28.5" x14ac:dyDescent="0.4">
      <c r="AB96" s="15"/>
      <c r="AC96" s="49"/>
      <c r="AD96" s="49"/>
      <c r="AE96" s="49"/>
    </row>
    <row r="97" spans="28:31" ht="28.5" x14ac:dyDescent="0.4">
      <c r="AB97" s="15"/>
      <c r="AC97" s="49"/>
      <c r="AD97" s="49"/>
      <c r="AE97" s="49"/>
    </row>
    <row r="98" spans="28:31" ht="28.5" x14ac:dyDescent="0.4">
      <c r="AB98" s="15"/>
      <c r="AC98" s="49"/>
      <c r="AD98" s="49"/>
      <c r="AE98" s="49"/>
    </row>
    <row r="99" spans="28:31" ht="28.5" x14ac:dyDescent="0.4">
      <c r="AB99" s="15"/>
      <c r="AC99" s="49"/>
      <c r="AD99" s="49"/>
      <c r="AE99" s="49"/>
    </row>
    <row r="100" spans="28:31" ht="28.5" x14ac:dyDescent="0.4">
      <c r="AB100" s="15"/>
      <c r="AC100" s="49"/>
      <c r="AD100" s="49"/>
      <c r="AE100" s="49"/>
    </row>
    <row r="101" spans="28:31" ht="28.5" x14ac:dyDescent="0.4">
      <c r="AB101" s="15"/>
      <c r="AC101" s="49"/>
      <c r="AD101" s="49"/>
      <c r="AE101" s="49"/>
    </row>
    <row r="102" spans="28:31" ht="28.5" x14ac:dyDescent="0.4">
      <c r="AB102" s="15"/>
      <c r="AC102" s="49"/>
      <c r="AD102" s="49"/>
      <c r="AE102" s="49"/>
    </row>
    <row r="103" spans="28:31" ht="28.5" x14ac:dyDescent="0.4">
      <c r="AB103" s="15"/>
      <c r="AC103" s="49"/>
      <c r="AD103" s="49"/>
      <c r="AE103" s="49"/>
    </row>
    <row r="104" spans="28:31" ht="28.5" x14ac:dyDescent="0.4">
      <c r="AB104" s="15"/>
      <c r="AC104" s="49"/>
      <c r="AD104" s="49"/>
      <c r="AE104" s="49"/>
    </row>
    <row r="105" spans="28:31" ht="28.5" x14ac:dyDescent="0.4">
      <c r="AB105" s="15"/>
      <c r="AC105" s="49"/>
      <c r="AD105" s="49"/>
      <c r="AE105" s="49"/>
    </row>
    <row r="106" spans="28:31" ht="28.5" x14ac:dyDescent="0.4">
      <c r="AB106" s="15"/>
      <c r="AC106" s="49"/>
      <c r="AD106" s="49"/>
      <c r="AE106" s="49"/>
    </row>
    <row r="107" spans="28:31" ht="28.5" x14ac:dyDescent="0.4">
      <c r="AB107" s="15"/>
      <c r="AC107" s="49"/>
      <c r="AD107" s="49"/>
      <c r="AE107" s="49"/>
    </row>
    <row r="108" spans="28:31" ht="28.5" x14ac:dyDescent="0.4">
      <c r="AB108" s="15"/>
      <c r="AC108" s="49"/>
      <c r="AD108" s="49"/>
      <c r="AE108" s="49"/>
    </row>
    <row r="109" spans="28:31" ht="28.5" x14ac:dyDescent="0.4">
      <c r="AB109" s="15"/>
      <c r="AC109" s="49"/>
      <c r="AD109" s="49"/>
      <c r="AE109" s="49"/>
    </row>
    <row r="110" spans="28:31" ht="28.5" x14ac:dyDescent="0.4">
      <c r="AB110" s="15"/>
      <c r="AC110" s="49"/>
      <c r="AD110" s="49"/>
      <c r="AE110" s="49"/>
    </row>
    <row r="111" spans="28:31" ht="28.5" x14ac:dyDescent="0.4">
      <c r="AB111" s="15"/>
      <c r="AC111" s="49"/>
      <c r="AD111" s="49"/>
      <c r="AE111" s="49"/>
    </row>
    <row r="112" spans="28:31" ht="28.5" x14ac:dyDescent="0.4">
      <c r="AB112" s="15"/>
      <c r="AC112" s="49"/>
      <c r="AD112" s="49"/>
      <c r="AE112" s="49"/>
    </row>
    <row r="113" spans="28:31" ht="28.5" x14ac:dyDescent="0.4">
      <c r="AB113" s="15"/>
      <c r="AC113" s="49"/>
      <c r="AD113" s="49"/>
      <c r="AE113" s="49"/>
    </row>
    <row r="114" spans="28:31" ht="28.5" x14ac:dyDescent="0.4">
      <c r="AB114" s="15"/>
      <c r="AC114" s="49"/>
      <c r="AD114" s="49"/>
      <c r="AE114" s="49"/>
    </row>
    <row r="115" spans="28:31" ht="28.5" x14ac:dyDescent="0.4">
      <c r="AB115" s="15"/>
      <c r="AC115" s="49"/>
      <c r="AD115" s="49"/>
      <c r="AE115" s="49"/>
    </row>
    <row r="116" spans="28:31" ht="28.5" x14ac:dyDescent="0.4">
      <c r="AB116" s="15"/>
      <c r="AC116" s="49"/>
      <c r="AD116" s="49"/>
      <c r="AE116" s="49"/>
    </row>
    <row r="117" spans="28:31" ht="28.5" x14ac:dyDescent="0.4">
      <c r="AB117" s="15"/>
      <c r="AC117" s="49"/>
      <c r="AD117" s="49"/>
      <c r="AE117" s="49"/>
    </row>
    <row r="118" spans="28:31" ht="28.5" x14ac:dyDescent="0.4">
      <c r="AB118" s="15"/>
      <c r="AC118" s="49"/>
      <c r="AD118" s="49"/>
      <c r="AE118" s="49"/>
    </row>
    <row r="119" spans="28:31" ht="28.5" x14ac:dyDescent="0.4">
      <c r="AB119" s="15"/>
      <c r="AC119" s="49"/>
      <c r="AD119" s="49"/>
      <c r="AE119" s="49"/>
    </row>
    <row r="120" spans="28:31" ht="28.5" x14ac:dyDescent="0.4">
      <c r="AB120" s="15"/>
      <c r="AC120" s="49"/>
      <c r="AD120" s="49"/>
      <c r="AE120" s="49"/>
    </row>
    <row r="121" spans="28:31" x14ac:dyDescent="0.4">
      <c r="AB121" s="15"/>
      <c r="AC121" s="15"/>
      <c r="AD121" s="15"/>
      <c r="AE121" s="15"/>
    </row>
    <row r="122" spans="28:31" x14ac:dyDescent="0.4">
      <c r="AB122" s="15"/>
      <c r="AC122" s="15"/>
      <c r="AD122" s="15"/>
      <c r="AE122" s="15"/>
    </row>
    <row r="123" spans="28:31" x14ac:dyDescent="0.4">
      <c r="AB123" s="15"/>
      <c r="AC123" s="15"/>
      <c r="AD123" s="15"/>
      <c r="AE123" s="15"/>
    </row>
    <row r="124" spans="28:31" x14ac:dyDescent="0.4">
      <c r="AB124" s="15"/>
      <c r="AC124" s="15"/>
      <c r="AD124" s="15"/>
      <c r="AE124" s="15"/>
    </row>
    <row r="125" spans="28:31" x14ac:dyDescent="0.4">
      <c r="AB125" s="15"/>
      <c r="AC125" s="15"/>
      <c r="AD125" s="15"/>
      <c r="AE125" s="15"/>
    </row>
    <row r="126" spans="28:31" x14ac:dyDescent="0.4">
      <c r="AB126" s="15"/>
      <c r="AC126" s="15"/>
      <c r="AD126" s="15"/>
      <c r="AE126" s="15"/>
    </row>
    <row r="127" spans="28:31" x14ac:dyDescent="0.4">
      <c r="AB127" s="15"/>
      <c r="AC127" s="15"/>
      <c r="AD127" s="15"/>
      <c r="AE127" s="15"/>
    </row>
    <row r="128" spans="28:31" x14ac:dyDescent="0.4">
      <c r="AB128" s="15"/>
      <c r="AC128" s="15"/>
      <c r="AD128" s="15"/>
      <c r="AE128" s="15"/>
    </row>
    <row r="129" spans="28:31" x14ac:dyDescent="0.4">
      <c r="AB129" s="15"/>
      <c r="AC129" s="15"/>
      <c r="AD129" s="15"/>
      <c r="AE129" s="15"/>
    </row>
    <row r="130" spans="28:31" x14ac:dyDescent="0.4">
      <c r="AB130" s="15"/>
      <c r="AC130" s="15"/>
      <c r="AD130" s="15"/>
      <c r="AE130" s="15"/>
    </row>
    <row r="131" spans="28:31" x14ac:dyDescent="0.4">
      <c r="AB131" s="15"/>
      <c r="AC131" s="15"/>
      <c r="AD131" s="15"/>
      <c r="AE131" s="15"/>
    </row>
    <row r="132" spans="28:31" x14ac:dyDescent="0.4">
      <c r="AB132" s="15"/>
      <c r="AC132" s="15"/>
      <c r="AD132" s="15"/>
      <c r="AE132" s="15"/>
    </row>
    <row r="133" spans="28:31" x14ac:dyDescent="0.4">
      <c r="AB133" s="15"/>
      <c r="AC133" s="15"/>
      <c r="AD133" s="15"/>
      <c r="AE133" s="15"/>
    </row>
    <row r="134" spans="28:31" x14ac:dyDescent="0.4">
      <c r="AB134" s="15"/>
      <c r="AC134" s="15"/>
      <c r="AD134" s="15"/>
      <c r="AE134" s="15"/>
    </row>
    <row r="135" spans="28:31" x14ac:dyDescent="0.4">
      <c r="AB135" s="15"/>
      <c r="AC135" s="15"/>
      <c r="AD135" s="15"/>
      <c r="AE135" s="15"/>
    </row>
    <row r="136" spans="28:31" x14ac:dyDescent="0.4">
      <c r="AB136" s="15"/>
      <c r="AC136" s="15"/>
      <c r="AD136" s="15"/>
      <c r="AE136" s="15"/>
    </row>
    <row r="137" spans="28:31" x14ac:dyDescent="0.4">
      <c r="AB137" s="15"/>
      <c r="AC137" s="15"/>
      <c r="AD137" s="15"/>
      <c r="AE137" s="15"/>
    </row>
    <row r="138" spans="28:31" x14ac:dyDescent="0.4">
      <c r="AB138" s="15"/>
      <c r="AC138" s="15"/>
      <c r="AD138" s="15"/>
      <c r="AE138" s="15"/>
    </row>
    <row r="139" spans="28:31" x14ac:dyDescent="0.4">
      <c r="AB139" s="15"/>
      <c r="AC139" s="15"/>
      <c r="AD139" s="15"/>
      <c r="AE139" s="15"/>
    </row>
    <row r="140" spans="28:31" x14ac:dyDescent="0.4">
      <c r="AB140" s="15"/>
      <c r="AC140" s="15"/>
      <c r="AD140" s="15"/>
      <c r="AE140" s="15"/>
    </row>
    <row r="141" spans="28:31" x14ac:dyDescent="0.4">
      <c r="AB141" s="15"/>
      <c r="AC141" s="15"/>
      <c r="AD141" s="15"/>
      <c r="AE141" s="15"/>
    </row>
    <row r="142" spans="28:31" x14ac:dyDescent="0.4">
      <c r="AB142" s="15"/>
      <c r="AC142" s="15"/>
      <c r="AD142" s="15"/>
      <c r="AE142" s="15"/>
    </row>
    <row r="143" spans="28:31" x14ac:dyDescent="0.4">
      <c r="AB143" s="15"/>
      <c r="AC143" s="15"/>
      <c r="AD143" s="15"/>
      <c r="AE143" s="15"/>
    </row>
    <row r="144" spans="28:31" x14ac:dyDescent="0.4">
      <c r="AB144" s="15"/>
      <c r="AC144" s="15"/>
      <c r="AD144" s="15"/>
      <c r="AE144" s="15"/>
    </row>
    <row r="145" spans="28:31" x14ac:dyDescent="0.4">
      <c r="AB145" s="15"/>
      <c r="AC145" s="15"/>
      <c r="AD145" s="15"/>
      <c r="AE145" s="15"/>
    </row>
    <row r="146" spans="28:31" x14ac:dyDescent="0.4">
      <c r="AB146" s="15"/>
      <c r="AC146" s="15"/>
      <c r="AD146" s="15"/>
      <c r="AE146" s="15"/>
    </row>
    <row r="147" spans="28:31" x14ac:dyDescent="0.4">
      <c r="AB147" s="15"/>
      <c r="AC147" s="15"/>
      <c r="AD147" s="15"/>
      <c r="AE147" s="15"/>
    </row>
    <row r="148" spans="28:31" x14ac:dyDescent="0.4">
      <c r="AB148" s="15"/>
      <c r="AC148" s="15"/>
      <c r="AD148" s="15"/>
      <c r="AE148" s="15"/>
    </row>
    <row r="149" spans="28:31" x14ac:dyDescent="0.4">
      <c r="AB149" s="15"/>
      <c r="AC149" s="15"/>
      <c r="AD149" s="15"/>
      <c r="AE149" s="15"/>
    </row>
    <row r="150" spans="28:31" x14ac:dyDescent="0.4">
      <c r="AB150" s="15"/>
      <c r="AC150" s="15"/>
      <c r="AD150" s="15"/>
      <c r="AE150" s="15"/>
    </row>
    <row r="151" spans="28:31" x14ac:dyDescent="0.4">
      <c r="AB151" s="15"/>
      <c r="AC151" s="15"/>
      <c r="AD151" s="15"/>
      <c r="AE151" s="15"/>
    </row>
    <row r="152" spans="28:31" x14ac:dyDescent="0.4">
      <c r="AB152" s="15"/>
      <c r="AC152" s="15"/>
      <c r="AD152" s="15"/>
      <c r="AE152" s="15"/>
    </row>
    <row r="153" spans="28:31" x14ac:dyDescent="0.4">
      <c r="AB153" s="15"/>
      <c r="AC153" s="15"/>
      <c r="AD153" s="15"/>
      <c r="AE153" s="15"/>
    </row>
    <row r="154" spans="28:31" x14ac:dyDescent="0.4">
      <c r="AB154" s="15"/>
      <c r="AC154" s="15"/>
      <c r="AD154" s="15"/>
      <c r="AE154" s="15"/>
    </row>
    <row r="155" spans="28:31" x14ac:dyDescent="0.4">
      <c r="AB155" s="15"/>
      <c r="AC155" s="15"/>
      <c r="AD155" s="15"/>
      <c r="AE155" s="15"/>
    </row>
    <row r="156" spans="28:31" x14ac:dyDescent="0.4">
      <c r="AB156" s="15"/>
      <c r="AC156" s="15"/>
      <c r="AD156" s="15"/>
      <c r="AE156" s="15"/>
    </row>
    <row r="157" spans="28:31" x14ac:dyDescent="0.4">
      <c r="AB157" s="15"/>
      <c r="AC157" s="15"/>
      <c r="AD157" s="15"/>
      <c r="AE157" s="15"/>
    </row>
    <row r="158" spans="28:31" x14ac:dyDescent="0.4">
      <c r="AB158" s="15"/>
      <c r="AC158" s="15"/>
      <c r="AD158" s="15"/>
      <c r="AE158" s="15"/>
    </row>
    <row r="159" spans="28:31" x14ac:dyDescent="0.4">
      <c r="AB159" s="15"/>
      <c r="AC159" s="15"/>
      <c r="AD159" s="15"/>
      <c r="AE159" s="15"/>
    </row>
    <row r="160" spans="28:31" x14ac:dyDescent="0.4">
      <c r="AB160" s="15"/>
      <c r="AC160" s="15"/>
      <c r="AD160" s="15"/>
      <c r="AE160" s="15"/>
    </row>
    <row r="161" spans="28:31" x14ac:dyDescent="0.4">
      <c r="AB161" s="15"/>
      <c r="AC161" s="15"/>
      <c r="AD161" s="15"/>
      <c r="AE161" s="15"/>
    </row>
    <row r="162" spans="28:31" x14ac:dyDescent="0.4">
      <c r="AB162" s="15"/>
      <c r="AC162" s="15"/>
      <c r="AD162" s="15"/>
      <c r="AE162" s="15"/>
    </row>
    <row r="163" spans="28:31" x14ac:dyDescent="0.4">
      <c r="AB163" s="15"/>
      <c r="AC163" s="15"/>
      <c r="AD163" s="15"/>
      <c r="AE163" s="15"/>
    </row>
    <row r="164" spans="28:31" x14ac:dyDescent="0.4">
      <c r="AB164" s="15"/>
      <c r="AC164" s="15"/>
      <c r="AD164" s="15"/>
      <c r="AE164" s="15"/>
    </row>
    <row r="165" spans="28:31" x14ac:dyDescent="0.4">
      <c r="AB165" s="15"/>
      <c r="AC165" s="15"/>
      <c r="AD165" s="15"/>
      <c r="AE165" s="15"/>
    </row>
    <row r="166" spans="28:31" x14ac:dyDescent="0.4">
      <c r="AB166" s="15"/>
      <c r="AC166" s="15"/>
      <c r="AD166" s="15"/>
      <c r="AE166" s="15"/>
    </row>
    <row r="167" spans="28:31" x14ac:dyDescent="0.4">
      <c r="AB167" s="15"/>
      <c r="AC167" s="15"/>
      <c r="AD167" s="15"/>
      <c r="AE167" s="15"/>
    </row>
    <row r="168" spans="28:31" x14ac:dyDescent="0.4">
      <c r="AB168" s="15"/>
      <c r="AC168" s="15"/>
      <c r="AD168" s="15"/>
      <c r="AE168" s="15"/>
    </row>
    <row r="169" spans="28:31" x14ac:dyDescent="0.4">
      <c r="AB169" s="15"/>
      <c r="AC169" s="15"/>
      <c r="AD169" s="15"/>
      <c r="AE169" s="15"/>
    </row>
    <row r="170" spans="28:31" x14ac:dyDescent="0.4">
      <c r="AB170" s="15"/>
      <c r="AC170" s="15"/>
      <c r="AD170" s="15"/>
      <c r="AE170" s="15"/>
    </row>
    <row r="171" spans="28:31" x14ac:dyDescent="0.4">
      <c r="AB171" s="15"/>
      <c r="AC171" s="15"/>
      <c r="AD171" s="15"/>
      <c r="AE171" s="15"/>
    </row>
    <row r="172" spans="28:31" x14ac:dyDescent="0.4">
      <c r="AB172" s="15"/>
      <c r="AC172" s="15"/>
      <c r="AD172" s="15"/>
      <c r="AE172" s="15"/>
    </row>
    <row r="173" spans="28:31" x14ac:dyDescent="0.4">
      <c r="AB173" s="15"/>
      <c r="AC173" s="15"/>
      <c r="AD173" s="15"/>
      <c r="AE173" s="15"/>
    </row>
    <row r="174" spans="28:31" x14ac:dyDescent="0.4">
      <c r="AB174" s="15"/>
      <c r="AC174" s="15"/>
      <c r="AD174" s="15"/>
      <c r="AE174" s="15"/>
    </row>
    <row r="175" spans="28:31" x14ac:dyDescent="0.4">
      <c r="AB175" s="15"/>
      <c r="AC175" s="15"/>
      <c r="AD175" s="15"/>
      <c r="AE175" s="15"/>
    </row>
    <row r="176" spans="28:31" x14ac:dyDescent="0.4">
      <c r="AB176" s="15"/>
      <c r="AC176" s="15"/>
      <c r="AD176" s="15"/>
      <c r="AE176" s="15"/>
    </row>
    <row r="177" spans="28:31" x14ac:dyDescent="0.4">
      <c r="AB177" s="15"/>
      <c r="AC177" s="15"/>
      <c r="AD177" s="15"/>
      <c r="AE177" s="15"/>
    </row>
    <row r="178" spans="28:31" x14ac:dyDescent="0.4">
      <c r="AB178" s="15"/>
      <c r="AC178" s="15"/>
      <c r="AD178" s="15"/>
      <c r="AE178" s="15"/>
    </row>
    <row r="179" spans="28:31" x14ac:dyDescent="0.4">
      <c r="AB179" s="15"/>
      <c r="AC179" s="15"/>
      <c r="AD179" s="15"/>
      <c r="AE179" s="15"/>
    </row>
    <row r="180" spans="28:31" x14ac:dyDescent="0.4">
      <c r="AB180" s="15"/>
      <c r="AC180" s="15"/>
      <c r="AD180" s="15"/>
      <c r="AE180" s="15"/>
    </row>
    <row r="181" spans="28:31" x14ac:dyDescent="0.4">
      <c r="AB181" s="15"/>
      <c r="AC181" s="15"/>
      <c r="AD181" s="15"/>
      <c r="AE181" s="15"/>
    </row>
    <row r="182" spans="28:31" x14ac:dyDescent="0.4">
      <c r="AB182" s="15"/>
      <c r="AC182" s="15"/>
      <c r="AD182" s="15"/>
      <c r="AE182" s="15"/>
    </row>
    <row r="183" spans="28:31" x14ac:dyDescent="0.4">
      <c r="AB183" s="15"/>
      <c r="AC183" s="15"/>
      <c r="AD183" s="15"/>
      <c r="AE183" s="15"/>
    </row>
    <row r="184" spans="28:31" x14ac:dyDescent="0.4">
      <c r="AB184" s="15"/>
      <c r="AC184" s="15"/>
      <c r="AD184" s="15"/>
      <c r="AE184" s="15"/>
    </row>
    <row r="185" spans="28:31" x14ac:dyDescent="0.4">
      <c r="AB185" s="15"/>
      <c r="AC185" s="15"/>
      <c r="AD185" s="15"/>
      <c r="AE185" s="15"/>
    </row>
    <row r="186" spans="28:31" x14ac:dyDescent="0.4">
      <c r="AB186" s="15"/>
      <c r="AC186" s="15"/>
      <c r="AD186" s="15"/>
      <c r="AE186" s="15"/>
    </row>
    <row r="187" spans="28:31" x14ac:dyDescent="0.4">
      <c r="AB187" s="15"/>
      <c r="AC187" s="15"/>
      <c r="AD187" s="15"/>
      <c r="AE187" s="15"/>
    </row>
    <row r="188" spans="28:31" x14ac:dyDescent="0.4">
      <c r="AB188" s="15"/>
      <c r="AC188" s="15"/>
      <c r="AD188" s="15"/>
      <c r="AE188" s="15"/>
    </row>
    <row r="189" spans="28:31" x14ac:dyDescent="0.4">
      <c r="AB189" s="15"/>
      <c r="AC189" s="15"/>
      <c r="AD189" s="15"/>
      <c r="AE189" s="15"/>
    </row>
    <row r="190" spans="28:31" x14ac:dyDescent="0.4">
      <c r="AB190" s="15"/>
      <c r="AC190" s="15"/>
      <c r="AD190" s="15"/>
      <c r="AE190" s="15"/>
    </row>
    <row r="191" spans="28:31" x14ac:dyDescent="0.4">
      <c r="AB191" s="15"/>
      <c r="AC191" s="15"/>
      <c r="AD191" s="15"/>
      <c r="AE191" s="15"/>
    </row>
    <row r="192" spans="28:31" x14ac:dyDescent="0.4">
      <c r="AB192" s="15"/>
      <c r="AC192" s="15"/>
      <c r="AD192" s="15"/>
      <c r="AE192" s="15"/>
    </row>
  </sheetData>
  <mergeCells count="65">
    <mergeCell ref="K33:N33"/>
    <mergeCell ref="P33:Q33"/>
    <mergeCell ref="Y33:AB33"/>
    <mergeCell ref="R13:U13"/>
    <mergeCell ref="W13:X13"/>
    <mergeCell ref="Y13:AB13"/>
    <mergeCell ref="R33:U33"/>
    <mergeCell ref="Q14:T14"/>
    <mergeCell ref="Y3:AB3"/>
    <mergeCell ref="H3:H11"/>
    <mergeCell ref="B13:C13"/>
    <mergeCell ref="D13:G13"/>
    <mergeCell ref="I13:J13"/>
    <mergeCell ref="K13:N13"/>
    <mergeCell ref="P13:Q13"/>
    <mergeCell ref="H13:H21"/>
    <mergeCell ref="I3:J3"/>
    <mergeCell ref="K3:N3"/>
    <mergeCell ref="P3:Q3"/>
    <mergeCell ref="R3:U3"/>
    <mergeCell ref="W3:X3"/>
    <mergeCell ref="B23:C23"/>
    <mergeCell ref="D23:G23"/>
    <mergeCell ref="I23:J23"/>
    <mergeCell ref="B32:AB32"/>
    <mergeCell ref="O23:O31"/>
    <mergeCell ref="H23:H31"/>
    <mergeCell ref="B43:C43"/>
    <mergeCell ref="D43:G43"/>
    <mergeCell ref="I43:J43"/>
    <mergeCell ref="B33:C33"/>
    <mergeCell ref="D33:G33"/>
    <mergeCell ref="I33:J33"/>
    <mergeCell ref="P43:Q43"/>
    <mergeCell ref="R43:U43"/>
    <mergeCell ref="W43:X43"/>
    <mergeCell ref="Y43:AB43"/>
    <mergeCell ref="AF8:AI8"/>
    <mergeCell ref="AF9:AG9"/>
    <mergeCell ref="AH9:AI9"/>
    <mergeCell ref="W33:X33"/>
    <mergeCell ref="AF20:AI20"/>
    <mergeCell ref="AF21:AG21"/>
    <mergeCell ref="AH21:AI21"/>
    <mergeCell ref="P23:Q23"/>
    <mergeCell ref="W23:X23"/>
    <mergeCell ref="Y23:AB23"/>
    <mergeCell ref="C12:AB12"/>
    <mergeCell ref="B22:AB22"/>
    <mergeCell ref="AE1:AK3"/>
    <mergeCell ref="AG5:AI5"/>
    <mergeCell ref="K23:N23"/>
    <mergeCell ref="AJ9:AK9"/>
    <mergeCell ref="AJ10:AK11"/>
    <mergeCell ref="AJ6:AJ8"/>
    <mergeCell ref="AK6:AK8"/>
    <mergeCell ref="O3:O11"/>
    <mergeCell ref="V3:V11"/>
    <mergeCell ref="V13:V21"/>
    <mergeCell ref="O13:O21"/>
    <mergeCell ref="V23:V31"/>
    <mergeCell ref="R23:U23"/>
    <mergeCell ref="B1:AB1"/>
    <mergeCell ref="B3:C3"/>
    <mergeCell ref="D3:G3"/>
  </mergeCells>
  <conditionalFormatting sqref="R5:R9 D5:D9 K5:K9 R15 K15:K18 Y15:Y18 D25:D28 Y5:Y8 D15:D18 K24:K26 R17:R19">
    <cfRule type="cellIs" dxfId="1266" priority="1499" operator="equal">
      <formula>$AF$30</formula>
    </cfRule>
    <cfRule type="cellIs" dxfId="1265" priority="1500" operator="equal">
      <formula>$AF$29</formula>
    </cfRule>
    <cfRule type="cellIs" dxfId="1264" priority="1501" operator="equal">
      <formula>$AF$28</formula>
    </cfRule>
    <cfRule type="cellIs" dxfId="1263" priority="1502" operator="equal">
      <formula>$AF$27</formula>
    </cfRule>
    <cfRule type="cellIs" dxfId="1262" priority="1503" operator="equal">
      <formula>$AF$26</formula>
    </cfRule>
    <cfRule type="cellIs" dxfId="1261" priority="1504" operator="equal">
      <formula>$AF$25</formula>
    </cfRule>
    <cfRule type="cellIs" dxfId="1260" priority="1505" operator="equal">
      <formula>$AF$24</formula>
    </cfRule>
    <cfRule type="cellIs" dxfId="1259" priority="1506" operator="equal">
      <formula>$AF$23</formula>
    </cfRule>
    <cfRule type="cellIs" dxfId="1258" priority="1507" operator="equal">
      <formula>$AF$22</formula>
    </cfRule>
    <cfRule type="cellIs" dxfId="1257" priority="1508" operator="equal">
      <formula>$AF$18</formula>
    </cfRule>
    <cfRule type="cellIs" dxfId="1256" priority="1509" operator="equal">
      <formula>$AF$17</formula>
    </cfRule>
    <cfRule type="cellIs" dxfId="1255" priority="1510" operator="equal">
      <formula>$AF$16</formula>
    </cfRule>
    <cfRule type="cellIs" dxfId="1254" priority="1511" operator="equal">
      <formula>$AF$15</formula>
    </cfRule>
    <cfRule type="cellIs" dxfId="1253" priority="1512" operator="equal">
      <formula>$AF$14</formula>
    </cfRule>
    <cfRule type="cellIs" dxfId="1252" priority="1513" operator="equal">
      <formula>$AF$13</formula>
    </cfRule>
    <cfRule type="cellIs" dxfId="1251" priority="1514" operator="equal">
      <formula>$AF$12</formula>
    </cfRule>
    <cfRule type="cellIs" dxfId="1250" priority="1515" operator="equal">
      <formula>$AF$11</formula>
    </cfRule>
    <cfRule type="cellIs" dxfId="1249" priority="1516" operator="equal">
      <formula>$AF$10</formula>
    </cfRule>
  </conditionalFormatting>
  <conditionalFormatting sqref="R5:R9 D5:D9 K5:K9 R15 K15:K18 Y15:Y18 D25:D28 Y5:Y8 D15:D18 K24:K26 R17:R19">
    <cfRule type="cellIs" dxfId="1248" priority="1481" operator="equal">
      <formula>$AG$30</formula>
    </cfRule>
    <cfRule type="cellIs" dxfId="1247" priority="1482" operator="equal">
      <formula>$AG$29</formula>
    </cfRule>
    <cfRule type="cellIs" dxfId="1246" priority="1483" operator="equal">
      <formula>$AG$28</formula>
    </cfRule>
    <cfRule type="cellIs" dxfId="1245" priority="1484" operator="equal">
      <formula>$AG$27</formula>
    </cfRule>
    <cfRule type="cellIs" dxfId="1244" priority="1485" operator="equal">
      <formula>$AG$26</formula>
    </cfRule>
    <cfRule type="cellIs" dxfId="1243" priority="1486" operator="equal">
      <formula>$AG$25</formula>
    </cfRule>
    <cfRule type="cellIs" dxfId="1242" priority="1487" operator="equal">
      <formula>$AG$24</formula>
    </cfRule>
    <cfRule type="cellIs" dxfId="1241" priority="1488" operator="equal">
      <formula>$AG$23</formula>
    </cfRule>
    <cfRule type="cellIs" dxfId="1240" priority="1489" operator="equal">
      <formula>$AG$22</formula>
    </cfRule>
    <cfRule type="cellIs" dxfId="1239" priority="1490" operator="equal">
      <formula>$AG$18</formula>
    </cfRule>
    <cfRule type="cellIs" dxfId="1238" priority="1491" operator="equal">
      <formula>$AG$17</formula>
    </cfRule>
    <cfRule type="cellIs" dxfId="1237" priority="1492" operator="equal">
      <formula>$AG$16</formula>
    </cfRule>
    <cfRule type="cellIs" dxfId="1236" priority="1493" operator="equal">
      <formula>$AG$15</formula>
    </cfRule>
    <cfRule type="cellIs" dxfId="1235" priority="1494" operator="equal">
      <formula>$AG$14</formula>
    </cfRule>
    <cfRule type="cellIs" dxfId="1234" priority="1495" operator="equal">
      <formula>$AG$13</formula>
    </cfRule>
    <cfRule type="cellIs" dxfId="1233" priority="1496" operator="equal">
      <formula>$AG$12</formula>
    </cfRule>
    <cfRule type="cellIs" dxfId="1232" priority="1497" operator="equal">
      <formula>$AG$11</formula>
    </cfRule>
    <cfRule type="cellIs" dxfId="1231" priority="1498" operator="equal">
      <formula>$AG$10</formula>
    </cfRule>
  </conditionalFormatting>
  <conditionalFormatting sqref="T5:T9 T15:T19 M5:M8 F24 AA15:AA18 M15 F5:F9 M24 AA4:AA8 F14:F15 F17:F18 F26:F28 M26 M17:M18">
    <cfRule type="cellIs" dxfId="1230" priority="1445" operator="equal">
      <formula>$AI$30</formula>
    </cfRule>
    <cfRule type="cellIs" dxfId="1229" priority="1446" operator="equal">
      <formula>$AI$29</formula>
    </cfRule>
    <cfRule type="cellIs" dxfId="1228" priority="1447" operator="equal">
      <formula>$AI$28</formula>
    </cfRule>
    <cfRule type="cellIs" dxfId="1227" priority="1448" operator="equal">
      <formula>$AI$27</formula>
    </cfRule>
    <cfRule type="cellIs" dxfId="1226" priority="1449" operator="equal">
      <formula>$AI$26</formula>
    </cfRule>
    <cfRule type="cellIs" dxfId="1225" priority="1450" operator="equal">
      <formula>$AI$25</formula>
    </cfRule>
    <cfRule type="cellIs" dxfId="1224" priority="1451" operator="equal">
      <formula>$AI$24</formula>
    </cfRule>
    <cfRule type="cellIs" dxfId="1223" priority="1452" operator="equal">
      <formula>$AI$23</formula>
    </cfRule>
    <cfRule type="cellIs" dxfId="1222" priority="1453" operator="equal">
      <formula>$AI$22</formula>
    </cfRule>
    <cfRule type="cellIs" dxfId="1221" priority="1454" operator="equal">
      <formula>$AH$30</formula>
    </cfRule>
    <cfRule type="cellIs" dxfId="1220" priority="1455" operator="equal">
      <formula>$AH$29</formula>
    </cfRule>
    <cfRule type="cellIs" dxfId="1219" priority="1456" operator="equal">
      <formula>$AH$28</formula>
    </cfRule>
    <cfRule type="cellIs" dxfId="1218" priority="1457" operator="equal">
      <formula>$AH$27</formula>
    </cfRule>
    <cfRule type="cellIs" dxfId="1217" priority="1458" operator="equal">
      <formula>$AH$26</formula>
    </cfRule>
    <cfRule type="cellIs" dxfId="1216" priority="1459" operator="equal">
      <formula>$AH$25</formula>
    </cfRule>
    <cfRule type="cellIs" dxfId="1215" priority="1460" operator="equal">
      <formula>$AH$24</formula>
    </cfRule>
    <cfRule type="cellIs" dxfId="1214" priority="1461" operator="equal">
      <formula>$AH$23</formula>
    </cfRule>
    <cfRule type="cellIs" dxfId="1213" priority="1462" operator="equal">
      <formula>$AH$22</formula>
    </cfRule>
    <cfRule type="cellIs" dxfId="1212" priority="1463" operator="equal">
      <formula>$AI$18</formula>
    </cfRule>
    <cfRule type="cellIs" dxfId="1211" priority="1464" operator="equal">
      <formula>$AI$17</formula>
    </cfRule>
    <cfRule type="cellIs" dxfId="1210" priority="1465" operator="equal">
      <formula>$AI$16</formula>
    </cfRule>
    <cfRule type="cellIs" dxfId="1209" priority="1466" operator="equal">
      <formula>$AI$15</formula>
    </cfRule>
    <cfRule type="cellIs" dxfId="1208" priority="1467" operator="equal">
      <formula>$AI$14</formula>
    </cfRule>
    <cfRule type="cellIs" dxfId="1207" priority="1468" operator="equal">
      <formula>$AI$13</formula>
    </cfRule>
    <cfRule type="cellIs" dxfId="1206" priority="1469" operator="equal">
      <formula>$AI$12</formula>
    </cfRule>
    <cfRule type="cellIs" dxfId="1205" priority="1470" operator="equal">
      <formula>$AI$11</formula>
    </cfRule>
    <cfRule type="cellIs" dxfId="1204" priority="1471" operator="equal">
      <formula>$AI$10</formula>
    </cfRule>
    <cfRule type="cellIs" dxfId="1203" priority="1472" operator="equal">
      <formula>$AH$18</formula>
    </cfRule>
    <cfRule type="cellIs" dxfId="1202" priority="1473" operator="equal">
      <formula>$AH$17</formula>
    </cfRule>
    <cfRule type="cellIs" dxfId="1201" priority="1474" operator="equal">
      <formula>$AH$16</formula>
    </cfRule>
    <cfRule type="cellIs" dxfId="1200" priority="1475" operator="equal">
      <formula>$AH$15</formula>
    </cfRule>
    <cfRule type="cellIs" dxfId="1199" priority="1476" operator="equal">
      <formula>$AH$14</formula>
    </cfRule>
    <cfRule type="cellIs" dxfId="1198" priority="1477" operator="equal">
      <formula>$AH$13</formula>
    </cfRule>
    <cfRule type="cellIs" dxfId="1197" priority="1478" operator="equal">
      <formula>$AH$12</formula>
    </cfRule>
    <cfRule type="cellIs" dxfId="1196" priority="1479" operator="equal">
      <formula>$AH$11</formula>
    </cfRule>
    <cfRule type="cellIs" dxfId="1195" priority="1480" operator="equal">
      <formula>$AH$10</formula>
    </cfRule>
  </conditionalFormatting>
  <conditionalFormatting sqref="B3:C3 I3:J3 P3:Q3 W3:X3 W13:X13 P13:Q13 I13:J13 B13:C13 B23:C23 I23:J23 P23:Q23 W23:X23 W33:X33 P33:Q33 I33:J33 B33:C33 W43:X43 P43:Q43 I43:J43 B43:C43">
    <cfRule type="cellIs" dxfId="1194" priority="1261" operator="greaterThan">
      <formula>41</formula>
    </cfRule>
    <cfRule type="cellIs" dxfId="1193" priority="1262" operator="between">
      <formula>21</formula>
      <formula>39</formula>
    </cfRule>
    <cfRule type="containsBlanks" dxfId="1192" priority="1263">
      <formula>LEN(TRIM(B3))=0</formula>
    </cfRule>
    <cfRule type="cellIs" dxfId="1191" priority="1264" operator="lessThan">
      <formula>20</formula>
    </cfRule>
  </conditionalFormatting>
  <conditionalFormatting sqref="K27:K28">
    <cfRule type="cellIs" dxfId="1190" priority="883" operator="equal">
      <formula>$AF$30</formula>
    </cfRule>
    <cfRule type="cellIs" dxfId="1189" priority="884" operator="equal">
      <formula>$AF$29</formula>
    </cfRule>
    <cfRule type="cellIs" dxfId="1188" priority="885" operator="equal">
      <formula>$AF$28</formula>
    </cfRule>
    <cfRule type="cellIs" dxfId="1187" priority="886" operator="equal">
      <formula>$AF$27</formula>
    </cfRule>
    <cfRule type="cellIs" dxfId="1186" priority="887" operator="equal">
      <formula>$AF$26</formula>
    </cfRule>
    <cfRule type="cellIs" dxfId="1185" priority="888" operator="equal">
      <formula>$AF$25</formula>
    </cfRule>
    <cfRule type="cellIs" dxfId="1184" priority="889" operator="equal">
      <formula>$AF$24</formula>
    </cfRule>
    <cfRule type="cellIs" dxfId="1183" priority="890" operator="equal">
      <formula>$AF$23</formula>
    </cfRule>
    <cfRule type="cellIs" dxfId="1182" priority="891" operator="equal">
      <formula>$AF$22</formula>
    </cfRule>
    <cfRule type="cellIs" dxfId="1181" priority="892" operator="equal">
      <formula>$AF$18</formula>
    </cfRule>
    <cfRule type="cellIs" dxfId="1180" priority="893" operator="equal">
      <formula>$AF$17</formula>
    </cfRule>
    <cfRule type="cellIs" dxfId="1179" priority="894" operator="equal">
      <formula>$AF$16</formula>
    </cfRule>
    <cfRule type="cellIs" dxfId="1178" priority="895" operator="equal">
      <formula>$AF$15</formula>
    </cfRule>
    <cfRule type="cellIs" dxfId="1177" priority="896" operator="equal">
      <formula>$AF$14</formula>
    </cfRule>
    <cfRule type="cellIs" dxfId="1176" priority="897" operator="equal">
      <formula>$AF$13</formula>
    </cfRule>
    <cfRule type="cellIs" dxfId="1175" priority="898" operator="equal">
      <formula>$AF$12</formula>
    </cfRule>
    <cfRule type="cellIs" dxfId="1174" priority="899" operator="equal">
      <formula>$AF$11</formula>
    </cfRule>
    <cfRule type="cellIs" dxfId="1173" priority="900" operator="equal">
      <formula>$AF$10</formula>
    </cfRule>
  </conditionalFormatting>
  <conditionalFormatting sqref="K27:K28">
    <cfRule type="cellIs" dxfId="1172" priority="865" operator="equal">
      <formula>$AG$30</formula>
    </cfRule>
    <cfRule type="cellIs" dxfId="1171" priority="866" operator="equal">
      <formula>$AG$29</formula>
    </cfRule>
    <cfRule type="cellIs" dxfId="1170" priority="867" operator="equal">
      <formula>$AG$28</formula>
    </cfRule>
    <cfRule type="cellIs" dxfId="1169" priority="868" operator="equal">
      <formula>$AG$27</formula>
    </cfRule>
    <cfRule type="cellIs" dxfId="1168" priority="869" operator="equal">
      <formula>$AG$26</formula>
    </cfRule>
    <cfRule type="cellIs" dxfId="1167" priority="870" operator="equal">
      <formula>$AG$25</formula>
    </cfRule>
    <cfRule type="cellIs" dxfId="1166" priority="871" operator="equal">
      <formula>$AG$24</formula>
    </cfRule>
    <cfRule type="cellIs" dxfId="1165" priority="872" operator="equal">
      <formula>$AG$23</formula>
    </cfRule>
    <cfRule type="cellIs" dxfId="1164" priority="873" operator="equal">
      <formula>$AG$22</formula>
    </cfRule>
    <cfRule type="cellIs" dxfId="1163" priority="874" operator="equal">
      <formula>$AG$18</formula>
    </cfRule>
    <cfRule type="cellIs" dxfId="1162" priority="875" operator="equal">
      <formula>$AG$17</formula>
    </cfRule>
    <cfRule type="cellIs" dxfId="1161" priority="876" operator="equal">
      <formula>$AG$16</formula>
    </cfRule>
    <cfRule type="cellIs" dxfId="1160" priority="877" operator="equal">
      <formula>$AG$15</formula>
    </cfRule>
    <cfRule type="cellIs" dxfId="1159" priority="878" operator="equal">
      <formula>$AG$14</formula>
    </cfRule>
    <cfRule type="cellIs" dxfId="1158" priority="879" operator="equal">
      <formula>$AG$13</formula>
    </cfRule>
    <cfRule type="cellIs" dxfId="1157" priority="880" operator="equal">
      <formula>$AG$12</formula>
    </cfRule>
    <cfRule type="cellIs" dxfId="1156" priority="881" operator="equal">
      <formula>$AG$11</formula>
    </cfRule>
    <cfRule type="cellIs" dxfId="1155" priority="882" operator="equal">
      <formula>$AG$10</formula>
    </cfRule>
  </conditionalFormatting>
  <conditionalFormatting sqref="M27:M28">
    <cfRule type="cellIs" dxfId="1154" priority="829" operator="equal">
      <formula>$AI$30</formula>
    </cfRule>
    <cfRule type="cellIs" dxfId="1153" priority="830" operator="equal">
      <formula>$AI$29</formula>
    </cfRule>
    <cfRule type="cellIs" dxfId="1152" priority="831" operator="equal">
      <formula>$AI$28</formula>
    </cfRule>
    <cfRule type="cellIs" dxfId="1151" priority="832" operator="equal">
      <formula>$AI$27</formula>
    </cfRule>
    <cfRule type="cellIs" dxfId="1150" priority="833" operator="equal">
      <formula>$AI$26</formula>
    </cfRule>
    <cfRule type="cellIs" dxfId="1149" priority="834" operator="equal">
      <formula>$AI$25</formula>
    </cfRule>
    <cfRule type="cellIs" dxfId="1148" priority="835" operator="equal">
      <formula>$AI$24</formula>
    </cfRule>
    <cfRule type="cellIs" dxfId="1147" priority="836" operator="equal">
      <formula>$AI$23</formula>
    </cfRule>
    <cfRule type="cellIs" dxfId="1146" priority="837" operator="equal">
      <formula>$AI$22</formula>
    </cfRule>
    <cfRule type="cellIs" dxfId="1145" priority="838" operator="equal">
      <formula>$AH$30</formula>
    </cfRule>
    <cfRule type="cellIs" dxfId="1144" priority="839" operator="equal">
      <formula>$AH$29</formula>
    </cfRule>
    <cfRule type="cellIs" dxfId="1143" priority="840" operator="equal">
      <formula>$AH$28</formula>
    </cfRule>
    <cfRule type="cellIs" dxfId="1142" priority="841" operator="equal">
      <formula>$AH$27</formula>
    </cfRule>
    <cfRule type="cellIs" dxfId="1141" priority="842" operator="equal">
      <formula>$AH$26</formula>
    </cfRule>
    <cfRule type="cellIs" dxfId="1140" priority="843" operator="equal">
      <formula>$AH$25</formula>
    </cfRule>
    <cfRule type="cellIs" dxfId="1139" priority="844" operator="equal">
      <formula>$AH$24</formula>
    </cfRule>
    <cfRule type="cellIs" dxfId="1138" priority="845" operator="equal">
      <formula>$AH$23</formula>
    </cfRule>
    <cfRule type="cellIs" dxfId="1137" priority="846" operator="equal">
      <formula>$AH$22</formula>
    </cfRule>
    <cfRule type="cellIs" dxfId="1136" priority="847" operator="equal">
      <formula>$AI$18</formula>
    </cfRule>
    <cfRule type="cellIs" dxfId="1135" priority="848" operator="equal">
      <formula>$AI$17</formula>
    </cfRule>
    <cfRule type="cellIs" dxfId="1134" priority="849" operator="equal">
      <formula>$AI$16</formula>
    </cfRule>
    <cfRule type="cellIs" dxfId="1133" priority="850" operator="equal">
      <formula>$AI$15</formula>
    </cfRule>
    <cfRule type="cellIs" dxfId="1132" priority="851" operator="equal">
      <formula>$AI$14</formula>
    </cfRule>
    <cfRule type="cellIs" dxfId="1131" priority="852" operator="equal">
      <formula>$AI$13</formula>
    </cfRule>
    <cfRule type="cellIs" dxfId="1130" priority="853" operator="equal">
      <formula>$AI$12</formula>
    </cfRule>
    <cfRule type="cellIs" dxfId="1129" priority="854" operator="equal">
      <formula>$AI$11</formula>
    </cfRule>
    <cfRule type="cellIs" dxfId="1128" priority="855" operator="equal">
      <formula>$AI$10</formula>
    </cfRule>
    <cfRule type="cellIs" dxfId="1127" priority="856" operator="equal">
      <formula>$AH$18</formula>
    </cfRule>
    <cfRule type="cellIs" dxfId="1126" priority="857" operator="equal">
      <formula>$AH$17</formula>
    </cfRule>
    <cfRule type="cellIs" dxfId="1125" priority="858" operator="equal">
      <formula>$AH$16</formula>
    </cfRule>
    <cfRule type="cellIs" dxfId="1124" priority="859" operator="equal">
      <formula>$AH$15</formula>
    </cfRule>
    <cfRule type="cellIs" dxfId="1123" priority="860" operator="equal">
      <formula>$AH$14</formula>
    </cfRule>
    <cfRule type="cellIs" dxfId="1122" priority="861" operator="equal">
      <formula>$AH$13</formula>
    </cfRule>
    <cfRule type="cellIs" dxfId="1121" priority="862" operator="equal">
      <formula>$AH$12</formula>
    </cfRule>
    <cfRule type="cellIs" dxfId="1120" priority="863" operator="equal">
      <formula>$AH$11</formula>
    </cfRule>
    <cfRule type="cellIs" dxfId="1119" priority="864" operator="equal">
      <formula>$AH$10</formula>
    </cfRule>
  </conditionalFormatting>
  <conditionalFormatting sqref="Y24:Y26">
    <cfRule type="cellIs" dxfId="1118" priority="739" operator="equal">
      <formula>$AF$30</formula>
    </cfRule>
    <cfRule type="cellIs" dxfId="1117" priority="740" operator="equal">
      <formula>$AF$29</formula>
    </cfRule>
    <cfRule type="cellIs" dxfId="1116" priority="741" operator="equal">
      <formula>$AF$28</formula>
    </cfRule>
    <cfRule type="cellIs" dxfId="1115" priority="742" operator="equal">
      <formula>$AF$27</formula>
    </cfRule>
    <cfRule type="cellIs" dxfId="1114" priority="743" operator="equal">
      <formula>$AF$26</formula>
    </cfRule>
    <cfRule type="cellIs" dxfId="1113" priority="744" operator="equal">
      <formula>$AF$25</formula>
    </cfRule>
    <cfRule type="cellIs" dxfId="1112" priority="745" operator="equal">
      <formula>$AF$24</formula>
    </cfRule>
    <cfRule type="cellIs" dxfId="1111" priority="746" operator="equal">
      <formula>$AF$23</formula>
    </cfRule>
    <cfRule type="cellIs" dxfId="1110" priority="747" operator="equal">
      <formula>$AF$22</formula>
    </cfRule>
    <cfRule type="cellIs" dxfId="1109" priority="748" operator="equal">
      <formula>$AF$18</formula>
    </cfRule>
    <cfRule type="cellIs" dxfId="1108" priority="749" operator="equal">
      <formula>$AF$17</formula>
    </cfRule>
    <cfRule type="cellIs" dxfId="1107" priority="750" operator="equal">
      <formula>$AF$16</formula>
    </cfRule>
    <cfRule type="cellIs" dxfId="1106" priority="751" operator="equal">
      <formula>$AF$15</formula>
    </cfRule>
    <cfRule type="cellIs" dxfId="1105" priority="752" operator="equal">
      <formula>$AF$14</formula>
    </cfRule>
    <cfRule type="cellIs" dxfId="1104" priority="753" operator="equal">
      <formula>$AF$13</formula>
    </cfRule>
    <cfRule type="cellIs" dxfId="1103" priority="754" operator="equal">
      <formula>$AF$12</formula>
    </cfRule>
    <cfRule type="cellIs" dxfId="1102" priority="755" operator="equal">
      <formula>$AF$11</formula>
    </cfRule>
    <cfRule type="cellIs" dxfId="1101" priority="756" operator="equal">
      <formula>$AF$10</formula>
    </cfRule>
  </conditionalFormatting>
  <conditionalFormatting sqref="Y24:Y26">
    <cfRule type="cellIs" dxfId="1100" priority="721" operator="equal">
      <formula>$AG$30</formula>
    </cfRule>
    <cfRule type="cellIs" dxfId="1099" priority="722" operator="equal">
      <formula>$AG$29</formula>
    </cfRule>
    <cfRule type="cellIs" dxfId="1098" priority="723" operator="equal">
      <formula>$AG$28</formula>
    </cfRule>
    <cfRule type="cellIs" dxfId="1097" priority="724" operator="equal">
      <formula>$AG$27</formula>
    </cfRule>
    <cfRule type="cellIs" dxfId="1096" priority="725" operator="equal">
      <formula>$AG$26</formula>
    </cfRule>
    <cfRule type="cellIs" dxfId="1095" priority="726" operator="equal">
      <formula>$AG$25</formula>
    </cfRule>
    <cfRule type="cellIs" dxfId="1094" priority="727" operator="equal">
      <formula>$AG$24</formula>
    </cfRule>
    <cfRule type="cellIs" dxfId="1093" priority="728" operator="equal">
      <formula>$AG$23</formula>
    </cfRule>
    <cfRule type="cellIs" dxfId="1092" priority="729" operator="equal">
      <formula>$AG$22</formula>
    </cfRule>
    <cfRule type="cellIs" dxfId="1091" priority="730" operator="equal">
      <formula>$AG$18</formula>
    </cfRule>
    <cfRule type="cellIs" dxfId="1090" priority="731" operator="equal">
      <formula>$AG$17</formula>
    </cfRule>
    <cfRule type="cellIs" dxfId="1089" priority="732" operator="equal">
      <formula>$AG$16</formula>
    </cfRule>
    <cfRule type="cellIs" dxfId="1088" priority="733" operator="equal">
      <formula>$AG$15</formula>
    </cfRule>
    <cfRule type="cellIs" dxfId="1087" priority="734" operator="equal">
      <formula>$AG$14</formula>
    </cfRule>
    <cfRule type="cellIs" dxfId="1086" priority="735" operator="equal">
      <formula>$AG$13</formula>
    </cfRule>
    <cfRule type="cellIs" dxfId="1085" priority="736" operator="equal">
      <formula>$AG$12</formula>
    </cfRule>
    <cfRule type="cellIs" dxfId="1084" priority="737" operator="equal">
      <formula>$AG$11</formula>
    </cfRule>
    <cfRule type="cellIs" dxfId="1083" priority="738" operator="equal">
      <formula>$AG$10</formula>
    </cfRule>
  </conditionalFormatting>
  <conditionalFormatting sqref="AA24:AA26">
    <cfRule type="cellIs" dxfId="1082" priority="685" operator="equal">
      <formula>$AI$30</formula>
    </cfRule>
    <cfRule type="cellIs" dxfId="1081" priority="686" operator="equal">
      <formula>$AI$29</formula>
    </cfRule>
    <cfRule type="cellIs" dxfId="1080" priority="687" operator="equal">
      <formula>$AI$28</formula>
    </cfRule>
    <cfRule type="cellIs" dxfId="1079" priority="688" operator="equal">
      <formula>$AI$27</formula>
    </cfRule>
    <cfRule type="cellIs" dxfId="1078" priority="689" operator="equal">
      <formula>$AI$26</formula>
    </cfRule>
    <cfRule type="cellIs" dxfId="1077" priority="690" operator="equal">
      <formula>$AI$25</formula>
    </cfRule>
    <cfRule type="cellIs" dxfId="1076" priority="691" operator="equal">
      <formula>$AI$24</formula>
    </cfRule>
    <cfRule type="cellIs" dxfId="1075" priority="692" operator="equal">
      <formula>$AI$23</formula>
    </cfRule>
    <cfRule type="cellIs" dxfId="1074" priority="693" operator="equal">
      <formula>$AI$22</formula>
    </cfRule>
    <cfRule type="cellIs" dxfId="1073" priority="694" operator="equal">
      <formula>$AH$30</formula>
    </cfRule>
    <cfRule type="cellIs" dxfId="1072" priority="695" operator="equal">
      <formula>$AH$29</formula>
    </cfRule>
    <cfRule type="cellIs" dxfId="1071" priority="696" operator="equal">
      <formula>$AH$28</formula>
    </cfRule>
    <cfRule type="cellIs" dxfId="1070" priority="697" operator="equal">
      <formula>$AH$27</formula>
    </cfRule>
    <cfRule type="cellIs" dxfId="1069" priority="698" operator="equal">
      <formula>$AH$26</formula>
    </cfRule>
    <cfRule type="cellIs" dxfId="1068" priority="699" operator="equal">
      <formula>$AH$25</formula>
    </cfRule>
    <cfRule type="cellIs" dxfId="1067" priority="700" operator="equal">
      <formula>$AH$24</formula>
    </cfRule>
    <cfRule type="cellIs" dxfId="1066" priority="701" operator="equal">
      <formula>$AH$23</formula>
    </cfRule>
    <cfRule type="cellIs" dxfId="1065" priority="702" operator="equal">
      <formula>$AH$22</formula>
    </cfRule>
    <cfRule type="cellIs" dxfId="1064" priority="703" operator="equal">
      <formula>$AI$18</formula>
    </cfRule>
    <cfRule type="cellIs" dxfId="1063" priority="704" operator="equal">
      <formula>$AI$17</formula>
    </cfRule>
    <cfRule type="cellIs" dxfId="1062" priority="705" operator="equal">
      <formula>$AI$16</formula>
    </cfRule>
    <cfRule type="cellIs" dxfId="1061" priority="706" operator="equal">
      <formula>$AI$15</formula>
    </cfRule>
    <cfRule type="cellIs" dxfId="1060" priority="707" operator="equal">
      <formula>$AI$14</formula>
    </cfRule>
    <cfRule type="cellIs" dxfId="1059" priority="708" operator="equal">
      <formula>$AI$13</formula>
    </cfRule>
    <cfRule type="cellIs" dxfId="1058" priority="709" operator="equal">
      <formula>$AI$12</formula>
    </cfRule>
    <cfRule type="cellIs" dxfId="1057" priority="710" operator="equal">
      <formula>$AI$11</formula>
    </cfRule>
    <cfRule type="cellIs" dxfId="1056" priority="711" operator="equal">
      <formula>$AI$10</formula>
    </cfRule>
    <cfRule type="cellIs" dxfId="1055" priority="712" operator="equal">
      <formula>$AH$18</formula>
    </cfRule>
    <cfRule type="cellIs" dxfId="1054" priority="713" operator="equal">
      <formula>$AH$17</formula>
    </cfRule>
    <cfRule type="cellIs" dxfId="1053" priority="714" operator="equal">
      <formula>$AH$16</formula>
    </cfRule>
    <cfRule type="cellIs" dxfId="1052" priority="715" operator="equal">
      <formula>$AH$15</formula>
    </cfRule>
    <cfRule type="cellIs" dxfId="1051" priority="716" operator="equal">
      <formula>$AH$14</formula>
    </cfRule>
    <cfRule type="cellIs" dxfId="1050" priority="717" operator="equal">
      <formula>$AH$13</formula>
    </cfRule>
    <cfRule type="cellIs" dxfId="1049" priority="718" operator="equal">
      <formula>$AH$12</formula>
    </cfRule>
    <cfRule type="cellIs" dxfId="1048" priority="719" operator="equal">
      <formula>$AH$11</formula>
    </cfRule>
    <cfRule type="cellIs" dxfId="1047" priority="720" operator="equal">
      <formula>$AH$10</formula>
    </cfRule>
  </conditionalFormatting>
  <conditionalFormatting sqref="Y27:Y29">
    <cfRule type="cellIs" dxfId="1046" priority="667" operator="equal">
      <formula>$AF$30</formula>
    </cfRule>
    <cfRule type="cellIs" dxfId="1045" priority="668" operator="equal">
      <formula>$AF$29</formula>
    </cfRule>
    <cfRule type="cellIs" dxfId="1044" priority="669" operator="equal">
      <formula>$AF$28</formula>
    </cfRule>
    <cfRule type="cellIs" dxfId="1043" priority="670" operator="equal">
      <formula>$AF$27</formula>
    </cfRule>
    <cfRule type="cellIs" dxfId="1042" priority="671" operator="equal">
      <formula>$AF$26</formula>
    </cfRule>
    <cfRule type="cellIs" dxfId="1041" priority="672" operator="equal">
      <formula>$AF$25</formula>
    </cfRule>
    <cfRule type="cellIs" dxfId="1040" priority="673" operator="equal">
      <formula>$AF$24</formula>
    </cfRule>
    <cfRule type="cellIs" dxfId="1039" priority="674" operator="equal">
      <formula>$AF$23</formula>
    </cfRule>
    <cfRule type="cellIs" dxfId="1038" priority="675" operator="equal">
      <formula>$AF$22</formula>
    </cfRule>
    <cfRule type="cellIs" dxfId="1037" priority="676" operator="equal">
      <formula>$AF$18</formula>
    </cfRule>
    <cfRule type="cellIs" dxfId="1036" priority="677" operator="equal">
      <formula>$AF$17</formula>
    </cfRule>
    <cfRule type="cellIs" dxfId="1035" priority="678" operator="equal">
      <formula>$AF$16</formula>
    </cfRule>
    <cfRule type="cellIs" dxfId="1034" priority="679" operator="equal">
      <formula>$AF$15</formula>
    </cfRule>
    <cfRule type="cellIs" dxfId="1033" priority="680" operator="equal">
      <formula>$AF$14</formula>
    </cfRule>
    <cfRule type="cellIs" dxfId="1032" priority="681" operator="equal">
      <formula>$AF$13</formula>
    </cfRule>
    <cfRule type="cellIs" dxfId="1031" priority="682" operator="equal">
      <formula>$AF$12</formula>
    </cfRule>
    <cfRule type="cellIs" dxfId="1030" priority="683" operator="equal">
      <formula>$AF$11</formula>
    </cfRule>
    <cfRule type="cellIs" dxfId="1029" priority="684" operator="equal">
      <formula>$AF$10</formula>
    </cfRule>
  </conditionalFormatting>
  <conditionalFormatting sqref="Y27:Y29">
    <cfRule type="cellIs" dxfId="1028" priority="649" operator="equal">
      <formula>$AG$30</formula>
    </cfRule>
    <cfRule type="cellIs" dxfId="1027" priority="650" operator="equal">
      <formula>$AG$29</formula>
    </cfRule>
    <cfRule type="cellIs" dxfId="1026" priority="651" operator="equal">
      <formula>$AG$28</formula>
    </cfRule>
    <cfRule type="cellIs" dxfId="1025" priority="652" operator="equal">
      <formula>$AG$27</formula>
    </cfRule>
    <cfRule type="cellIs" dxfId="1024" priority="653" operator="equal">
      <formula>$AG$26</formula>
    </cfRule>
    <cfRule type="cellIs" dxfId="1023" priority="654" operator="equal">
      <formula>$AG$25</formula>
    </cfRule>
    <cfRule type="cellIs" dxfId="1022" priority="655" operator="equal">
      <formula>$AG$24</formula>
    </cfRule>
    <cfRule type="cellIs" dxfId="1021" priority="656" operator="equal">
      <formula>$AG$23</formula>
    </cfRule>
    <cfRule type="cellIs" dxfId="1020" priority="657" operator="equal">
      <formula>$AG$22</formula>
    </cfRule>
    <cfRule type="cellIs" dxfId="1019" priority="658" operator="equal">
      <formula>$AG$18</formula>
    </cfRule>
    <cfRule type="cellIs" dxfId="1018" priority="659" operator="equal">
      <formula>$AG$17</formula>
    </cfRule>
    <cfRule type="cellIs" dxfId="1017" priority="660" operator="equal">
      <formula>$AG$16</formula>
    </cfRule>
    <cfRule type="cellIs" dxfId="1016" priority="661" operator="equal">
      <formula>$AG$15</formula>
    </cfRule>
    <cfRule type="cellIs" dxfId="1015" priority="662" operator="equal">
      <formula>$AG$14</formula>
    </cfRule>
    <cfRule type="cellIs" dxfId="1014" priority="663" operator="equal">
      <formula>$AG$13</formula>
    </cfRule>
    <cfRule type="cellIs" dxfId="1013" priority="664" operator="equal">
      <formula>$AG$12</formula>
    </cfRule>
    <cfRule type="cellIs" dxfId="1012" priority="665" operator="equal">
      <formula>$AG$11</formula>
    </cfRule>
    <cfRule type="cellIs" dxfId="1011" priority="666" operator="equal">
      <formula>$AG$10</formula>
    </cfRule>
  </conditionalFormatting>
  <conditionalFormatting sqref="AA27:AA29">
    <cfRule type="cellIs" dxfId="1010" priority="613" operator="equal">
      <formula>$AI$30</formula>
    </cfRule>
    <cfRule type="cellIs" dxfId="1009" priority="614" operator="equal">
      <formula>$AI$29</formula>
    </cfRule>
    <cfRule type="cellIs" dxfId="1008" priority="615" operator="equal">
      <formula>$AI$28</formula>
    </cfRule>
    <cfRule type="cellIs" dxfId="1007" priority="616" operator="equal">
      <formula>$AI$27</formula>
    </cfRule>
    <cfRule type="cellIs" dxfId="1006" priority="617" operator="equal">
      <formula>$AI$26</formula>
    </cfRule>
    <cfRule type="cellIs" dxfId="1005" priority="618" operator="equal">
      <formula>$AI$25</formula>
    </cfRule>
    <cfRule type="cellIs" dxfId="1004" priority="619" operator="equal">
      <formula>$AI$24</formula>
    </cfRule>
    <cfRule type="cellIs" dxfId="1003" priority="620" operator="equal">
      <formula>$AI$23</formula>
    </cfRule>
    <cfRule type="cellIs" dxfId="1002" priority="621" operator="equal">
      <formula>$AI$22</formula>
    </cfRule>
    <cfRule type="cellIs" dxfId="1001" priority="622" operator="equal">
      <formula>$AH$30</formula>
    </cfRule>
    <cfRule type="cellIs" dxfId="1000" priority="623" operator="equal">
      <formula>$AH$29</formula>
    </cfRule>
    <cfRule type="cellIs" dxfId="999" priority="624" operator="equal">
      <formula>$AH$28</formula>
    </cfRule>
    <cfRule type="cellIs" dxfId="998" priority="625" operator="equal">
      <formula>$AH$27</formula>
    </cfRule>
    <cfRule type="cellIs" dxfId="997" priority="626" operator="equal">
      <formula>$AH$26</formula>
    </cfRule>
    <cfRule type="cellIs" dxfId="996" priority="627" operator="equal">
      <formula>$AH$25</formula>
    </cfRule>
    <cfRule type="cellIs" dxfId="995" priority="628" operator="equal">
      <formula>$AH$24</formula>
    </cfRule>
    <cfRule type="cellIs" dxfId="994" priority="629" operator="equal">
      <formula>$AH$23</formula>
    </cfRule>
    <cfRule type="cellIs" dxfId="993" priority="630" operator="equal">
      <formula>$AH$22</formula>
    </cfRule>
    <cfRule type="cellIs" dxfId="992" priority="631" operator="equal">
      <formula>$AI$18</formula>
    </cfRule>
    <cfRule type="cellIs" dxfId="991" priority="632" operator="equal">
      <formula>$AI$17</formula>
    </cfRule>
    <cfRule type="cellIs" dxfId="990" priority="633" operator="equal">
      <formula>$AI$16</formula>
    </cfRule>
    <cfRule type="cellIs" dxfId="989" priority="634" operator="equal">
      <formula>$AI$15</formula>
    </cfRule>
    <cfRule type="cellIs" dxfId="988" priority="635" operator="equal">
      <formula>$AI$14</formula>
    </cfRule>
    <cfRule type="cellIs" dxfId="987" priority="636" operator="equal">
      <formula>$AI$13</formula>
    </cfRule>
    <cfRule type="cellIs" dxfId="986" priority="637" operator="equal">
      <formula>$AI$12</formula>
    </cfRule>
    <cfRule type="cellIs" dxfId="985" priority="638" operator="equal">
      <formula>$AI$11</formula>
    </cfRule>
    <cfRule type="cellIs" dxfId="984" priority="639" operator="equal">
      <formula>$AI$10</formula>
    </cfRule>
    <cfRule type="cellIs" dxfId="983" priority="640" operator="equal">
      <formula>$AH$18</formula>
    </cfRule>
    <cfRule type="cellIs" dxfId="982" priority="641" operator="equal">
      <formula>$AH$17</formula>
    </cfRule>
    <cfRule type="cellIs" dxfId="981" priority="642" operator="equal">
      <formula>$AH$16</formula>
    </cfRule>
    <cfRule type="cellIs" dxfId="980" priority="643" operator="equal">
      <formula>$AH$15</formula>
    </cfRule>
    <cfRule type="cellIs" dxfId="979" priority="644" operator="equal">
      <formula>$AH$14</formula>
    </cfRule>
    <cfRule type="cellIs" dxfId="978" priority="645" operator="equal">
      <formula>$AH$13</formula>
    </cfRule>
    <cfRule type="cellIs" dxfId="977" priority="646" operator="equal">
      <formula>$AH$12</formula>
    </cfRule>
    <cfRule type="cellIs" dxfId="976" priority="647" operator="equal">
      <formula>$AH$11</formula>
    </cfRule>
    <cfRule type="cellIs" dxfId="975" priority="648" operator="equal">
      <formula>$AH$10</formula>
    </cfRule>
  </conditionalFormatting>
  <conditionalFormatting sqref="D24">
    <cfRule type="cellIs" dxfId="974" priority="595" operator="equal">
      <formula>$AF$30</formula>
    </cfRule>
    <cfRule type="cellIs" dxfId="973" priority="596" operator="equal">
      <formula>$AF$29</formula>
    </cfRule>
    <cfRule type="cellIs" dxfId="972" priority="597" operator="equal">
      <formula>$AF$28</formula>
    </cfRule>
    <cfRule type="cellIs" dxfId="971" priority="598" operator="equal">
      <formula>$AF$27</formula>
    </cfRule>
    <cfRule type="cellIs" dxfId="970" priority="599" operator="equal">
      <formula>$AF$26</formula>
    </cfRule>
    <cfRule type="cellIs" dxfId="969" priority="600" operator="equal">
      <formula>$AF$25</formula>
    </cfRule>
    <cfRule type="cellIs" dxfId="968" priority="601" operator="equal">
      <formula>$AF$24</formula>
    </cfRule>
    <cfRule type="cellIs" dxfId="967" priority="602" operator="equal">
      <formula>$AF$23</formula>
    </cfRule>
    <cfRule type="cellIs" dxfId="966" priority="603" operator="equal">
      <formula>$AF$22</formula>
    </cfRule>
    <cfRule type="cellIs" dxfId="965" priority="604" operator="equal">
      <formula>$AF$18</formula>
    </cfRule>
    <cfRule type="cellIs" dxfId="964" priority="605" operator="equal">
      <formula>$AF$17</formula>
    </cfRule>
    <cfRule type="cellIs" dxfId="963" priority="606" operator="equal">
      <formula>$AF$16</formula>
    </cfRule>
    <cfRule type="cellIs" dxfId="962" priority="607" operator="equal">
      <formula>$AF$15</formula>
    </cfRule>
    <cfRule type="cellIs" dxfId="961" priority="608" operator="equal">
      <formula>$AF$14</formula>
    </cfRule>
    <cfRule type="cellIs" dxfId="960" priority="609" operator="equal">
      <formula>$AF$13</formula>
    </cfRule>
    <cfRule type="cellIs" dxfId="959" priority="610" operator="equal">
      <formula>$AF$12</formula>
    </cfRule>
    <cfRule type="cellIs" dxfId="958" priority="611" operator="equal">
      <formula>$AF$11</formula>
    </cfRule>
    <cfRule type="cellIs" dxfId="957" priority="612" operator="equal">
      <formula>$AF$10</formula>
    </cfRule>
  </conditionalFormatting>
  <conditionalFormatting sqref="D24">
    <cfRule type="cellIs" dxfId="956" priority="577" operator="equal">
      <formula>$AG$30</formula>
    </cfRule>
    <cfRule type="cellIs" dxfId="955" priority="578" operator="equal">
      <formula>$AG$29</formula>
    </cfRule>
    <cfRule type="cellIs" dxfId="954" priority="579" operator="equal">
      <formula>$AG$28</formula>
    </cfRule>
    <cfRule type="cellIs" dxfId="953" priority="580" operator="equal">
      <formula>$AG$27</formula>
    </cfRule>
    <cfRule type="cellIs" dxfId="952" priority="581" operator="equal">
      <formula>$AG$26</formula>
    </cfRule>
    <cfRule type="cellIs" dxfId="951" priority="582" operator="equal">
      <formula>$AG$25</formula>
    </cfRule>
    <cfRule type="cellIs" dxfId="950" priority="583" operator="equal">
      <formula>$AG$24</formula>
    </cfRule>
    <cfRule type="cellIs" dxfId="949" priority="584" operator="equal">
      <formula>$AG$23</formula>
    </cfRule>
    <cfRule type="cellIs" dxfId="948" priority="585" operator="equal">
      <formula>$AG$22</formula>
    </cfRule>
    <cfRule type="cellIs" dxfId="947" priority="586" operator="equal">
      <formula>$AG$18</formula>
    </cfRule>
    <cfRule type="cellIs" dxfId="946" priority="587" operator="equal">
      <formula>$AG$17</formula>
    </cfRule>
    <cfRule type="cellIs" dxfId="945" priority="588" operator="equal">
      <formula>$AG$16</formula>
    </cfRule>
    <cfRule type="cellIs" dxfId="944" priority="589" operator="equal">
      <formula>$AG$15</formula>
    </cfRule>
    <cfRule type="cellIs" dxfId="943" priority="590" operator="equal">
      <formula>$AG$14</formula>
    </cfRule>
    <cfRule type="cellIs" dxfId="942" priority="591" operator="equal">
      <formula>$AG$13</formula>
    </cfRule>
    <cfRule type="cellIs" dxfId="941" priority="592" operator="equal">
      <formula>$AG$12</formula>
    </cfRule>
    <cfRule type="cellIs" dxfId="940" priority="593" operator="equal">
      <formula>$AG$11</formula>
    </cfRule>
    <cfRule type="cellIs" dxfId="939" priority="594" operator="equal">
      <formula>$AG$10</formula>
    </cfRule>
  </conditionalFormatting>
  <conditionalFormatting sqref="R16">
    <cfRule type="cellIs" dxfId="938" priority="559" operator="equal">
      <formula>$AF$30</formula>
    </cfRule>
    <cfRule type="cellIs" dxfId="937" priority="560" operator="equal">
      <formula>$AF$29</formula>
    </cfRule>
    <cfRule type="cellIs" dxfId="936" priority="561" operator="equal">
      <formula>$AF$28</formula>
    </cfRule>
    <cfRule type="cellIs" dxfId="935" priority="562" operator="equal">
      <formula>$AF$27</formula>
    </cfRule>
    <cfRule type="cellIs" dxfId="934" priority="563" operator="equal">
      <formula>$AF$26</formula>
    </cfRule>
    <cfRule type="cellIs" dxfId="933" priority="564" operator="equal">
      <formula>$AF$25</formula>
    </cfRule>
    <cfRule type="cellIs" dxfId="932" priority="565" operator="equal">
      <formula>$AF$24</formula>
    </cfRule>
    <cfRule type="cellIs" dxfId="931" priority="566" operator="equal">
      <formula>$AF$23</formula>
    </cfRule>
    <cfRule type="cellIs" dxfId="930" priority="567" operator="equal">
      <formula>$AF$22</formula>
    </cfRule>
    <cfRule type="cellIs" dxfId="929" priority="568" operator="equal">
      <formula>$AF$18</formula>
    </cfRule>
    <cfRule type="cellIs" dxfId="928" priority="569" operator="equal">
      <formula>$AF$17</formula>
    </cfRule>
    <cfRule type="cellIs" dxfId="927" priority="570" operator="equal">
      <formula>$AF$16</formula>
    </cfRule>
    <cfRule type="cellIs" dxfId="926" priority="571" operator="equal">
      <formula>$AF$15</formula>
    </cfRule>
    <cfRule type="cellIs" dxfId="925" priority="572" operator="equal">
      <formula>$AF$14</formula>
    </cfRule>
    <cfRule type="cellIs" dxfId="924" priority="573" operator="equal">
      <formula>$AF$13</formula>
    </cfRule>
    <cfRule type="cellIs" dxfId="923" priority="574" operator="equal">
      <formula>$AF$12</formula>
    </cfRule>
    <cfRule type="cellIs" dxfId="922" priority="575" operator="equal">
      <formula>$AF$11</formula>
    </cfRule>
    <cfRule type="cellIs" dxfId="921" priority="576" operator="equal">
      <formula>$AF$10</formula>
    </cfRule>
  </conditionalFormatting>
  <conditionalFormatting sqref="R16">
    <cfRule type="cellIs" dxfId="920" priority="541" operator="equal">
      <formula>$AG$30</formula>
    </cfRule>
    <cfRule type="cellIs" dxfId="919" priority="542" operator="equal">
      <formula>$AG$29</formula>
    </cfRule>
    <cfRule type="cellIs" dxfId="918" priority="543" operator="equal">
      <formula>$AG$28</formula>
    </cfRule>
    <cfRule type="cellIs" dxfId="917" priority="544" operator="equal">
      <formula>$AG$27</formula>
    </cfRule>
    <cfRule type="cellIs" dxfId="916" priority="545" operator="equal">
      <formula>$AG$26</formula>
    </cfRule>
    <cfRule type="cellIs" dxfId="915" priority="546" operator="equal">
      <formula>$AG$25</formula>
    </cfRule>
    <cfRule type="cellIs" dxfId="914" priority="547" operator="equal">
      <formula>$AG$24</formula>
    </cfRule>
    <cfRule type="cellIs" dxfId="913" priority="548" operator="equal">
      <formula>$AG$23</formula>
    </cfRule>
    <cfRule type="cellIs" dxfId="912" priority="549" operator="equal">
      <formula>$AG$22</formula>
    </cfRule>
    <cfRule type="cellIs" dxfId="911" priority="550" operator="equal">
      <formula>$AG$18</formula>
    </cfRule>
    <cfRule type="cellIs" dxfId="910" priority="551" operator="equal">
      <formula>$AG$17</formula>
    </cfRule>
    <cfRule type="cellIs" dxfId="909" priority="552" operator="equal">
      <formula>$AG$16</formula>
    </cfRule>
    <cfRule type="cellIs" dxfId="908" priority="553" operator="equal">
      <formula>$AG$15</formula>
    </cfRule>
    <cfRule type="cellIs" dxfId="907" priority="554" operator="equal">
      <formula>$AG$14</formula>
    </cfRule>
    <cfRule type="cellIs" dxfId="906" priority="555" operator="equal">
      <formula>$AG$13</formula>
    </cfRule>
    <cfRule type="cellIs" dxfId="905" priority="556" operator="equal">
      <formula>$AG$12</formula>
    </cfRule>
    <cfRule type="cellIs" dxfId="904" priority="557" operator="equal">
      <formula>$AG$11</formula>
    </cfRule>
    <cfRule type="cellIs" dxfId="903" priority="558" operator="equal">
      <formula>$AG$10</formula>
    </cfRule>
  </conditionalFormatting>
  <conditionalFormatting sqref="F16">
    <cfRule type="cellIs" dxfId="902" priority="469" operator="equal">
      <formula>$AI$30</formula>
    </cfRule>
    <cfRule type="cellIs" dxfId="901" priority="470" operator="equal">
      <formula>$AI$29</formula>
    </cfRule>
    <cfRule type="cellIs" dxfId="900" priority="471" operator="equal">
      <formula>$AI$28</formula>
    </cfRule>
    <cfRule type="cellIs" dxfId="899" priority="472" operator="equal">
      <formula>$AI$27</formula>
    </cfRule>
    <cfRule type="cellIs" dxfId="898" priority="473" operator="equal">
      <formula>$AI$26</formula>
    </cfRule>
    <cfRule type="cellIs" dxfId="897" priority="474" operator="equal">
      <formula>$AI$25</formula>
    </cfRule>
    <cfRule type="cellIs" dxfId="896" priority="475" operator="equal">
      <formula>$AI$24</formula>
    </cfRule>
    <cfRule type="cellIs" dxfId="895" priority="476" operator="equal">
      <formula>$AI$23</formula>
    </cfRule>
    <cfRule type="cellIs" dxfId="894" priority="477" operator="equal">
      <formula>$AI$22</formula>
    </cfRule>
    <cfRule type="cellIs" dxfId="893" priority="478" operator="equal">
      <formula>$AH$30</formula>
    </cfRule>
    <cfRule type="cellIs" dxfId="892" priority="479" operator="equal">
      <formula>$AH$29</formula>
    </cfRule>
    <cfRule type="cellIs" dxfId="891" priority="480" operator="equal">
      <formula>$AH$28</formula>
    </cfRule>
    <cfRule type="cellIs" dxfId="890" priority="481" operator="equal">
      <formula>$AH$27</formula>
    </cfRule>
    <cfRule type="cellIs" dxfId="889" priority="482" operator="equal">
      <formula>$AH$26</formula>
    </cfRule>
    <cfRule type="cellIs" dxfId="888" priority="483" operator="equal">
      <formula>$AH$25</formula>
    </cfRule>
    <cfRule type="cellIs" dxfId="887" priority="484" operator="equal">
      <formula>$AH$24</formula>
    </cfRule>
    <cfRule type="cellIs" dxfId="886" priority="485" operator="equal">
      <formula>$AH$23</formula>
    </cfRule>
    <cfRule type="cellIs" dxfId="885" priority="486" operator="equal">
      <formula>$AH$22</formula>
    </cfRule>
    <cfRule type="cellIs" dxfId="884" priority="487" operator="equal">
      <formula>$AI$18</formula>
    </cfRule>
    <cfRule type="cellIs" dxfId="883" priority="488" operator="equal">
      <formula>$AI$17</formula>
    </cfRule>
    <cfRule type="cellIs" dxfId="882" priority="489" operator="equal">
      <formula>$AI$16</formula>
    </cfRule>
    <cfRule type="cellIs" dxfId="881" priority="490" operator="equal">
      <formula>$AI$15</formula>
    </cfRule>
    <cfRule type="cellIs" dxfId="880" priority="491" operator="equal">
      <formula>$AI$14</formula>
    </cfRule>
    <cfRule type="cellIs" dxfId="879" priority="492" operator="equal">
      <formula>$AI$13</formula>
    </cfRule>
    <cfRule type="cellIs" dxfId="878" priority="493" operator="equal">
      <formula>$AI$12</formula>
    </cfRule>
    <cfRule type="cellIs" dxfId="877" priority="494" operator="equal">
      <formula>$AI$11</formula>
    </cfRule>
    <cfRule type="cellIs" dxfId="876" priority="495" operator="equal">
      <formula>$AI$10</formula>
    </cfRule>
    <cfRule type="cellIs" dxfId="875" priority="496" operator="equal">
      <formula>$AH$18</formula>
    </cfRule>
    <cfRule type="cellIs" dxfId="874" priority="497" operator="equal">
      <formula>$AH$17</formula>
    </cfRule>
    <cfRule type="cellIs" dxfId="873" priority="498" operator="equal">
      <formula>$AH$16</formula>
    </cfRule>
    <cfRule type="cellIs" dxfId="872" priority="499" operator="equal">
      <formula>$AH$15</formula>
    </cfRule>
    <cfRule type="cellIs" dxfId="871" priority="500" operator="equal">
      <formula>$AH$14</formula>
    </cfRule>
    <cfRule type="cellIs" dxfId="870" priority="501" operator="equal">
      <formula>$AH$13</formula>
    </cfRule>
    <cfRule type="cellIs" dxfId="869" priority="502" operator="equal">
      <formula>$AH$12</formula>
    </cfRule>
    <cfRule type="cellIs" dxfId="868" priority="503" operator="equal">
      <formula>$AH$11</formula>
    </cfRule>
    <cfRule type="cellIs" dxfId="867" priority="504" operator="equal">
      <formula>$AH$10</formula>
    </cfRule>
  </conditionalFormatting>
  <conditionalFormatting sqref="F25">
    <cfRule type="cellIs" dxfId="866" priority="433" operator="equal">
      <formula>$AI$30</formula>
    </cfRule>
    <cfRule type="cellIs" dxfId="865" priority="434" operator="equal">
      <formula>$AI$29</formula>
    </cfRule>
    <cfRule type="cellIs" dxfId="864" priority="435" operator="equal">
      <formula>$AI$28</formula>
    </cfRule>
    <cfRule type="cellIs" dxfId="863" priority="436" operator="equal">
      <formula>$AI$27</formula>
    </cfRule>
    <cfRule type="cellIs" dxfId="862" priority="437" operator="equal">
      <formula>$AI$26</formula>
    </cfRule>
    <cfRule type="cellIs" dxfId="861" priority="438" operator="equal">
      <formula>$AI$25</formula>
    </cfRule>
    <cfRule type="cellIs" dxfId="860" priority="439" operator="equal">
      <formula>$AI$24</formula>
    </cfRule>
    <cfRule type="cellIs" dxfId="859" priority="440" operator="equal">
      <formula>$AI$23</formula>
    </cfRule>
    <cfRule type="cellIs" dxfId="858" priority="441" operator="equal">
      <formula>$AI$22</formula>
    </cfRule>
    <cfRule type="cellIs" dxfId="857" priority="442" operator="equal">
      <formula>$AH$30</formula>
    </cfRule>
    <cfRule type="cellIs" dxfId="856" priority="443" operator="equal">
      <formula>$AH$29</formula>
    </cfRule>
    <cfRule type="cellIs" dxfId="855" priority="444" operator="equal">
      <formula>$AH$28</formula>
    </cfRule>
    <cfRule type="cellIs" dxfId="854" priority="445" operator="equal">
      <formula>$AH$27</formula>
    </cfRule>
    <cfRule type="cellIs" dxfId="853" priority="446" operator="equal">
      <formula>$AH$26</formula>
    </cfRule>
    <cfRule type="cellIs" dxfId="852" priority="447" operator="equal">
      <formula>$AH$25</formula>
    </cfRule>
    <cfRule type="cellIs" dxfId="851" priority="448" operator="equal">
      <formula>$AH$24</formula>
    </cfRule>
    <cfRule type="cellIs" dxfId="850" priority="449" operator="equal">
      <formula>$AH$23</formula>
    </cfRule>
    <cfRule type="cellIs" dxfId="849" priority="450" operator="equal">
      <formula>$AH$22</formula>
    </cfRule>
    <cfRule type="cellIs" dxfId="848" priority="451" operator="equal">
      <formula>$AI$18</formula>
    </cfRule>
    <cfRule type="cellIs" dxfId="847" priority="452" operator="equal">
      <formula>$AI$17</formula>
    </cfRule>
    <cfRule type="cellIs" dxfId="846" priority="453" operator="equal">
      <formula>$AI$16</formula>
    </cfRule>
    <cfRule type="cellIs" dxfId="845" priority="454" operator="equal">
      <formula>$AI$15</formula>
    </cfRule>
    <cfRule type="cellIs" dxfId="844" priority="455" operator="equal">
      <formula>$AI$14</formula>
    </cfRule>
    <cfRule type="cellIs" dxfId="843" priority="456" operator="equal">
      <formula>$AI$13</formula>
    </cfRule>
    <cfRule type="cellIs" dxfId="842" priority="457" operator="equal">
      <formula>$AI$12</formula>
    </cfRule>
    <cfRule type="cellIs" dxfId="841" priority="458" operator="equal">
      <formula>$AI$11</formula>
    </cfRule>
    <cfRule type="cellIs" dxfId="840" priority="459" operator="equal">
      <formula>$AI$10</formula>
    </cfRule>
    <cfRule type="cellIs" dxfId="839" priority="460" operator="equal">
      <formula>$AH$18</formula>
    </cfRule>
    <cfRule type="cellIs" dxfId="838" priority="461" operator="equal">
      <formula>$AH$17</formula>
    </cfRule>
    <cfRule type="cellIs" dxfId="837" priority="462" operator="equal">
      <formula>$AH$16</formula>
    </cfRule>
    <cfRule type="cellIs" dxfId="836" priority="463" operator="equal">
      <formula>$AH$15</formula>
    </cfRule>
    <cfRule type="cellIs" dxfId="835" priority="464" operator="equal">
      <formula>$AH$14</formula>
    </cfRule>
    <cfRule type="cellIs" dxfId="834" priority="465" operator="equal">
      <formula>$AH$13</formula>
    </cfRule>
    <cfRule type="cellIs" dxfId="833" priority="466" operator="equal">
      <formula>$AH$12</formula>
    </cfRule>
    <cfRule type="cellIs" dxfId="832" priority="467" operator="equal">
      <formula>$AH$11</formula>
    </cfRule>
    <cfRule type="cellIs" dxfId="831" priority="468" operator="equal">
      <formula>$AH$10</formula>
    </cfRule>
  </conditionalFormatting>
  <conditionalFormatting sqref="M25">
    <cfRule type="cellIs" dxfId="830" priority="397" operator="equal">
      <formula>$AI$30</formula>
    </cfRule>
    <cfRule type="cellIs" dxfId="829" priority="398" operator="equal">
      <formula>$AI$29</formula>
    </cfRule>
    <cfRule type="cellIs" dxfId="828" priority="399" operator="equal">
      <formula>$AI$28</formula>
    </cfRule>
    <cfRule type="cellIs" dxfId="827" priority="400" operator="equal">
      <formula>$AI$27</formula>
    </cfRule>
    <cfRule type="cellIs" dxfId="826" priority="401" operator="equal">
      <formula>$AI$26</formula>
    </cfRule>
    <cfRule type="cellIs" dxfId="825" priority="402" operator="equal">
      <formula>$AI$25</formula>
    </cfRule>
    <cfRule type="cellIs" dxfId="824" priority="403" operator="equal">
      <formula>$AI$24</formula>
    </cfRule>
    <cfRule type="cellIs" dxfId="823" priority="404" operator="equal">
      <formula>$AI$23</formula>
    </cfRule>
    <cfRule type="cellIs" dxfId="822" priority="405" operator="equal">
      <formula>$AI$22</formula>
    </cfRule>
    <cfRule type="cellIs" dxfId="821" priority="406" operator="equal">
      <formula>$AH$30</formula>
    </cfRule>
    <cfRule type="cellIs" dxfId="820" priority="407" operator="equal">
      <formula>$AH$29</formula>
    </cfRule>
    <cfRule type="cellIs" dxfId="819" priority="408" operator="equal">
      <formula>$AH$28</formula>
    </cfRule>
    <cfRule type="cellIs" dxfId="818" priority="409" operator="equal">
      <formula>$AH$27</formula>
    </cfRule>
    <cfRule type="cellIs" dxfId="817" priority="410" operator="equal">
      <formula>$AH$26</formula>
    </cfRule>
    <cfRule type="cellIs" dxfId="816" priority="411" operator="equal">
      <formula>$AH$25</formula>
    </cfRule>
    <cfRule type="cellIs" dxfId="815" priority="412" operator="equal">
      <formula>$AH$24</formula>
    </cfRule>
    <cfRule type="cellIs" dxfId="814" priority="413" operator="equal">
      <formula>$AH$23</formula>
    </cfRule>
    <cfRule type="cellIs" dxfId="813" priority="414" operator="equal">
      <formula>$AH$22</formula>
    </cfRule>
    <cfRule type="cellIs" dxfId="812" priority="415" operator="equal">
      <formula>$AI$18</formula>
    </cfRule>
    <cfRule type="cellIs" dxfId="811" priority="416" operator="equal">
      <formula>$AI$17</formula>
    </cfRule>
    <cfRule type="cellIs" dxfId="810" priority="417" operator="equal">
      <formula>$AI$16</formula>
    </cfRule>
    <cfRule type="cellIs" dxfId="809" priority="418" operator="equal">
      <formula>$AI$15</formula>
    </cfRule>
    <cfRule type="cellIs" dxfId="808" priority="419" operator="equal">
      <formula>$AI$14</formula>
    </cfRule>
    <cfRule type="cellIs" dxfId="807" priority="420" operator="equal">
      <formula>$AI$13</formula>
    </cfRule>
    <cfRule type="cellIs" dxfId="806" priority="421" operator="equal">
      <formula>$AI$12</formula>
    </cfRule>
    <cfRule type="cellIs" dxfId="805" priority="422" operator="equal">
      <formula>$AI$11</formula>
    </cfRule>
    <cfRule type="cellIs" dxfId="804" priority="423" operator="equal">
      <formula>$AI$10</formula>
    </cfRule>
    <cfRule type="cellIs" dxfId="803" priority="424" operator="equal">
      <formula>$AH$18</formula>
    </cfRule>
    <cfRule type="cellIs" dxfId="802" priority="425" operator="equal">
      <formula>$AH$17</formula>
    </cfRule>
    <cfRule type="cellIs" dxfId="801" priority="426" operator="equal">
      <formula>$AH$16</formula>
    </cfRule>
    <cfRule type="cellIs" dxfId="800" priority="427" operator="equal">
      <formula>$AH$15</formula>
    </cfRule>
    <cfRule type="cellIs" dxfId="799" priority="428" operator="equal">
      <formula>$AH$14</formula>
    </cfRule>
    <cfRule type="cellIs" dxfId="798" priority="429" operator="equal">
      <formula>$AH$13</formula>
    </cfRule>
    <cfRule type="cellIs" dxfId="797" priority="430" operator="equal">
      <formula>$AH$12</formula>
    </cfRule>
    <cfRule type="cellIs" dxfId="796" priority="431" operator="equal">
      <formula>$AH$11</formula>
    </cfRule>
    <cfRule type="cellIs" dxfId="795" priority="432" operator="equal">
      <formula>$AH$10</formula>
    </cfRule>
  </conditionalFormatting>
  <conditionalFormatting sqref="M16">
    <cfRule type="cellIs" dxfId="794" priority="361" operator="equal">
      <formula>$AI$30</formula>
    </cfRule>
    <cfRule type="cellIs" dxfId="793" priority="362" operator="equal">
      <formula>$AI$29</formula>
    </cfRule>
    <cfRule type="cellIs" dxfId="792" priority="363" operator="equal">
      <formula>$AI$28</formula>
    </cfRule>
    <cfRule type="cellIs" dxfId="791" priority="364" operator="equal">
      <formula>$AI$27</formula>
    </cfRule>
    <cfRule type="cellIs" dxfId="790" priority="365" operator="equal">
      <formula>$AI$26</formula>
    </cfRule>
    <cfRule type="cellIs" dxfId="789" priority="366" operator="equal">
      <formula>$AI$25</formula>
    </cfRule>
    <cfRule type="cellIs" dxfId="788" priority="367" operator="equal">
      <formula>$AI$24</formula>
    </cfRule>
    <cfRule type="cellIs" dxfId="787" priority="368" operator="equal">
      <formula>$AI$23</formula>
    </cfRule>
    <cfRule type="cellIs" dxfId="786" priority="369" operator="equal">
      <formula>$AI$22</formula>
    </cfRule>
    <cfRule type="cellIs" dxfId="785" priority="370" operator="equal">
      <formula>$AH$30</formula>
    </cfRule>
    <cfRule type="cellIs" dxfId="784" priority="371" operator="equal">
      <formula>$AH$29</formula>
    </cfRule>
    <cfRule type="cellIs" dxfId="783" priority="372" operator="equal">
      <formula>$AH$28</formula>
    </cfRule>
    <cfRule type="cellIs" dxfId="782" priority="373" operator="equal">
      <formula>$AH$27</formula>
    </cfRule>
    <cfRule type="cellIs" dxfId="781" priority="374" operator="equal">
      <formula>$AH$26</formula>
    </cfRule>
    <cfRule type="cellIs" dxfId="780" priority="375" operator="equal">
      <formula>$AH$25</formula>
    </cfRule>
    <cfRule type="cellIs" dxfId="779" priority="376" operator="equal">
      <formula>$AH$24</formula>
    </cfRule>
    <cfRule type="cellIs" dxfId="778" priority="377" operator="equal">
      <formula>$AH$23</formula>
    </cfRule>
    <cfRule type="cellIs" dxfId="777" priority="378" operator="equal">
      <formula>$AH$22</formula>
    </cfRule>
    <cfRule type="cellIs" dxfId="776" priority="379" operator="equal">
      <formula>$AI$18</formula>
    </cfRule>
    <cfRule type="cellIs" dxfId="775" priority="380" operator="equal">
      <formula>$AI$17</formula>
    </cfRule>
    <cfRule type="cellIs" dxfId="774" priority="381" operator="equal">
      <formula>$AI$16</formula>
    </cfRule>
    <cfRule type="cellIs" dxfId="773" priority="382" operator="equal">
      <formula>$AI$15</formula>
    </cfRule>
    <cfRule type="cellIs" dxfId="772" priority="383" operator="equal">
      <formula>$AI$14</formula>
    </cfRule>
    <cfRule type="cellIs" dxfId="771" priority="384" operator="equal">
      <formula>$AI$13</formula>
    </cfRule>
    <cfRule type="cellIs" dxfId="770" priority="385" operator="equal">
      <formula>$AI$12</formula>
    </cfRule>
    <cfRule type="cellIs" dxfId="769" priority="386" operator="equal">
      <formula>$AI$11</formula>
    </cfRule>
    <cfRule type="cellIs" dxfId="768" priority="387" operator="equal">
      <formula>$AI$10</formula>
    </cfRule>
    <cfRule type="cellIs" dxfId="767" priority="388" operator="equal">
      <formula>$AH$18</formula>
    </cfRule>
    <cfRule type="cellIs" dxfId="766" priority="389" operator="equal">
      <formula>$AH$17</formula>
    </cfRule>
    <cfRule type="cellIs" dxfId="765" priority="390" operator="equal">
      <formula>$AH$16</formula>
    </cfRule>
    <cfRule type="cellIs" dxfId="764" priority="391" operator="equal">
      <formula>$AH$15</formula>
    </cfRule>
    <cfRule type="cellIs" dxfId="763" priority="392" operator="equal">
      <formula>$AH$14</formula>
    </cfRule>
    <cfRule type="cellIs" dxfId="762" priority="393" operator="equal">
      <formula>$AH$13</formula>
    </cfRule>
    <cfRule type="cellIs" dxfId="761" priority="394" operator="equal">
      <formula>$AH$12</formula>
    </cfRule>
    <cfRule type="cellIs" dxfId="760" priority="395" operator="equal">
      <formula>$AH$11</formula>
    </cfRule>
    <cfRule type="cellIs" dxfId="759" priority="396" operator="equal">
      <formula>$AH$10</formula>
    </cfRule>
  </conditionalFormatting>
  <conditionalFormatting sqref="AA9">
    <cfRule type="cellIs" dxfId="758" priority="325" operator="equal">
      <formula>$AI$30</formula>
    </cfRule>
    <cfRule type="cellIs" dxfId="757" priority="326" operator="equal">
      <formula>$AI$29</formula>
    </cfRule>
    <cfRule type="cellIs" dxfId="756" priority="327" operator="equal">
      <formula>$AI$28</formula>
    </cfRule>
    <cfRule type="cellIs" dxfId="755" priority="328" operator="equal">
      <formula>$AI$27</formula>
    </cfRule>
    <cfRule type="cellIs" dxfId="754" priority="329" operator="equal">
      <formula>$AI$26</formula>
    </cfRule>
    <cfRule type="cellIs" dxfId="753" priority="330" operator="equal">
      <formula>$AI$25</formula>
    </cfRule>
    <cfRule type="cellIs" dxfId="752" priority="331" operator="equal">
      <formula>$AI$24</formula>
    </cfRule>
    <cfRule type="cellIs" dxfId="751" priority="332" operator="equal">
      <formula>$AI$23</formula>
    </cfRule>
    <cfRule type="cellIs" dxfId="750" priority="333" operator="equal">
      <formula>$AI$22</formula>
    </cfRule>
    <cfRule type="cellIs" dxfId="749" priority="334" operator="equal">
      <formula>$AH$30</formula>
    </cfRule>
    <cfRule type="cellIs" dxfId="748" priority="335" operator="equal">
      <formula>$AH$29</formula>
    </cfRule>
    <cfRule type="cellIs" dxfId="747" priority="336" operator="equal">
      <formula>$AH$28</formula>
    </cfRule>
    <cfRule type="cellIs" dxfId="746" priority="337" operator="equal">
      <formula>$AH$27</formula>
    </cfRule>
    <cfRule type="cellIs" dxfId="745" priority="338" operator="equal">
      <formula>$AH$26</formula>
    </cfRule>
    <cfRule type="cellIs" dxfId="744" priority="339" operator="equal">
      <formula>$AH$25</formula>
    </cfRule>
    <cfRule type="cellIs" dxfId="743" priority="340" operator="equal">
      <formula>$AH$24</formula>
    </cfRule>
    <cfRule type="cellIs" dxfId="742" priority="341" operator="equal">
      <formula>$AH$23</formula>
    </cfRule>
    <cfRule type="cellIs" dxfId="741" priority="342" operator="equal">
      <formula>$AH$22</formula>
    </cfRule>
    <cfRule type="cellIs" dxfId="740" priority="343" operator="equal">
      <formula>$AI$18</formula>
    </cfRule>
    <cfRule type="cellIs" dxfId="739" priority="344" operator="equal">
      <formula>$AI$17</formula>
    </cfRule>
    <cfRule type="cellIs" dxfId="738" priority="345" operator="equal">
      <formula>$AI$16</formula>
    </cfRule>
    <cfRule type="cellIs" dxfId="737" priority="346" operator="equal">
      <formula>$AI$15</formula>
    </cfRule>
    <cfRule type="cellIs" dxfId="736" priority="347" operator="equal">
      <formula>$AI$14</formula>
    </cfRule>
    <cfRule type="cellIs" dxfId="735" priority="348" operator="equal">
      <formula>$AI$13</formula>
    </cfRule>
    <cfRule type="cellIs" dxfId="734" priority="349" operator="equal">
      <formula>$AI$12</formula>
    </cfRule>
    <cfRule type="cellIs" dxfId="733" priority="350" operator="equal">
      <formula>$AI$11</formula>
    </cfRule>
    <cfRule type="cellIs" dxfId="732" priority="351" operator="equal">
      <formula>$AI$10</formula>
    </cfRule>
    <cfRule type="cellIs" dxfId="731" priority="352" operator="equal">
      <formula>$AH$18</formula>
    </cfRule>
    <cfRule type="cellIs" dxfId="730" priority="353" operator="equal">
      <formula>$AH$17</formula>
    </cfRule>
    <cfRule type="cellIs" dxfId="729" priority="354" operator="equal">
      <formula>$AH$16</formula>
    </cfRule>
    <cfRule type="cellIs" dxfId="728" priority="355" operator="equal">
      <formula>$AH$15</formula>
    </cfRule>
    <cfRule type="cellIs" dxfId="727" priority="356" operator="equal">
      <formula>$AH$14</formula>
    </cfRule>
    <cfRule type="cellIs" dxfId="726" priority="357" operator="equal">
      <formula>$AH$13</formula>
    </cfRule>
    <cfRule type="cellIs" dxfId="725" priority="358" operator="equal">
      <formula>$AH$12</formula>
    </cfRule>
    <cfRule type="cellIs" dxfId="724" priority="359" operator="equal">
      <formula>$AH$11</formula>
    </cfRule>
    <cfRule type="cellIs" dxfId="723" priority="360" operator="equal">
      <formula>$AH$10</formula>
    </cfRule>
  </conditionalFormatting>
  <conditionalFormatting sqref="D19">
    <cfRule type="cellIs" dxfId="722" priority="307" operator="equal">
      <formula>$AF$30</formula>
    </cfRule>
    <cfRule type="cellIs" dxfId="721" priority="308" operator="equal">
      <formula>$AF$29</formula>
    </cfRule>
    <cfRule type="cellIs" dxfId="720" priority="309" operator="equal">
      <formula>$AF$28</formula>
    </cfRule>
    <cfRule type="cellIs" dxfId="719" priority="310" operator="equal">
      <formula>$AF$27</formula>
    </cfRule>
    <cfRule type="cellIs" dxfId="718" priority="311" operator="equal">
      <formula>$AF$26</formula>
    </cfRule>
    <cfRule type="cellIs" dxfId="717" priority="312" operator="equal">
      <formula>$AF$25</formula>
    </cfRule>
    <cfRule type="cellIs" dxfId="716" priority="313" operator="equal">
      <formula>$AF$24</formula>
    </cfRule>
    <cfRule type="cellIs" dxfId="715" priority="314" operator="equal">
      <formula>$AF$23</formula>
    </cfRule>
    <cfRule type="cellIs" dxfId="714" priority="315" operator="equal">
      <formula>$AF$22</formula>
    </cfRule>
    <cfRule type="cellIs" dxfId="713" priority="316" operator="equal">
      <formula>$AF$18</formula>
    </cfRule>
    <cfRule type="cellIs" dxfId="712" priority="317" operator="equal">
      <formula>$AF$17</formula>
    </cfRule>
    <cfRule type="cellIs" dxfId="711" priority="318" operator="equal">
      <formula>$AF$16</formula>
    </cfRule>
    <cfRule type="cellIs" dxfId="710" priority="319" operator="equal">
      <formula>$AF$15</formula>
    </cfRule>
    <cfRule type="cellIs" dxfId="709" priority="320" operator="equal">
      <formula>$AF$14</formula>
    </cfRule>
    <cfRule type="cellIs" dxfId="708" priority="321" operator="equal">
      <formula>$AF$13</formula>
    </cfRule>
    <cfRule type="cellIs" dxfId="707" priority="322" operator="equal">
      <formula>$AF$12</formula>
    </cfRule>
    <cfRule type="cellIs" dxfId="706" priority="323" operator="equal">
      <formula>$AF$11</formula>
    </cfRule>
    <cfRule type="cellIs" dxfId="705" priority="324" operator="equal">
      <formula>$AF$10</formula>
    </cfRule>
  </conditionalFormatting>
  <conditionalFormatting sqref="D19">
    <cfRule type="cellIs" dxfId="704" priority="289" operator="equal">
      <formula>$AG$30</formula>
    </cfRule>
    <cfRule type="cellIs" dxfId="703" priority="290" operator="equal">
      <formula>$AG$29</formula>
    </cfRule>
    <cfRule type="cellIs" dxfId="702" priority="291" operator="equal">
      <formula>$AG$28</formula>
    </cfRule>
    <cfRule type="cellIs" dxfId="701" priority="292" operator="equal">
      <formula>$AG$27</formula>
    </cfRule>
    <cfRule type="cellIs" dxfId="700" priority="293" operator="equal">
      <formula>$AG$26</formula>
    </cfRule>
    <cfRule type="cellIs" dxfId="699" priority="294" operator="equal">
      <formula>$AG$25</formula>
    </cfRule>
    <cfRule type="cellIs" dxfId="698" priority="295" operator="equal">
      <formula>$AG$24</formula>
    </cfRule>
    <cfRule type="cellIs" dxfId="697" priority="296" operator="equal">
      <formula>$AG$23</formula>
    </cfRule>
    <cfRule type="cellIs" dxfId="696" priority="297" operator="equal">
      <formula>$AG$22</formula>
    </cfRule>
    <cfRule type="cellIs" dxfId="695" priority="298" operator="equal">
      <formula>$AG$18</formula>
    </cfRule>
    <cfRule type="cellIs" dxfId="694" priority="299" operator="equal">
      <formula>$AG$17</formula>
    </cfRule>
    <cfRule type="cellIs" dxfId="693" priority="300" operator="equal">
      <formula>$AG$16</formula>
    </cfRule>
    <cfRule type="cellIs" dxfId="692" priority="301" operator="equal">
      <formula>$AG$15</formula>
    </cfRule>
    <cfRule type="cellIs" dxfId="691" priority="302" operator="equal">
      <formula>$AG$14</formula>
    </cfRule>
    <cfRule type="cellIs" dxfId="690" priority="303" operator="equal">
      <formula>$AG$13</formula>
    </cfRule>
    <cfRule type="cellIs" dxfId="689" priority="304" operator="equal">
      <formula>$AG$12</formula>
    </cfRule>
    <cfRule type="cellIs" dxfId="688" priority="305" operator="equal">
      <formula>$AG$11</formula>
    </cfRule>
    <cfRule type="cellIs" dxfId="687" priority="306" operator="equal">
      <formula>$AG$10</formula>
    </cfRule>
  </conditionalFormatting>
  <conditionalFormatting sqref="F19">
    <cfRule type="cellIs" dxfId="686" priority="253" operator="equal">
      <formula>$AI$30</formula>
    </cfRule>
    <cfRule type="cellIs" dxfId="685" priority="254" operator="equal">
      <formula>$AI$29</formula>
    </cfRule>
    <cfRule type="cellIs" dxfId="684" priority="255" operator="equal">
      <formula>$AI$28</formula>
    </cfRule>
    <cfRule type="cellIs" dxfId="683" priority="256" operator="equal">
      <formula>$AI$27</formula>
    </cfRule>
    <cfRule type="cellIs" dxfId="682" priority="257" operator="equal">
      <formula>$AI$26</formula>
    </cfRule>
    <cfRule type="cellIs" dxfId="681" priority="258" operator="equal">
      <formula>$AI$25</formula>
    </cfRule>
    <cfRule type="cellIs" dxfId="680" priority="259" operator="equal">
      <formula>$AI$24</formula>
    </cfRule>
    <cfRule type="cellIs" dxfId="679" priority="260" operator="equal">
      <formula>$AI$23</formula>
    </cfRule>
    <cfRule type="cellIs" dxfId="678" priority="261" operator="equal">
      <formula>$AI$22</formula>
    </cfRule>
    <cfRule type="cellIs" dxfId="677" priority="262" operator="equal">
      <formula>$AH$30</formula>
    </cfRule>
    <cfRule type="cellIs" dxfId="676" priority="263" operator="equal">
      <formula>$AH$29</formula>
    </cfRule>
    <cfRule type="cellIs" dxfId="675" priority="264" operator="equal">
      <formula>$AH$28</formula>
    </cfRule>
    <cfRule type="cellIs" dxfId="674" priority="265" operator="equal">
      <formula>$AH$27</formula>
    </cfRule>
    <cfRule type="cellIs" dxfId="673" priority="266" operator="equal">
      <formula>$AH$26</formula>
    </cfRule>
    <cfRule type="cellIs" dxfId="672" priority="267" operator="equal">
      <formula>$AH$25</formula>
    </cfRule>
    <cfRule type="cellIs" dxfId="671" priority="268" operator="equal">
      <formula>$AH$24</formula>
    </cfRule>
    <cfRule type="cellIs" dxfId="670" priority="269" operator="equal">
      <formula>$AH$23</formula>
    </cfRule>
    <cfRule type="cellIs" dxfId="669" priority="270" operator="equal">
      <formula>$AH$22</formula>
    </cfRule>
    <cfRule type="cellIs" dxfId="668" priority="271" operator="equal">
      <formula>$AI$18</formula>
    </cfRule>
    <cfRule type="cellIs" dxfId="667" priority="272" operator="equal">
      <formula>$AI$17</formula>
    </cfRule>
    <cfRule type="cellIs" dxfId="666" priority="273" operator="equal">
      <formula>$AI$16</formula>
    </cfRule>
    <cfRule type="cellIs" dxfId="665" priority="274" operator="equal">
      <formula>$AI$15</formula>
    </cfRule>
    <cfRule type="cellIs" dxfId="664" priority="275" operator="equal">
      <formula>$AI$14</formula>
    </cfRule>
    <cfRule type="cellIs" dxfId="663" priority="276" operator="equal">
      <formula>$AI$13</formula>
    </cfRule>
    <cfRule type="cellIs" dxfId="662" priority="277" operator="equal">
      <formula>$AI$12</formula>
    </cfRule>
    <cfRule type="cellIs" dxfId="661" priority="278" operator="equal">
      <formula>$AI$11</formula>
    </cfRule>
    <cfRule type="cellIs" dxfId="660" priority="279" operator="equal">
      <formula>$AI$10</formula>
    </cfRule>
    <cfRule type="cellIs" dxfId="659" priority="280" operator="equal">
      <formula>$AH$18</formula>
    </cfRule>
    <cfRule type="cellIs" dxfId="658" priority="281" operator="equal">
      <formula>$AH$17</formula>
    </cfRule>
    <cfRule type="cellIs" dxfId="657" priority="282" operator="equal">
      <formula>$AH$16</formula>
    </cfRule>
    <cfRule type="cellIs" dxfId="656" priority="283" operator="equal">
      <formula>$AH$15</formula>
    </cfRule>
    <cfRule type="cellIs" dxfId="655" priority="284" operator="equal">
      <formula>$AH$14</formula>
    </cfRule>
    <cfRule type="cellIs" dxfId="654" priority="285" operator="equal">
      <formula>$AH$13</formula>
    </cfRule>
    <cfRule type="cellIs" dxfId="653" priority="286" operator="equal">
      <formula>$AH$12</formula>
    </cfRule>
    <cfRule type="cellIs" dxfId="652" priority="287" operator="equal">
      <formula>$AH$11</formula>
    </cfRule>
    <cfRule type="cellIs" dxfId="651" priority="288" operator="equal">
      <formula>$AH$10</formula>
    </cfRule>
  </conditionalFormatting>
  <conditionalFormatting sqref="M14">
    <cfRule type="cellIs" dxfId="650" priority="145" operator="equal">
      <formula>$AI$30</formula>
    </cfRule>
    <cfRule type="cellIs" dxfId="649" priority="146" operator="equal">
      <formula>$AI$29</formula>
    </cfRule>
    <cfRule type="cellIs" dxfId="648" priority="147" operator="equal">
      <formula>$AI$28</formula>
    </cfRule>
    <cfRule type="cellIs" dxfId="647" priority="148" operator="equal">
      <formula>$AI$27</formula>
    </cfRule>
    <cfRule type="cellIs" dxfId="646" priority="149" operator="equal">
      <formula>$AI$26</formula>
    </cfRule>
    <cfRule type="cellIs" dxfId="645" priority="150" operator="equal">
      <formula>$AI$25</formula>
    </cfRule>
    <cfRule type="cellIs" dxfId="644" priority="151" operator="equal">
      <formula>$AI$24</formula>
    </cfRule>
    <cfRule type="cellIs" dxfId="643" priority="152" operator="equal">
      <formula>$AI$23</formula>
    </cfRule>
    <cfRule type="cellIs" dxfId="642" priority="153" operator="equal">
      <formula>$AI$22</formula>
    </cfRule>
    <cfRule type="cellIs" dxfId="641" priority="154" operator="equal">
      <formula>$AH$30</formula>
    </cfRule>
    <cfRule type="cellIs" dxfId="640" priority="155" operator="equal">
      <formula>$AH$29</formula>
    </cfRule>
    <cfRule type="cellIs" dxfId="639" priority="156" operator="equal">
      <formula>$AH$28</formula>
    </cfRule>
    <cfRule type="cellIs" dxfId="638" priority="157" operator="equal">
      <formula>$AH$27</formula>
    </cfRule>
    <cfRule type="cellIs" dxfId="637" priority="158" operator="equal">
      <formula>$AH$26</formula>
    </cfRule>
    <cfRule type="cellIs" dxfId="636" priority="159" operator="equal">
      <formula>$AH$25</formula>
    </cfRule>
    <cfRule type="cellIs" dxfId="635" priority="160" operator="equal">
      <formula>$AH$24</formula>
    </cfRule>
    <cfRule type="cellIs" dxfId="634" priority="161" operator="equal">
      <formula>$AH$23</formula>
    </cfRule>
    <cfRule type="cellIs" dxfId="633" priority="162" operator="equal">
      <formula>$AH$22</formula>
    </cfRule>
    <cfRule type="cellIs" dxfId="632" priority="163" operator="equal">
      <formula>$AI$18</formula>
    </cfRule>
    <cfRule type="cellIs" dxfId="631" priority="164" operator="equal">
      <formula>$AI$17</formula>
    </cfRule>
    <cfRule type="cellIs" dxfId="630" priority="165" operator="equal">
      <formula>$AI$16</formula>
    </cfRule>
    <cfRule type="cellIs" dxfId="629" priority="166" operator="equal">
      <formula>$AI$15</formula>
    </cfRule>
    <cfRule type="cellIs" dxfId="628" priority="167" operator="equal">
      <formula>$AI$14</formula>
    </cfRule>
    <cfRule type="cellIs" dxfId="627" priority="168" operator="equal">
      <formula>$AI$13</formula>
    </cfRule>
    <cfRule type="cellIs" dxfId="626" priority="169" operator="equal">
      <formula>$AI$12</formula>
    </cfRule>
    <cfRule type="cellIs" dxfId="625" priority="170" operator="equal">
      <formula>$AI$11</formula>
    </cfRule>
    <cfRule type="cellIs" dxfId="624" priority="171" operator="equal">
      <formula>$AI$10</formula>
    </cfRule>
    <cfRule type="cellIs" dxfId="623" priority="172" operator="equal">
      <formula>$AH$18</formula>
    </cfRule>
    <cfRule type="cellIs" dxfId="622" priority="173" operator="equal">
      <formula>$AH$17</formula>
    </cfRule>
    <cfRule type="cellIs" dxfId="621" priority="174" operator="equal">
      <formula>$AH$16</formula>
    </cfRule>
    <cfRule type="cellIs" dxfId="620" priority="175" operator="equal">
      <formula>$AH$15</formula>
    </cfRule>
    <cfRule type="cellIs" dxfId="619" priority="176" operator="equal">
      <formula>$AH$14</formula>
    </cfRule>
    <cfRule type="cellIs" dxfId="618" priority="177" operator="equal">
      <formula>$AH$13</formula>
    </cfRule>
    <cfRule type="cellIs" dxfId="617" priority="178" operator="equal">
      <formula>$AH$12</formula>
    </cfRule>
    <cfRule type="cellIs" dxfId="616" priority="179" operator="equal">
      <formula>$AH$11</formula>
    </cfRule>
    <cfRule type="cellIs" dxfId="615" priority="180" operator="equal">
      <formula>$AH$10</formula>
    </cfRule>
  </conditionalFormatting>
  <printOptions horizontalCentered="1" verticalCentered="1"/>
  <pageMargins left="0" right="0" top="0" bottom="0" header="0" footer="0"/>
  <pageSetup paperSize="9" scale="36" orientation="landscape" r:id="rId1"/>
  <colBreaks count="1" manualBreakCount="1">
    <brk id="3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AK192"/>
  <sheetViews>
    <sheetView tabSelected="1" zoomScale="55" zoomScaleNormal="55" zoomScaleSheetLayoutView="55" workbookViewId="0">
      <selection activeCell="R19" sqref="R19"/>
    </sheetView>
  </sheetViews>
  <sheetFormatPr defaultColWidth="10.7109375" defaultRowHeight="26.25" x14ac:dyDescent="0.4"/>
  <cols>
    <col min="1" max="1" width="10.7109375" style="16" customWidth="1"/>
    <col min="2" max="2" width="12.5703125" style="16" customWidth="1"/>
    <col min="3" max="3" width="11.7109375" style="16" customWidth="1"/>
    <col min="4" max="4" width="17.7109375" style="22" customWidth="1"/>
    <col min="5" max="5" width="11.7109375" style="16" customWidth="1"/>
    <col min="6" max="6" width="17.7109375" style="22" customWidth="1"/>
    <col min="7" max="7" width="10.7109375" style="16" customWidth="1"/>
    <col min="8" max="8" width="2.7109375" style="16" customWidth="1"/>
    <col min="9" max="9" width="10.7109375" style="16" customWidth="1"/>
    <col min="10" max="10" width="11.7109375" style="16" customWidth="1"/>
    <col min="11" max="11" width="17.7109375" style="22" customWidth="1"/>
    <col min="12" max="12" width="11.7109375" style="16" customWidth="1"/>
    <col min="13" max="13" width="17.7109375" style="22" customWidth="1"/>
    <col min="14" max="14" width="10.7109375" style="16" customWidth="1"/>
    <col min="15" max="15" width="2.7109375" style="16" customWidth="1"/>
    <col min="16" max="16" width="10.7109375" style="16" customWidth="1"/>
    <col min="17" max="17" width="11.7109375" style="16" customWidth="1"/>
    <col min="18" max="18" width="17.7109375" style="22" customWidth="1"/>
    <col min="19" max="19" width="11.7109375" style="16" customWidth="1"/>
    <col min="20" max="20" width="17.7109375" style="22" customWidth="1"/>
    <col min="21" max="21" width="10.7109375" style="16" customWidth="1"/>
    <col min="22" max="22" width="2.7109375" style="16" customWidth="1"/>
    <col min="23" max="23" width="10.7109375" style="16" customWidth="1"/>
    <col min="24" max="24" width="11.7109375" style="16" customWidth="1"/>
    <col min="25" max="25" width="17.7109375" style="22" customWidth="1"/>
    <col min="26" max="26" width="11.7109375" style="16" customWidth="1"/>
    <col min="27" max="27" width="17.7109375" style="22" customWidth="1"/>
    <col min="28" max="29" width="10.7109375" style="16" customWidth="1"/>
    <col min="30" max="30" width="16.42578125" style="16" customWidth="1"/>
    <col min="31" max="31" width="21.85546875" style="16" customWidth="1"/>
    <col min="32" max="32" width="15" style="16" bestFit="1" customWidth="1"/>
    <col min="33" max="33" width="14.5703125" style="16" customWidth="1"/>
    <col min="34" max="34" width="16.140625" style="16" customWidth="1"/>
    <col min="35" max="35" width="15.85546875" style="16" customWidth="1"/>
    <col min="36" max="36" width="18.28515625" style="16" customWidth="1"/>
    <col min="37" max="37" width="18.5703125" style="16" customWidth="1"/>
    <col min="38" max="184" width="10.7109375" style="16"/>
    <col min="185" max="185" width="10.7109375" style="16" customWidth="1"/>
    <col min="186" max="186" width="11.7109375" style="16" customWidth="1"/>
    <col min="187" max="187" width="17.7109375" style="16" customWidth="1"/>
    <col min="188" max="188" width="11.7109375" style="16" customWidth="1"/>
    <col min="189" max="189" width="17.7109375" style="16" customWidth="1"/>
    <col min="190" max="190" width="10.7109375" style="16" customWidth="1"/>
    <col min="191" max="191" width="2.7109375" style="16" customWidth="1"/>
    <col min="192" max="192" width="10.7109375" style="16" customWidth="1"/>
    <col min="193" max="193" width="11.7109375" style="16" customWidth="1"/>
    <col min="194" max="194" width="17.7109375" style="16" customWidth="1"/>
    <col min="195" max="195" width="11.7109375" style="16" customWidth="1"/>
    <col min="196" max="196" width="17.7109375" style="16" customWidth="1"/>
    <col min="197" max="197" width="10.7109375" style="16" customWidth="1"/>
    <col min="198" max="198" width="2.7109375" style="16" customWidth="1"/>
    <col min="199" max="199" width="10.7109375" style="16" customWidth="1"/>
    <col min="200" max="200" width="11.7109375" style="16" customWidth="1"/>
    <col min="201" max="201" width="17.7109375" style="16" customWidth="1"/>
    <col min="202" max="202" width="11.7109375" style="16" customWidth="1"/>
    <col min="203" max="203" width="17.7109375" style="16" customWidth="1"/>
    <col min="204" max="204" width="10.7109375" style="16" customWidth="1"/>
    <col min="205" max="205" width="2.7109375" style="16" customWidth="1"/>
    <col min="206" max="206" width="10.7109375" style="16" customWidth="1"/>
    <col min="207" max="207" width="11.7109375" style="16" customWidth="1"/>
    <col min="208" max="208" width="17.7109375" style="16" customWidth="1"/>
    <col min="209" max="209" width="11.7109375" style="16" customWidth="1"/>
    <col min="210" max="210" width="17.7109375" style="16" customWidth="1"/>
    <col min="211" max="211" width="10.7109375" style="16" customWidth="1"/>
    <col min="212" max="440" width="10.7109375" style="16"/>
    <col min="441" max="441" width="10.7109375" style="16" customWidth="1"/>
    <col min="442" max="442" width="11.7109375" style="16" customWidth="1"/>
    <col min="443" max="443" width="17.7109375" style="16" customWidth="1"/>
    <col min="444" max="444" width="11.7109375" style="16" customWidth="1"/>
    <col min="445" max="445" width="17.7109375" style="16" customWidth="1"/>
    <col min="446" max="446" width="10.7109375" style="16" customWidth="1"/>
    <col min="447" max="447" width="2.7109375" style="16" customWidth="1"/>
    <col min="448" max="448" width="10.7109375" style="16" customWidth="1"/>
    <col min="449" max="449" width="11.7109375" style="16" customWidth="1"/>
    <col min="450" max="450" width="17.7109375" style="16" customWidth="1"/>
    <col min="451" max="451" width="11.7109375" style="16" customWidth="1"/>
    <col min="452" max="452" width="17.7109375" style="16" customWidth="1"/>
    <col min="453" max="453" width="10.7109375" style="16" customWidth="1"/>
    <col min="454" max="454" width="2.7109375" style="16" customWidth="1"/>
    <col min="455" max="455" width="10.7109375" style="16" customWidth="1"/>
    <col min="456" max="456" width="11.7109375" style="16" customWidth="1"/>
    <col min="457" max="457" width="17.7109375" style="16" customWidth="1"/>
    <col min="458" max="458" width="11.7109375" style="16" customWidth="1"/>
    <col min="459" max="459" width="17.7109375" style="16" customWidth="1"/>
    <col min="460" max="460" width="10.7109375" style="16" customWidth="1"/>
    <col min="461" max="461" width="2.7109375" style="16" customWidth="1"/>
    <col min="462" max="462" width="10.7109375" style="16" customWidth="1"/>
    <col min="463" max="463" width="11.7109375" style="16" customWidth="1"/>
    <col min="464" max="464" width="17.7109375" style="16" customWidth="1"/>
    <col min="465" max="465" width="11.7109375" style="16" customWidth="1"/>
    <col min="466" max="466" width="17.7109375" style="16" customWidth="1"/>
    <col min="467" max="467" width="10.7109375" style="16" customWidth="1"/>
    <col min="468" max="696" width="10.7109375" style="16"/>
    <col min="697" max="697" width="10.7109375" style="16" customWidth="1"/>
    <col min="698" max="698" width="11.7109375" style="16" customWidth="1"/>
    <col min="699" max="699" width="17.7109375" style="16" customWidth="1"/>
    <col min="700" max="700" width="11.7109375" style="16" customWidth="1"/>
    <col min="701" max="701" width="17.7109375" style="16" customWidth="1"/>
    <col min="702" max="702" width="10.7109375" style="16" customWidth="1"/>
    <col min="703" max="703" width="2.7109375" style="16" customWidth="1"/>
    <col min="704" max="704" width="10.7109375" style="16" customWidth="1"/>
    <col min="705" max="705" width="11.7109375" style="16" customWidth="1"/>
    <col min="706" max="706" width="17.7109375" style="16" customWidth="1"/>
    <col min="707" max="707" width="11.7109375" style="16" customWidth="1"/>
    <col min="708" max="708" width="17.7109375" style="16" customWidth="1"/>
    <col min="709" max="709" width="10.7109375" style="16" customWidth="1"/>
    <col min="710" max="710" width="2.7109375" style="16" customWidth="1"/>
    <col min="711" max="711" width="10.7109375" style="16" customWidth="1"/>
    <col min="712" max="712" width="11.7109375" style="16" customWidth="1"/>
    <col min="713" max="713" width="17.7109375" style="16" customWidth="1"/>
    <col min="714" max="714" width="11.7109375" style="16" customWidth="1"/>
    <col min="715" max="715" width="17.7109375" style="16" customWidth="1"/>
    <col min="716" max="716" width="10.7109375" style="16" customWidth="1"/>
    <col min="717" max="717" width="2.7109375" style="16" customWidth="1"/>
    <col min="718" max="718" width="10.7109375" style="16" customWidth="1"/>
    <col min="719" max="719" width="11.7109375" style="16" customWidth="1"/>
    <col min="720" max="720" width="17.7109375" style="16" customWidth="1"/>
    <col min="721" max="721" width="11.7109375" style="16" customWidth="1"/>
    <col min="722" max="722" width="17.7109375" style="16" customWidth="1"/>
    <col min="723" max="723" width="10.7109375" style="16" customWidth="1"/>
    <col min="724" max="952" width="10.7109375" style="16"/>
    <col min="953" max="953" width="10.7109375" style="16" customWidth="1"/>
    <col min="954" max="954" width="11.7109375" style="16" customWidth="1"/>
    <col min="955" max="955" width="17.7109375" style="16" customWidth="1"/>
    <col min="956" max="956" width="11.7109375" style="16" customWidth="1"/>
    <col min="957" max="957" width="17.7109375" style="16" customWidth="1"/>
    <col min="958" max="958" width="10.7109375" style="16" customWidth="1"/>
    <col min="959" max="959" width="2.7109375" style="16" customWidth="1"/>
    <col min="960" max="960" width="10.7109375" style="16" customWidth="1"/>
    <col min="961" max="961" width="11.7109375" style="16" customWidth="1"/>
    <col min="962" max="962" width="17.7109375" style="16" customWidth="1"/>
    <col min="963" max="963" width="11.7109375" style="16" customWidth="1"/>
    <col min="964" max="964" width="17.7109375" style="16" customWidth="1"/>
    <col min="965" max="965" width="10.7109375" style="16" customWidth="1"/>
    <col min="966" max="966" width="2.7109375" style="16" customWidth="1"/>
    <col min="967" max="967" width="10.7109375" style="16" customWidth="1"/>
    <col min="968" max="968" width="11.7109375" style="16" customWidth="1"/>
    <col min="969" max="969" width="17.7109375" style="16" customWidth="1"/>
    <col min="970" max="970" width="11.7109375" style="16" customWidth="1"/>
    <col min="971" max="971" width="17.7109375" style="16" customWidth="1"/>
    <col min="972" max="972" width="10.7109375" style="16" customWidth="1"/>
    <col min="973" max="973" width="2.7109375" style="16" customWidth="1"/>
    <col min="974" max="974" width="10.7109375" style="16" customWidth="1"/>
    <col min="975" max="975" width="11.7109375" style="16" customWidth="1"/>
    <col min="976" max="976" width="17.7109375" style="16" customWidth="1"/>
    <col min="977" max="977" width="11.7109375" style="16" customWidth="1"/>
    <col min="978" max="978" width="17.7109375" style="16" customWidth="1"/>
    <col min="979" max="979" width="10.7109375" style="16" customWidth="1"/>
    <col min="980" max="1208" width="10.7109375" style="16"/>
    <col min="1209" max="1209" width="10.7109375" style="16" customWidth="1"/>
    <col min="1210" max="1210" width="11.7109375" style="16" customWidth="1"/>
    <col min="1211" max="1211" width="17.7109375" style="16" customWidth="1"/>
    <col min="1212" max="1212" width="11.7109375" style="16" customWidth="1"/>
    <col min="1213" max="1213" width="17.7109375" style="16" customWidth="1"/>
    <col min="1214" max="1214" width="10.7109375" style="16" customWidth="1"/>
    <col min="1215" max="1215" width="2.7109375" style="16" customWidth="1"/>
    <col min="1216" max="1216" width="10.7109375" style="16" customWidth="1"/>
    <col min="1217" max="1217" width="11.7109375" style="16" customWidth="1"/>
    <col min="1218" max="1218" width="17.7109375" style="16" customWidth="1"/>
    <col min="1219" max="1219" width="11.7109375" style="16" customWidth="1"/>
    <col min="1220" max="1220" width="17.7109375" style="16" customWidth="1"/>
    <col min="1221" max="1221" width="10.7109375" style="16" customWidth="1"/>
    <col min="1222" max="1222" width="2.7109375" style="16" customWidth="1"/>
    <col min="1223" max="1223" width="10.7109375" style="16" customWidth="1"/>
    <col min="1224" max="1224" width="11.7109375" style="16" customWidth="1"/>
    <col min="1225" max="1225" width="17.7109375" style="16" customWidth="1"/>
    <col min="1226" max="1226" width="11.7109375" style="16" customWidth="1"/>
    <col min="1227" max="1227" width="17.7109375" style="16" customWidth="1"/>
    <col min="1228" max="1228" width="10.7109375" style="16" customWidth="1"/>
    <col min="1229" max="1229" width="2.7109375" style="16" customWidth="1"/>
    <col min="1230" max="1230" width="10.7109375" style="16" customWidth="1"/>
    <col min="1231" max="1231" width="11.7109375" style="16" customWidth="1"/>
    <col min="1232" max="1232" width="17.7109375" style="16" customWidth="1"/>
    <col min="1233" max="1233" width="11.7109375" style="16" customWidth="1"/>
    <col min="1234" max="1234" width="17.7109375" style="16" customWidth="1"/>
    <col min="1235" max="1235" width="10.7109375" style="16" customWidth="1"/>
    <col min="1236" max="1464" width="10.7109375" style="16"/>
    <col min="1465" max="1465" width="10.7109375" style="16" customWidth="1"/>
    <col min="1466" max="1466" width="11.7109375" style="16" customWidth="1"/>
    <col min="1467" max="1467" width="17.7109375" style="16" customWidth="1"/>
    <col min="1468" max="1468" width="11.7109375" style="16" customWidth="1"/>
    <col min="1469" max="1469" width="17.7109375" style="16" customWidth="1"/>
    <col min="1470" max="1470" width="10.7109375" style="16" customWidth="1"/>
    <col min="1471" max="1471" width="2.7109375" style="16" customWidth="1"/>
    <col min="1472" max="1472" width="10.7109375" style="16" customWidth="1"/>
    <col min="1473" max="1473" width="11.7109375" style="16" customWidth="1"/>
    <col min="1474" max="1474" width="17.7109375" style="16" customWidth="1"/>
    <col min="1475" max="1475" width="11.7109375" style="16" customWidth="1"/>
    <col min="1476" max="1476" width="17.7109375" style="16" customWidth="1"/>
    <col min="1477" max="1477" width="10.7109375" style="16" customWidth="1"/>
    <col min="1478" max="1478" width="2.7109375" style="16" customWidth="1"/>
    <col min="1479" max="1479" width="10.7109375" style="16" customWidth="1"/>
    <col min="1480" max="1480" width="11.7109375" style="16" customWidth="1"/>
    <col min="1481" max="1481" width="17.7109375" style="16" customWidth="1"/>
    <col min="1482" max="1482" width="11.7109375" style="16" customWidth="1"/>
    <col min="1483" max="1483" width="17.7109375" style="16" customWidth="1"/>
    <col min="1484" max="1484" width="10.7109375" style="16" customWidth="1"/>
    <col min="1485" max="1485" width="2.7109375" style="16" customWidth="1"/>
    <col min="1486" max="1486" width="10.7109375" style="16" customWidth="1"/>
    <col min="1487" max="1487" width="11.7109375" style="16" customWidth="1"/>
    <col min="1488" max="1488" width="17.7109375" style="16" customWidth="1"/>
    <col min="1489" max="1489" width="11.7109375" style="16" customWidth="1"/>
    <col min="1490" max="1490" width="17.7109375" style="16" customWidth="1"/>
    <col min="1491" max="1491" width="10.7109375" style="16" customWidth="1"/>
    <col min="1492" max="1720" width="10.7109375" style="16"/>
    <col min="1721" max="1721" width="10.7109375" style="16" customWidth="1"/>
    <col min="1722" max="1722" width="11.7109375" style="16" customWidth="1"/>
    <col min="1723" max="1723" width="17.7109375" style="16" customWidth="1"/>
    <col min="1724" max="1724" width="11.7109375" style="16" customWidth="1"/>
    <col min="1725" max="1725" width="17.7109375" style="16" customWidth="1"/>
    <col min="1726" max="1726" width="10.7109375" style="16" customWidth="1"/>
    <col min="1727" max="1727" width="2.7109375" style="16" customWidth="1"/>
    <col min="1728" max="1728" width="10.7109375" style="16" customWidth="1"/>
    <col min="1729" max="1729" width="11.7109375" style="16" customWidth="1"/>
    <col min="1730" max="1730" width="17.7109375" style="16" customWidth="1"/>
    <col min="1731" max="1731" width="11.7109375" style="16" customWidth="1"/>
    <col min="1732" max="1732" width="17.7109375" style="16" customWidth="1"/>
    <col min="1733" max="1733" width="10.7109375" style="16" customWidth="1"/>
    <col min="1734" max="1734" width="2.7109375" style="16" customWidth="1"/>
    <col min="1735" max="1735" width="10.7109375" style="16" customWidth="1"/>
    <col min="1736" max="1736" width="11.7109375" style="16" customWidth="1"/>
    <col min="1737" max="1737" width="17.7109375" style="16" customWidth="1"/>
    <col min="1738" max="1738" width="11.7109375" style="16" customWidth="1"/>
    <col min="1739" max="1739" width="17.7109375" style="16" customWidth="1"/>
    <col min="1740" max="1740" width="10.7109375" style="16" customWidth="1"/>
    <col min="1741" max="1741" width="2.7109375" style="16" customWidth="1"/>
    <col min="1742" max="1742" width="10.7109375" style="16" customWidth="1"/>
    <col min="1743" max="1743" width="11.7109375" style="16" customWidth="1"/>
    <col min="1744" max="1744" width="17.7109375" style="16" customWidth="1"/>
    <col min="1745" max="1745" width="11.7109375" style="16" customWidth="1"/>
    <col min="1746" max="1746" width="17.7109375" style="16" customWidth="1"/>
    <col min="1747" max="1747" width="10.7109375" style="16" customWidth="1"/>
    <col min="1748" max="1976" width="10.7109375" style="16"/>
    <col min="1977" max="1977" width="10.7109375" style="16" customWidth="1"/>
    <col min="1978" max="1978" width="11.7109375" style="16" customWidth="1"/>
    <col min="1979" max="1979" width="17.7109375" style="16" customWidth="1"/>
    <col min="1980" max="1980" width="11.7109375" style="16" customWidth="1"/>
    <col min="1981" max="1981" width="17.7109375" style="16" customWidth="1"/>
    <col min="1982" max="1982" width="10.7109375" style="16" customWidth="1"/>
    <col min="1983" max="1983" width="2.7109375" style="16" customWidth="1"/>
    <col min="1984" max="1984" width="10.7109375" style="16" customWidth="1"/>
    <col min="1985" max="1985" width="11.7109375" style="16" customWidth="1"/>
    <col min="1986" max="1986" width="17.7109375" style="16" customWidth="1"/>
    <col min="1987" max="1987" width="11.7109375" style="16" customWidth="1"/>
    <col min="1988" max="1988" width="17.7109375" style="16" customWidth="1"/>
    <col min="1989" max="1989" width="10.7109375" style="16" customWidth="1"/>
    <col min="1990" max="1990" width="2.7109375" style="16" customWidth="1"/>
    <col min="1991" max="1991" width="10.7109375" style="16" customWidth="1"/>
    <col min="1992" max="1992" width="11.7109375" style="16" customWidth="1"/>
    <col min="1993" max="1993" width="17.7109375" style="16" customWidth="1"/>
    <col min="1994" max="1994" width="11.7109375" style="16" customWidth="1"/>
    <col min="1995" max="1995" width="17.7109375" style="16" customWidth="1"/>
    <col min="1996" max="1996" width="10.7109375" style="16" customWidth="1"/>
    <col min="1997" max="1997" width="2.7109375" style="16" customWidth="1"/>
    <col min="1998" max="1998" width="10.7109375" style="16" customWidth="1"/>
    <col min="1999" max="1999" width="11.7109375" style="16" customWidth="1"/>
    <col min="2000" max="2000" width="17.7109375" style="16" customWidth="1"/>
    <col min="2001" max="2001" width="11.7109375" style="16" customWidth="1"/>
    <col min="2002" max="2002" width="17.7109375" style="16" customWidth="1"/>
    <col min="2003" max="2003" width="10.7109375" style="16" customWidth="1"/>
    <col min="2004" max="2232" width="10.7109375" style="16"/>
    <col min="2233" max="2233" width="10.7109375" style="16" customWidth="1"/>
    <col min="2234" max="2234" width="11.7109375" style="16" customWidth="1"/>
    <col min="2235" max="2235" width="17.7109375" style="16" customWidth="1"/>
    <col min="2236" max="2236" width="11.7109375" style="16" customWidth="1"/>
    <col min="2237" max="2237" width="17.7109375" style="16" customWidth="1"/>
    <col min="2238" max="2238" width="10.7109375" style="16" customWidth="1"/>
    <col min="2239" max="2239" width="2.7109375" style="16" customWidth="1"/>
    <col min="2240" max="2240" width="10.7109375" style="16" customWidth="1"/>
    <col min="2241" max="2241" width="11.7109375" style="16" customWidth="1"/>
    <col min="2242" max="2242" width="17.7109375" style="16" customWidth="1"/>
    <col min="2243" max="2243" width="11.7109375" style="16" customWidth="1"/>
    <col min="2244" max="2244" width="17.7109375" style="16" customWidth="1"/>
    <col min="2245" max="2245" width="10.7109375" style="16" customWidth="1"/>
    <col min="2246" max="2246" width="2.7109375" style="16" customWidth="1"/>
    <col min="2247" max="2247" width="10.7109375" style="16" customWidth="1"/>
    <col min="2248" max="2248" width="11.7109375" style="16" customWidth="1"/>
    <col min="2249" max="2249" width="17.7109375" style="16" customWidth="1"/>
    <col min="2250" max="2250" width="11.7109375" style="16" customWidth="1"/>
    <col min="2251" max="2251" width="17.7109375" style="16" customWidth="1"/>
    <col min="2252" max="2252" width="10.7109375" style="16" customWidth="1"/>
    <col min="2253" max="2253" width="2.7109375" style="16" customWidth="1"/>
    <col min="2254" max="2254" width="10.7109375" style="16" customWidth="1"/>
    <col min="2255" max="2255" width="11.7109375" style="16" customWidth="1"/>
    <col min="2256" max="2256" width="17.7109375" style="16" customWidth="1"/>
    <col min="2257" max="2257" width="11.7109375" style="16" customWidth="1"/>
    <col min="2258" max="2258" width="17.7109375" style="16" customWidth="1"/>
    <col min="2259" max="2259" width="10.7109375" style="16" customWidth="1"/>
    <col min="2260" max="2488" width="10.7109375" style="16"/>
    <col min="2489" max="2489" width="10.7109375" style="16" customWidth="1"/>
    <col min="2490" max="2490" width="11.7109375" style="16" customWidth="1"/>
    <col min="2491" max="2491" width="17.7109375" style="16" customWidth="1"/>
    <col min="2492" max="2492" width="11.7109375" style="16" customWidth="1"/>
    <col min="2493" max="2493" width="17.7109375" style="16" customWidth="1"/>
    <col min="2494" max="2494" width="10.7109375" style="16" customWidth="1"/>
    <col min="2495" max="2495" width="2.7109375" style="16" customWidth="1"/>
    <col min="2496" max="2496" width="10.7109375" style="16" customWidth="1"/>
    <col min="2497" max="2497" width="11.7109375" style="16" customWidth="1"/>
    <col min="2498" max="2498" width="17.7109375" style="16" customWidth="1"/>
    <col min="2499" max="2499" width="11.7109375" style="16" customWidth="1"/>
    <col min="2500" max="2500" width="17.7109375" style="16" customWidth="1"/>
    <col min="2501" max="2501" width="10.7109375" style="16" customWidth="1"/>
    <col min="2502" max="2502" width="2.7109375" style="16" customWidth="1"/>
    <col min="2503" max="2503" width="10.7109375" style="16" customWidth="1"/>
    <col min="2504" max="2504" width="11.7109375" style="16" customWidth="1"/>
    <col min="2505" max="2505" width="17.7109375" style="16" customWidth="1"/>
    <col min="2506" max="2506" width="11.7109375" style="16" customWidth="1"/>
    <col min="2507" max="2507" width="17.7109375" style="16" customWidth="1"/>
    <col min="2508" max="2508" width="10.7109375" style="16" customWidth="1"/>
    <col min="2509" max="2509" width="2.7109375" style="16" customWidth="1"/>
    <col min="2510" max="2510" width="10.7109375" style="16" customWidth="1"/>
    <col min="2511" max="2511" width="11.7109375" style="16" customWidth="1"/>
    <col min="2512" max="2512" width="17.7109375" style="16" customWidth="1"/>
    <col min="2513" max="2513" width="11.7109375" style="16" customWidth="1"/>
    <col min="2514" max="2514" width="17.7109375" style="16" customWidth="1"/>
    <col min="2515" max="2515" width="10.7109375" style="16" customWidth="1"/>
    <col min="2516" max="2744" width="10.7109375" style="16"/>
    <col min="2745" max="2745" width="10.7109375" style="16" customWidth="1"/>
    <col min="2746" max="2746" width="11.7109375" style="16" customWidth="1"/>
    <col min="2747" max="2747" width="17.7109375" style="16" customWidth="1"/>
    <col min="2748" max="2748" width="11.7109375" style="16" customWidth="1"/>
    <col min="2749" max="2749" width="17.7109375" style="16" customWidth="1"/>
    <col min="2750" max="2750" width="10.7109375" style="16" customWidth="1"/>
    <col min="2751" max="2751" width="2.7109375" style="16" customWidth="1"/>
    <col min="2752" max="2752" width="10.7109375" style="16" customWidth="1"/>
    <col min="2753" max="2753" width="11.7109375" style="16" customWidth="1"/>
    <col min="2754" max="2754" width="17.7109375" style="16" customWidth="1"/>
    <col min="2755" max="2755" width="11.7109375" style="16" customWidth="1"/>
    <col min="2756" max="2756" width="17.7109375" style="16" customWidth="1"/>
    <col min="2757" max="2757" width="10.7109375" style="16" customWidth="1"/>
    <col min="2758" max="2758" width="2.7109375" style="16" customWidth="1"/>
    <col min="2759" max="2759" width="10.7109375" style="16" customWidth="1"/>
    <col min="2760" max="2760" width="11.7109375" style="16" customWidth="1"/>
    <col min="2761" max="2761" width="17.7109375" style="16" customWidth="1"/>
    <col min="2762" max="2762" width="11.7109375" style="16" customWidth="1"/>
    <col min="2763" max="2763" width="17.7109375" style="16" customWidth="1"/>
    <col min="2764" max="2764" width="10.7109375" style="16" customWidth="1"/>
    <col min="2765" max="2765" width="2.7109375" style="16" customWidth="1"/>
    <col min="2766" max="2766" width="10.7109375" style="16" customWidth="1"/>
    <col min="2767" max="2767" width="11.7109375" style="16" customWidth="1"/>
    <col min="2768" max="2768" width="17.7109375" style="16" customWidth="1"/>
    <col min="2769" max="2769" width="11.7109375" style="16" customWidth="1"/>
    <col min="2770" max="2770" width="17.7109375" style="16" customWidth="1"/>
    <col min="2771" max="2771" width="10.7109375" style="16" customWidth="1"/>
    <col min="2772" max="3000" width="10.7109375" style="16"/>
    <col min="3001" max="3001" width="10.7109375" style="16" customWidth="1"/>
    <col min="3002" max="3002" width="11.7109375" style="16" customWidth="1"/>
    <col min="3003" max="3003" width="17.7109375" style="16" customWidth="1"/>
    <col min="3004" max="3004" width="11.7109375" style="16" customWidth="1"/>
    <col min="3005" max="3005" width="17.7109375" style="16" customWidth="1"/>
    <col min="3006" max="3006" width="10.7109375" style="16" customWidth="1"/>
    <col min="3007" max="3007" width="2.7109375" style="16" customWidth="1"/>
    <col min="3008" max="3008" width="10.7109375" style="16" customWidth="1"/>
    <col min="3009" max="3009" width="11.7109375" style="16" customWidth="1"/>
    <col min="3010" max="3010" width="17.7109375" style="16" customWidth="1"/>
    <col min="3011" max="3011" width="11.7109375" style="16" customWidth="1"/>
    <col min="3012" max="3012" width="17.7109375" style="16" customWidth="1"/>
    <col min="3013" max="3013" width="10.7109375" style="16" customWidth="1"/>
    <col min="3014" max="3014" width="2.7109375" style="16" customWidth="1"/>
    <col min="3015" max="3015" width="10.7109375" style="16" customWidth="1"/>
    <col min="3016" max="3016" width="11.7109375" style="16" customWidth="1"/>
    <col min="3017" max="3017" width="17.7109375" style="16" customWidth="1"/>
    <col min="3018" max="3018" width="11.7109375" style="16" customWidth="1"/>
    <col min="3019" max="3019" width="17.7109375" style="16" customWidth="1"/>
    <col min="3020" max="3020" width="10.7109375" style="16" customWidth="1"/>
    <col min="3021" max="3021" width="2.7109375" style="16" customWidth="1"/>
    <col min="3022" max="3022" width="10.7109375" style="16" customWidth="1"/>
    <col min="3023" max="3023" width="11.7109375" style="16" customWidth="1"/>
    <col min="3024" max="3024" width="17.7109375" style="16" customWidth="1"/>
    <col min="3025" max="3025" width="11.7109375" style="16" customWidth="1"/>
    <col min="3026" max="3026" width="17.7109375" style="16" customWidth="1"/>
    <col min="3027" max="3027" width="10.7109375" style="16" customWidth="1"/>
    <col min="3028" max="3256" width="10.7109375" style="16"/>
    <col min="3257" max="3257" width="10.7109375" style="16" customWidth="1"/>
    <col min="3258" max="3258" width="11.7109375" style="16" customWidth="1"/>
    <col min="3259" max="3259" width="17.7109375" style="16" customWidth="1"/>
    <col min="3260" max="3260" width="11.7109375" style="16" customWidth="1"/>
    <col min="3261" max="3261" width="17.7109375" style="16" customWidth="1"/>
    <col min="3262" max="3262" width="10.7109375" style="16" customWidth="1"/>
    <col min="3263" max="3263" width="2.7109375" style="16" customWidth="1"/>
    <col min="3264" max="3264" width="10.7109375" style="16" customWidth="1"/>
    <col min="3265" max="3265" width="11.7109375" style="16" customWidth="1"/>
    <col min="3266" max="3266" width="17.7109375" style="16" customWidth="1"/>
    <col min="3267" max="3267" width="11.7109375" style="16" customWidth="1"/>
    <col min="3268" max="3268" width="17.7109375" style="16" customWidth="1"/>
    <col min="3269" max="3269" width="10.7109375" style="16" customWidth="1"/>
    <col min="3270" max="3270" width="2.7109375" style="16" customWidth="1"/>
    <col min="3271" max="3271" width="10.7109375" style="16" customWidth="1"/>
    <col min="3272" max="3272" width="11.7109375" style="16" customWidth="1"/>
    <col min="3273" max="3273" width="17.7109375" style="16" customWidth="1"/>
    <col min="3274" max="3274" width="11.7109375" style="16" customWidth="1"/>
    <col min="3275" max="3275" width="17.7109375" style="16" customWidth="1"/>
    <col min="3276" max="3276" width="10.7109375" style="16" customWidth="1"/>
    <col min="3277" max="3277" width="2.7109375" style="16" customWidth="1"/>
    <col min="3278" max="3278" width="10.7109375" style="16" customWidth="1"/>
    <col min="3279" max="3279" width="11.7109375" style="16" customWidth="1"/>
    <col min="3280" max="3280" width="17.7109375" style="16" customWidth="1"/>
    <col min="3281" max="3281" width="11.7109375" style="16" customWidth="1"/>
    <col min="3282" max="3282" width="17.7109375" style="16" customWidth="1"/>
    <col min="3283" max="3283" width="10.7109375" style="16" customWidth="1"/>
    <col min="3284" max="3512" width="10.7109375" style="16"/>
    <col min="3513" max="3513" width="10.7109375" style="16" customWidth="1"/>
    <col min="3514" max="3514" width="11.7109375" style="16" customWidth="1"/>
    <col min="3515" max="3515" width="17.7109375" style="16" customWidth="1"/>
    <col min="3516" max="3516" width="11.7109375" style="16" customWidth="1"/>
    <col min="3517" max="3517" width="17.7109375" style="16" customWidth="1"/>
    <col min="3518" max="3518" width="10.7109375" style="16" customWidth="1"/>
    <col min="3519" max="3519" width="2.7109375" style="16" customWidth="1"/>
    <col min="3520" max="3520" width="10.7109375" style="16" customWidth="1"/>
    <col min="3521" max="3521" width="11.7109375" style="16" customWidth="1"/>
    <col min="3522" max="3522" width="17.7109375" style="16" customWidth="1"/>
    <col min="3523" max="3523" width="11.7109375" style="16" customWidth="1"/>
    <col min="3524" max="3524" width="17.7109375" style="16" customWidth="1"/>
    <col min="3525" max="3525" width="10.7109375" style="16" customWidth="1"/>
    <col min="3526" max="3526" width="2.7109375" style="16" customWidth="1"/>
    <col min="3527" max="3527" width="10.7109375" style="16" customWidth="1"/>
    <col min="3528" max="3528" width="11.7109375" style="16" customWidth="1"/>
    <col min="3529" max="3529" width="17.7109375" style="16" customWidth="1"/>
    <col min="3530" max="3530" width="11.7109375" style="16" customWidth="1"/>
    <col min="3531" max="3531" width="17.7109375" style="16" customWidth="1"/>
    <col min="3532" max="3532" width="10.7109375" style="16" customWidth="1"/>
    <col min="3533" max="3533" width="2.7109375" style="16" customWidth="1"/>
    <col min="3534" max="3534" width="10.7109375" style="16" customWidth="1"/>
    <col min="3535" max="3535" width="11.7109375" style="16" customWidth="1"/>
    <col min="3536" max="3536" width="17.7109375" style="16" customWidth="1"/>
    <col min="3537" max="3537" width="11.7109375" style="16" customWidth="1"/>
    <col min="3538" max="3538" width="17.7109375" style="16" customWidth="1"/>
    <col min="3539" max="3539" width="10.7109375" style="16" customWidth="1"/>
    <col min="3540" max="3768" width="10.7109375" style="16"/>
    <col min="3769" max="3769" width="10.7109375" style="16" customWidth="1"/>
    <col min="3770" max="3770" width="11.7109375" style="16" customWidth="1"/>
    <col min="3771" max="3771" width="17.7109375" style="16" customWidth="1"/>
    <col min="3772" max="3772" width="11.7109375" style="16" customWidth="1"/>
    <col min="3773" max="3773" width="17.7109375" style="16" customWidth="1"/>
    <col min="3774" max="3774" width="10.7109375" style="16" customWidth="1"/>
    <col min="3775" max="3775" width="2.7109375" style="16" customWidth="1"/>
    <col min="3776" max="3776" width="10.7109375" style="16" customWidth="1"/>
    <col min="3777" max="3777" width="11.7109375" style="16" customWidth="1"/>
    <col min="3778" max="3778" width="17.7109375" style="16" customWidth="1"/>
    <col min="3779" max="3779" width="11.7109375" style="16" customWidth="1"/>
    <col min="3780" max="3780" width="17.7109375" style="16" customWidth="1"/>
    <col min="3781" max="3781" width="10.7109375" style="16" customWidth="1"/>
    <col min="3782" max="3782" width="2.7109375" style="16" customWidth="1"/>
    <col min="3783" max="3783" width="10.7109375" style="16" customWidth="1"/>
    <col min="3784" max="3784" width="11.7109375" style="16" customWidth="1"/>
    <col min="3785" max="3785" width="17.7109375" style="16" customWidth="1"/>
    <col min="3786" max="3786" width="11.7109375" style="16" customWidth="1"/>
    <col min="3787" max="3787" width="17.7109375" style="16" customWidth="1"/>
    <col min="3788" max="3788" width="10.7109375" style="16" customWidth="1"/>
    <col min="3789" max="3789" width="2.7109375" style="16" customWidth="1"/>
    <col min="3790" max="3790" width="10.7109375" style="16" customWidth="1"/>
    <col min="3791" max="3791" width="11.7109375" style="16" customWidth="1"/>
    <col min="3792" max="3792" width="17.7109375" style="16" customWidth="1"/>
    <col min="3793" max="3793" width="11.7109375" style="16" customWidth="1"/>
    <col min="3794" max="3794" width="17.7109375" style="16" customWidth="1"/>
    <col min="3795" max="3795" width="10.7109375" style="16" customWidth="1"/>
    <col min="3796" max="4024" width="10.7109375" style="16"/>
    <col min="4025" max="4025" width="10.7109375" style="16" customWidth="1"/>
    <col min="4026" max="4026" width="11.7109375" style="16" customWidth="1"/>
    <col min="4027" max="4027" width="17.7109375" style="16" customWidth="1"/>
    <col min="4028" max="4028" width="11.7109375" style="16" customWidth="1"/>
    <col min="4029" max="4029" width="17.7109375" style="16" customWidth="1"/>
    <col min="4030" max="4030" width="10.7109375" style="16" customWidth="1"/>
    <col min="4031" max="4031" width="2.7109375" style="16" customWidth="1"/>
    <col min="4032" max="4032" width="10.7109375" style="16" customWidth="1"/>
    <col min="4033" max="4033" width="11.7109375" style="16" customWidth="1"/>
    <col min="4034" max="4034" width="17.7109375" style="16" customWidth="1"/>
    <col min="4035" max="4035" width="11.7109375" style="16" customWidth="1"/>
    <col min="4036" max="4036" width="17.7109375" style="16" customWidth="1"/>
    <col min="4037" max="4037" width="10.7109375" style="16" customWidth="1"/>
    <col min="4038" max="4038" width="2.7109375" style="16" customWidth="1"/>
    <col min="4039" max="4039" width="10.7109375" style="16" customWidth="1"/>
    <col min="4040" max="4040" width="11.7109375" style="16" customWidth="1"/>
    <col min="4041" max="4041" width="17.7109375" style="16" customWidth="1"/>
    <col min="4042" max="4042" width="11.7109375" style="16" customWidth="1"/>
    <col min="4043" max="4043" width="17.7109375" style="16" customWidth="1"/>
    <col min="4044" max="4044" width="10.7109375" style="16" customWidth="1"/>
    <col min="4045" max="4045" width="2.7109375" style="16" customWidth="1"/>
    <col min="4046" max="4046" width="10.7109375" style="16" customWidth="1"/>
    <col min="4047" max="4047" width="11.7109375" style="16" customWidth="1"/>
    <col min="4048" max="4048" width="17.7109375" style="16" customWidth="1"/>
    <col min="4049" max="4049" width="11.7109375" style="16" customWidth="1"/>
    <col min="4050" max="4050" width="17.7109375" style="16" customWidth="1"/>
    <col min="4051" max="4051" width="10.7109375" style="16" customWidth="1"/>
    <col min="4052" max="4280" width="10.7109375" style="16"/>
    <col min="4281" max="4281" width="10.7109375" style="16" customWidth="1"/>
    <col min="4282" max="4282" width="11.7109375" style="16" customWidth="1"/>
    <col min="4283" max="4283" width="17.7109375" style="16" customWidth="1"/>
    <col min="4284" max="4284" width="11.7109375" style="16" customWidth="1"/>
    <col min="4285" max="4285" width="17.7109375" style="16" customWidth="1"/>
    <col min="4286" max="4286" width="10.7109375" style="16" customWidth="1"/>
    <col min="4287" max="4287" width="2.7109375" style="16" customWidth="1"/>
    <col min="4288" max="4288" width="10.7109375" style="16" customWidth="1"/>
    <col min="4289" max="4289" width="11.7109375" style="16" customWidth="1"/>
    <col min="4290" max="4290" width="17.7109375" style="16" customWidth="1"/>
    <col min="4291" max="4291" width="11.7109375" style="16" customWidth="1"/>
    <col min="4292" max="4292" width="17.7109375" style="16" customWidth="1"/>
    <col min="4293" max="4293" width="10.7109375" style="16" customWidth="1"/>
    <col min="4294" max="4294" width="2.7109375" style="16" customWidth="1"/>
    <col min="4295" max="4295" width="10.7109375" style="16" customWidth="1"/>
    <col min="4296" max="4296" width="11.7109375" style="16" customWidth="1"/>
    <col min="4297" max="4297" width="17.7109375" style="16" customWidth="1"/>
    <col min="4298" max="4298" width="11.7109375" style="16" customWidth="1"/>
    <col min="4299" max="4299" width="17.7109375" style="16" customWidth="1"/>
    <col min="4300" max="4300" width="10.7109375" style="16" customWidth="1"/>
    <col min="4301" max="4301" width="2.7109375" style="16" customWidth="1"/>
    <col min="4302" max="4302" width="10.7109375" style="16" customWidth="1"/>
    <col min="4303" max="4303" width="11.7109375" style="16" customWidth="1"/>
    <col min="4304" max="4304" width="17.7109375" style="16" customWidth="1"/>
    <col min="4305" max="4305" width="11.7109375" style="16" customWidth="1"/>
    <col min="4306" max="4306" width="17.7109375" style="16" customWidth="1"/>
    <col min="4307" max="4307" width="10.7109375" style="16" customWidth="1"/>
    <col min="4308" max="4536" width="10.7109375" style="16"/>
    <col min="4537" max="4537" width="10.7109375" style="16" customWidth="1"/>
    <col min="4538" max="4538" width="11.7109375" style="16" customWidth="1"/>
    <col min="4539" max="4539" width="17.7109375" style="16" customWidth="1"/>
    <col min="4540" max="4540" width="11.7109375" style="16" customWidth="1"/>
    <col min="4541" max="4541" width="17.7109375" style="16" customWidth="1"/>
    <col min="4542" max="4542" width="10.7109375" style="16" customWidth="1"/>
    <col min="4543" max="4543" width="2.7109375" style="16" customWidth="1"/>
    <col min="4544" max="4544" width="10.7109375" style="16" customWidth="1"/>
    <col min="4545" max="4545" width="11.7109375" style="16" customWidth="1"/>
    <col min="4546" max="4546" width="17.7109375" style="16" customWidth="1"/>
    <col min="4547" max="4547" width="11.7109375" style="16" customWidth="1"/>
    <col min="4548" max="4548" width="17.7109375" style="16" customWidth="1"/>
    <col min="4549" max="4549" width="10.7109375" style="16" customWidth="1"/>
    <col min="4550" max="4550" width="2.7109375" style="16" customWidth="1"/>
    <col min="4551" max="4551" width="10.7109375" style="16" customWidth="1"/>
    <col min="4552" max="4552" width="11.7109375" style="16" customWidth="1"/>
    <col min="4553" max="4553" width="17.7109375" style="16" customWidth="1"/>
    <col min="4554" max="4554" width="11.7109375" style="16" customWidth="1"/>
    <col min="4555" max="4555" width="17.7109375" style="16" customWidth="1"/>
    <col min="4556" max="4556" width="10.7109375" style="16" customWidth="1"/>
    <col min="4557" max="4557" width="2.7109375" style="16" customWidth="1"/>
    <col min="4558" max="4558" width="10.7109375" style="16" customWidth="1"/>
    <col min="4559" max="4559" width="11.7109375" style="16" customWidth="1"/>
    <col min="4560" max="4560" width="17.7109375" style="16" customWidth="1"/>
    <col min="4561" max="4561" width="11.7109375" style="16" customWidth="1"/>
    <col min="4562" max="4562" width="17.7109375" style="16" customWidth="1"/>
    <col min="4563" max="4563" width="10.7109375" style="16" customWidth="1"/>
    <col min="4564" max="4792" width="10.7109375" style="16"/>
    <col min="4793" max="4793" width="10.7109375" style="16" customWidth="1"/>
    <col min="4794" max="4794" width="11.7109375" style="16" customWidth="1"/>
    <col min="4795" max="4795" width="17.7109375" style="16" customWidth="1"/>
    <col min="4796" max="4796" width="11.7109375" style="16" customWidth="1"/>
    <col min="4797" max="4797" width="17.7109375" style="16" customWidth="1"/>
    <col min="4798" max="4798" width="10.7109375" style="16" customWidth="1"/>
    <col min="4799" max="4799" width="2.7109375" style="16" customWidth="1"/>
    <col min="4800" max="4800" width="10.7109375" style="16" customWidth="1"/>
    <col min="4801" max="4801" width="11.7109375" style="16" customWidth="1"/>
    <col min="4802" max="4802" width="17.7109375" style="16" customWidth="1"/>
    <col min="4803" max="4803" width="11.7109375" style="16" customWidth="1"/>
    <col min="4804" max="4804" width="17.7109375" style="16" customWidth="1"/>
    <col min="4805" max="4805" width="10.7109375" style="16" customWidth="1"/>
    <col min="4806" max="4806" width="2.7109375" style="16" customWidth="1"/>
    <col min="4807" max="4807" width="10.7109375" style="16" customWidth="1"/>
    <col min="4808" max="4808" width="11.7109375" style="16" customWidth="1"/>
    <col min="4809" max="4809" width="17.7109375" style="16" customWidth="1"/>
    <col min="4810" max="4810" width="11.7109375" style="16" customWidth="1"/>
    <col min="4811" max="4811" width="17.7109375" style="16" customWidth="1"/>
    <col min="4812" max="4812" width="10.7109375" style="16" customWidth="1"/>
    <col min="4813" max="4813" width="2.7109375" style="16" customWidth="1"/>
    <col min="4814" max="4814" width="10.7109375" style="16" customWidth="1"/>
    <col min="4815" max="4815" width="11.7109375" style="16" customWidth="1"/>
    <col min="4816" max="4816" width="17.7109375" style="16" customWidth="1"/>
    <col min="4817" max="4817" width="11.7109375" style="16" customWidth="1"/>
    <col min="4818" max="4818" width="17.7109375" style="16" customWidth="1"/>
    <col min="4819" max="4819" width="10.7109375" style="16" customWidth="1"/>
    <col min="4820" max="5048" width="10.7109375" style="16"/>
    <col min="5049" max="5049" width="10.7109375" style="16" customWidth="1"/>
    <col min="5050" max="5050" width="11.7109375" style="16" customWidth="1"/>
    <col min="5051" max="5051" width="17.7109375" style="16" customWidth="1"/>
    <col min="5052" max="5052" width="11.7109375" style="16" customWidth="1"/>
    <col min="5053" max="5053" width="17.7109375" style="16" customWidth="1"/>
    <col min="5054" max="5054" width="10.7109375" style="16" customWidth="1"/>
    <col min="5055" max="5055" width="2.7109375" style="16" customWidth="1"/>
    <col min="5056" max="5056" width="10.7109375" style="16" customWidth="1"/>
    <col min="5057" max="5057" width="11.7109375" style="16" customWidth="1"/>
    <col min="5058" max="5058" width="17.7109375" style="16" customWidth="1"/>
    <col min="5059" max="5059" width="11.7109375" style="16" customWidth="1"/>
    <col min="5060" max="5060" width="17.7109375" style="16" customWidth="1"/>
    <col min="5061" max="5061" width="10.7109375" style="16" customWidth="1"/>
    <col min="5062" max="5062" width="2.7109375" style="16" customWidth="1"/>
    <col min="5063" max="5063" width="10.7109375" style="16" customWidth="1"/>
    <col min="5064" max="5064" width="11.7109375" style="16" customWidth="1"/>
    <col min="5065" max="5065" width="17.7109375" style="16" customWidth="1"/>
    <col min="5066" max="5066" width="11.7109375" style="16" customWidth="1"/>
    <col min="5067" max="5067" width="17.7109375" style="16" customWidth="1"/>
    <col min="5068" max="5068" width="10.7109375" style="16" customWidth="1"/>
    <col min="5069" max="5069" width="2.7109375" style="16" customWidth="1"/>
    <col min="5070" max="5070" width="10.7109375" style="16" customWidth="1"/>
    <col min="5071" max="5071" width="11.7109375" style="16" customWidth="1"/>
    <col min="5072" max="5072" width="17.7109375" style="16" customWidth="1"/>
    <col min="5073" max="5073" width="11.7109375" style="16" customWidth="1"/>
    <col min="5074" max="5074" width="17.7109375" style="16" customWidth="1"/>
    <col min="5075" max="5075" width="10.7109375" style="16" customWidth="1"/>
    <col min="5076" max="5304" width="10.7109375" style="16"/>
    <col min="5305" max="5305" width="10.7109375" style="16" customWidth="1"/>
    <col min="5306" max="5306" width="11.7109375" style="16" customWidth="1"/>
    <col min="5307" max="5307" width="17.7109375" style="16" customWidth="1"/>
    <col min="5308" max="5308" width="11.7109375" style="16" customWidth="1"/>
    <col min="5309" max="5309" width="17.7109375" style="16" customWidth="1"/>
    <col min="5310" max="5310" width="10.7109375" style="16" customWidth="1"/>
    <col min="5311" max="5311" width="2.7109375" style="16" customWidth="1"/>
    <col min="5312" max="5312" width="10.7109375" style="16" customWidth="1"/>
    <col min="5313" max="5313" width="11.7109375" style="16" customWidth="1"/>
    <col min="5314" max="5314" width="17.7109375" style="16" customWidth="1"/>
    <col min="5315" max="5315" width="11.7109375" style="16" customWidth="1"/>
    <col min="5316" max="5316" width="17.7109375" style="16" customWidth="1"/>
    <col min="5317" max="5317" width="10.7109375" style="16" customWidth="1"/>
    <col min="5318" max="5318" width="2.7109375" style="16" customWidth="1"/>
    <col min="5319" max="5319" width="10.7109375" style="16" customWidth="1"/>
    <col min="5320" max="5320" width="11.7109375" style="16" customWidth="1"/>
    <col min="5321" max="5321" width="17.7109375" style="16" customWidth="1"/>
    <col min="5322" max="5322" width="11.7109375" style="16" customWidth="1"/>
    <col min="5323" max="5323" width="17.7109375" style="16" customWidth="1"/>
    <col min="5324" max="5324" width="10.7109375" style="16" customWidth="1"/>
    <col min="5325" max="5325" width="2.7109375" style="16" customWidth="1"/>
    <col min="5326" max="5326" width="10.7109375" style="16" customWidth="1"/>
    <col min="5327" max="5327" width="11.7109375" style="16" customWidth="1"/>
    <col min="5328" max="5328" width="17.7109375" style="16" customWidth="1"/>
    <col min="5329" max="5329" width="11.7109375" style="16" customWidth="1"/>
    <col min="5330" max="5330" width="17.7109375" style="16" customWidth="1"/>
    <col min="5331" max="5331" width="10.7109375" style="16" customWidth="1"/>
    <col min="5332" max="5560" width="10.7109375" style="16"/>
    <col min="5561" max="5561" width="10.7109375" style="16" customWidth="1"/>
    <col min="5562" max="5562" width="11.7109375" style="16" customWidth="1"/>
    <col min="5563" max="5563" width="17.7109375" style="16" customWidth="1"/>
    <col min="5564" max="5564" width="11.7109375" style="16" customWidth="1"/>
    <col min="5565" max="5565" width="17.7109375" style="16" customWidth="1"/>
    <col min="5566" max="5566" width="10.7109375" style="16" customWidth="1"/>
    <col min="5567" max="5567" width="2.7109375" style="16" customWidth="1"/>
    <col min="5568" max="5568" width="10.7109375" style="16" customWidth="1"/>
    <col min="5569" max="5569" width="11.7109375" style="16" customWidth="1"/>
    <col min="5570" max="5570" width="17.7109375" style="16" customWidth="1"/>
    <col min="5571" max="5571" width="11.7109375" style="16" customWidth="1"/>
    <col min="5572" max="5572" width="17.7109375" style="16" customWidth="1"/>
    <col min="5573" max="5573" width="10.7109375" style="16" customWidth="1"/>
    <col min="5574" max="5574" width="2.7109375" style="16" customWidth="1"/>
    <col min="5575" max="5575" width="10.7109375" style="16" customWidth="1"/>
    <col min="5576" max="5576" width="11.7109375" style="16" customWidth="1"/>
    <col min="5577" max="5577" width="17.7109375" style="16" customWidth="1"/>
    <col min="5578" max="5578" width="11.7109375" style="16" customWidth="1"/>
    <col min="5579" max="5579" width="17.7109375" style="16" customWidth="1"/>
    <col min="5580" max="5580" width="10.7109375" style="16" customWidth="1"/>
    <col min="5581" max="5581" width="2.7109375" style="16" customWidth="1"/>
    <col min="5582" max="5582" width="10.7109375" style="16" customWidth="1"/>
    <col min="5583" max="5583" width="11.7109375" style="16" customWidth="1"/>
    <col min="5584" max="5584" width="17.7109375" style="16" customWidth="1"/>
    <col min="5585" max="5585" width="11.7109375" style="16" customWidth="1"/>
    <col min="5586" max="5586" width="17.7109375" style="16" customWidth="1"/>
    <col min="5587" max="5587" width="10.7109375" style="16" customWidth="1"/>
    <col min="5588" max="5816" width="10.7109375" style="16"/>
    <col min="5817" max="5817" width="10.7109375" style="16" customWidth="1"/>
    <col min="5818" max="5818" width="11.7109375" style="16" customWidth="1"/>
    <col min="5819" max="5819" width="17.7109375" style="16" customWidth="1"/>
    <col min="5820" max="5820" width="11.7109375" style="16" customWidth="1"/>
    <col min="5821" max="5821" width="17.7109375" style="16" customWidth="1"/>
    <col min="5822" max="5822" width="10.7109375" style="16" customWidth="1"/>
    <col min="5823" max="5823" width="2.7109375" style="16" customWidth="1"/>
    <col min="5824" max="5824" width="10.7109375" style="16" customWidth="1"/>
    <col min="5825" max="5825" width="11.7109375" style="16" customWidth="1"/>
    <col min="5826" max="5826" width="17.7109375" style="16" customWidth="1"/>
    <col min="5827" max="5827" width="11.7109375" style="16" customWidth="1"/>
    <col min="5828" max="5828" width="17.7109375" style="16" customWidth="1"/>
    <col min="5829" max="5829" width="10.7109375" style="16" customWidth="1"/>
    <col min="5830" max="5830" width="2.7109375" style="16" customWidth="1"/>
    <col min="5831" max="5831" width="10.7109375" style="16" customWidth="1"/>
    <col min="5832" max="5832" width="11.7109375" style="16" customWidth="1"/>
    <col min="5833" max="5833" width="17.7109375" style="16" customWidth="1"/>
    <col min="5834" max="5834" width="11.7109375" style="16" customWidth="1"/>
    <col min="5835" max="5835" width="17.7109375" style="16" customWidth="1"/>
    <col min="5836" max="5836" width="10.7109375" style="16" customWidth="1"/>
    <col min="5837" max="5837" width="2.7109375" style="16" customWidth="1"/>
    <col min="5838" max="5838" width="10.7109375" style="16" customWidth="1"/>
    <col min="5839" max="5839" width="11.7109375" style="16" customWidth="1"/>
    <col min="5840" max="5840" width="17.7109375" style="16" customWidth="1"/>
    <col min="5841" max="5841" width="11.7109375" style="16" customWidth="1"/>
    <col min="5842" max="5842" width="17.7109375" style="16" customWidth="1"/>
    <col min="5843" max="5843" width="10.7109375" style="16" customWidth="1"/>
    <col min="5844" max="6072" width="10.7109375" style="16"/>
    <col min="6073" max="6073" width="10.7109375" style="16" customWidth="1"/>
    <col min="6074" max="6074" width="11.7109375" style="16" customWidth="1"/>
    <col min="6075" max="6075" width="17.7109375" style="16" customWidth="1"/>
    <col min="6076" max="6076" width="11.7109375" style="16" customWidth="1"/>
    <col min="6077" max="6077" width="17.7109375" style="16" customWidth="1"/>
    <col min="6078" max="6078" width="10.7109375" style="16" customWidth="1"/>
    <col min="6079" max="6079" width="2.7109375" style="16" customWidth="1"/>
    <col min="6080" max="6080" width="10.7109375" style="16" customWidth="1"/>
    <col min="6081" max="6081" width="11.7109375" style="16" customWidth="1"/>
    <col min="6082" max="6082" width="17.7109375" style="16" customWidth="1"/>
    <col min="6083" max="6083" width="11.7109375" style="16" customWidth="1"/>
    <col min="6084" max="6084" width="17.7109375" style="16" customWidth="1"/>
    <col min="6085" max="6085" width="10.7109375" style="16" customWidth="1"/>
    <col min="6086" max="6086" width="2.7109375" style="16" customWidth="1"/>
    <col min="6087" max="6087" width="10.7109375" style="16" customWidth="1"/>
    <col min="6088" max="6088" width="11.7109375" style="16" customWidth="1"/>
    <col min="6089" max="6089" width="17.7109375" style="16" customWidth="1"/>
    <col min="6090" max="6090" width="11.7109375" style="16" customWidth="1"/>
    <col min="6091" max="6091" width="17.7109375" style="16" customWidth="1"/>
    <col min="6092" max="6092" width="10.7109375" style="16" customWidth="1"/>
    <col min="6093" max="6093" width="2.7109375" style="16" customWidth="1"/>
    <col min="6094" max="6094" width="10.7109375" style="16" customWidth="1"/>
    <col min="6095" max="6095" width="11.7109375" style="16" customWidth="1"/>
    <col min="6096" max="6096" width="17.7109375" style="16" customWidth="1"/>
    <col min="6097" max="6097" width="11.7109375" style="16" customWidth="1"/>
    <col min="6098" max="6098" width="17.7109375" style="16" customWidth="1"/>
    <col min="6099" max="6099" width="10.7109375" style="16" customWidth="1"/>
    <col min="6100" max="6328" width="10.7109375" style="16"/>
    <col min="6329" max="6329" width="10.7109375" style="16" customWidth="1"/>
    <col min="6330" max="6330" width="11.7109375" style="16" customWidth="1"/>
    <col min="6331" max="6331" width="17.7109375" style="16" customWidth="1"/>
    <col min="6332" max="6332" width="11.7109375" style="16" customWidth="1"/>
    <col min="6333" max="6333" width="17.7109375" style="16" customWidth="1"/>
    <col min="6334" max="6334" width="10.7109375" style="16" customWidth="1"/>
    <col min="6335" max="6335" width="2.7109375" style="16" customWidth="1"/>
    <col min="6336" max="6336" width="10.7109375" style="16" customWidth="1"/>
    <col min="6337" max="6337" width="11.7109375" style="16" customWidth="1"/>
    <col min="6338" max="6338" width="17.7109375" style="16" customWidth="1"/>
    <col min="6339" max="6339" width="11.7109375" style="16" customWidth="1"/>
    <col min="6340" max="6340" width="17.7109375" style="16" customWidth="1"/>
    <col min="6341" max="6341" width="10.7109375" style="16" customWidth="1"/>
    <col min="6342" max="6342" width="2.7109375" style="16" customWidth="1"/>
    <col min="6343" max="6343" width="10.7109375" style="16" customWidth="1"/>
    <col min="6344" max="6344" width="11.7109375" style="16" customWidth="1"/>
    <col min="6345" max="6345" width="17.7109375" style="16" customWidth="1"/>
    <col min="6346" max="6346" width="11.7109375" style="16" customWidth="1"/>
    <col min="6347" max="6347" width="17.7109375" style="16" customWidth="1"/>
    <col min="6348" max="6348" width="10.7109375" style="16" customWidth="1"/>
    <col min="6349" max="6349" width="2.7109375" style="16" customWidth="1"/>
    <col min="6350" max="6350" width="10.7109375" style="16" customWidth="1"/>
    <col min="6351" max="6351" width="11.7109375" style="16" customWidth="1"/>
    <col min="6352" max="6352" width="17.7109375" style="16" customWidth="1"/>
    <col min="6353" max="6353" width="11.7109375" style="16" customWidth="1"/>
    <col min="6354" max="6354" width="17.7109375" style="16" customWidth="1"/>
    <col min="6355" max="6355" width="10.7109375" style="16" customWidth="1"/>
    <col min="6356" max="6584" width="10.7109375" style="16"/>
    <col min="6585" max="6585" width="10.7109375" style="16" customWidth="1"/>
    <col min="6586" max="6586" width="11.7109375" style="16" customWidth="1"/>
    <col min="6587" max="6587" width="17.7109375" style="16" customWidth="1"/>
    <col min="6588" max="6588" width="11.7109375" style="16" customWidth="1"/>
    <col min="6589" max="6589" width="17.7109375" style="16" customWidth="1"/>
    <col min="6590" max="6590" width="10.7109375" style="16" customWidth="1"/>
    <col min="6591" max="6591" width="2.7109375" style="16" customWidth="1"/>
    <col min="6592" max="6592" width="10.7109375" style="16" customWidth="1"/>
    <col min="6593" max="6593" width="11.7109375" style="16" customWidth="1"/>
    <col min="6594" max="6594" width="17.7109375" style="16" customWidth="1"/>
    <col min="6595" max="6595" width="11.7109375" style="16" customWidth="1"/>
    <col min="6596" max="6596" width="17.7109375" style="16" customWidth="1"/>
    <col min="6597" max="6597" width="10.7109375" style="16" customWidth="1"/>
    <col min="6598" max="6598" width="2.7109375" style="16" customWidth="1"/>
    <col min="6599" max="6599" width="10.7109375" style="16" customWidth="1"/>
    <col min="6600" max="6600" width="11.7109375" style="16" customWidth="1"/>
    <col min="6601" max="6601" width="17.7109375" style="16" customWidth="1"/>
    <col min="6602" max="6602" width="11.7109375" style="16" customWidth="1"/>
    <col min="6603" max="6603" width="17.7109375" style="16" customWidth="1"/>
    <col min="6604" max="6604" width="10.7109375" style="16" customWidth="1"/>
    <col min="6605" max="6605" width="2.7109375" style="16" customWidth="1"/>
    <col min="6606" max="6606" width="10.7109375" style="16" customWidth="1"/>
    <col min="6607" max="6607" width="11.7109375" style="16" customWidth="1"/>
    <col min="6608" max="6608" width="17.7109375" style="16" customWidth="1"/>
    <col min="6609" max="6609" width="11.7109375" style="16" customWidth="1"/>
    <col min="6610" max="6610" width="17.7109375" style="16" customWidth="1"/>
    <col min="6611" max="6611" width="10.7109375" style="16" customWidth="1"/>
    <col min="6612" max="6840" width="10.7109375" style="16"/>
    <col min="6841" max="6841" width="10.7109375" style="16" customWidth="1"/>
    <col min="6842" max="6842" width="11.7109375" style="16" customWidth="1"/>
    <col min="6843" max="6843" width="17.7109375" style="16" customWidth="1"/>
    <col min="6844" max="6844" width="11.7109375" style="16" customWidth="1"/>
    <col min="6845" max="6845" width="17.7109375" style="16" customWidth="1"/>
    <col min="6846" max="6846" width="10.7109375" style="16" customWidth="1"/>
    <col min="6847" max="6847" width="2.7109375" style="16" customWidth="1"/>
    <col min="6848" max="6848" width="10.7109375" style="16" customWidth="1"/>
    <col min="6849" max="6849" width="11.7109375" style="16" customWidth="1"/>
    <col min="6850" max="6850" width="17.7109375" style="16" customWidth="1"/>
    <col min="6851" max="6851" width="11.7109375" style="16" customWidth="1"/>
    <col min="6852" max="6852" width="17.7109375" style="16" customWidth="1"/>
    <col min="6853" max="6853" width="10.7109375" style="16" customWidth="1"/>
    <col min="6854" max="6854" width="2.7109375" style="16" customWidth="1"/>
    <col min="6855" max="6855" width="10.7109375" style="16" customWidth="1"/>
    <col min="6856" max="6856" width="11.7109375" style="16" customWidth="1"/>
    <col min="6857" max="6857" width="17.7109375" style="16" customWidth="1"/>
    <col min="6858" max="6858" width="11.7109375" style="16" customWidth="1"/>
    <col min="6859" max="6859" width="17.7109375" style="16" customWidth="1"/>
    <col min="6860" max="6860" width="10.7109375" style="16" customWidth="1"/>
    <col min="6861" max="6861" width="2.7109375" style="16" customWidth="1"/>
    <col min="6862" max="6862" width="10.7109375" style="16" customWidth="1"/>
    <col min="6863" max="6863" width="11.7109375" style="16" customWidth="1"/>
    <col min="6864" max="6864" width="17.7109375" style="16" customWidth="1"/>
    <col min="6865" max="6865" width="11.7109375" style="16" customWidth="1"/>
    <col min="6866" max="6866" width="17.7109375" style="16" customWidth="1"/>
    <col min="6867" max="6867" width="10.7109375" style="16" customWidth="1"/>
    <col min="6868" max="7096" width="10.7109375" style="16"/>
    <col min="7097" max="7097" width="10.7109375" style="16" customWidth="1"/>
    <col min="7098" max="7098" width="11.7109375" style="16" customWidth="1"/>
    <col min="7099" max="7099" width="17.7109375" style="16" customWidth="1"/>
    <col min="7100" max="7100" width="11.7109375" style="16" customWidth="1"/>
    <col min="7101" max="7101" width="17.7109375" style="16" customWidth="1"/>
    <col min="7102" max="7102" width="10.7109375" style="16" customWidth="1"/>
    <col min="7103" max="7103" width="2.7109375" style="16" customWidth="1"/>
    <col min="7104" max="7104" width="10.7109375" style="16" customWidth="1"/>
    <col min="7105" max="7105" width="11.7109375" style="16" customWidth="1"/>
    <col min="7106" max="7106" width="17.7109375" style="16" customWidth="1"/>
    <col min="7107" max="7107" width="11.7109375" style="16" customWidth="1"/>
    <col min="7108" max="7108" width="17.7109375" style="16" customWidth="1"/>
    <col min="7109" max="7109" width="10.7109375" style="16" customWidth="1"/>
    <col min="7110" max="7110" width="2.7109375" style="16" customWidth="1"/>
    <col min="7111" max="7111" width="10.7109375" style="16" customWidth="1"/>
    <col min="7112" max="7112" width="11.7109375" style="16" customWidth="1"/>
    <col min="7113" max="7113" width="17.7109375" style="16" customWidth="1"/>
    <col min="7114" max="7114" width="11.7109375" style="16" customWidth="1"/>
    <col min="7115" max="7115" width="17.7109375" style="16" customWidth="1"/>
    <col min="7116" max="7116" width="10.7109375" style="16" customWidth="1"/>
    <col min="7117" max="7117" width="2.7109375" style="16" customWidth="1"/>
    <col min="7118" max="7118" width="10.7109375" style="16" customWidth="1"/>
    <col min="7119" max="7119" width="11.7109375" style="16" customWidth="1"/>
    <col min="7120" max="7120" width="17.7109375" style="16" customWidth="1"/>
    <col min="7121" max="7121" width="11.7109375" style="16" customWidth="1"/>
    <col min="7122" max="7122" width="17.7109375" style="16" customWidth="1"/>
    <col min="7123" max="7123" width="10.7109375" style="16" customWidth="1"/>
    <col min="7124" max="7352" width="10.7109375" style="16"/>
    <col min="7353" max="7353" width="10.7109375" style="16" customWidth="1"/>
    <col min="7354" max="7354" width="11.7109375" style="16" customWidth="1"/>
    <col min="7355" max="7355" width="17.7109375" style="16" customWidth="1"/>
    <col min="7356" max="7356" width="11.7109375" style="16" customWidth="1"/>
    <col min="7357" max="7357" width="17.7109375" style="16" customWidth="1"/>
    <col min="7358" max="7358" width="10.7109375" style="16" customWidth="1"/>
    <col min="7359" max="7359" width="2.7109375" style="16" customWidth="1"/>
    <col min="7360" max="7360" width="10.7109375" style="16" customWidth="1"/>
    <col min="7361" max="7361" width="11.7109375" style="16" customWidth="1"/>
    <col min="7362" max="7362" width="17.7109375" style="16" customWidth="1"/>
    <col min="7363" max="7363" width="11.7109375" style="16" customWidth="1"/>
    <col min="7364" max="7364" width="17.7109375" style="16" customWidth="1"/>
    <col min="7365" max="7365" width="10.7109375" style="16" customWidth="1"/>
    <col min="7366" max="7366" width="2.7109375" style="16" customWidth="1"/>
    <col min="7367" max="7367" width="10.7109375" style="16" customWidth="1"/>
    <col min="7368" max="7368" width="11.7109375" style="16" customWidth="1"/>
    <col min="7369" max="7369" width="17.7109375" style="16" customWidth="1"/>
    <col min="7370" max="7370" width="11.7109375" style="16" customWidth="1"/>
    <col min="7371" max="7371" width="17.7109375" style="16" customWidth="1"/>
    <col min="7372" max="7372" width="10.7109375" style="16" customWidth="1"/>
    <col min="7373" max="7373" width="2.7109375" style="16" customWidth="1"/>
    <col min="7374" max="7374" width="10.7109375" style="16" customWidth="1"/>
    <col min="7375" max="7375" width="11.7109375" style="16" customWidth="1"/>
    <col min="7376" max="7376" width="17.7109375" style="16" customWidth="1"/>
    <col min="7377" max="7377" width="11.7109375" style="16" customWidth="1"/>
    <col min="7378" max="7378" width="17.7109375" style="16" customWidth="1"/>
    <col min="7379" max="7379" width="10.7109375" style="16" customWidth="1"/>
    <col min="7380" max="7608" width="10.7109375" style="16"/>
    <col min="7609" max="7609" width="10.7109375" style="16" customWidth="1"/>
    <col min="7610" max="7610" width="11.7109375" style="16" customWidth="1"/>
    <col min="7611" max="7611" width="17.7109375" style="16" customWidth="1"/>
    <col min="7612" max="7612" width="11.7109375" style="16" customWidth="1"/>
    <col min="7613" max="7613" width="17.7109375" style="16" customWidth="1"/>
    <col min="7614" max="7614" width="10.7109375" style="16" customWidth="1"/>
    <col min="7615" max="7615" width="2.7109375" style="16" customWidth="1"/>
    <col min="7616" max="7616" width="10.7109375" style="16" customWidth="1"/>
    <col min="7617" max="7617" width="11.7109375" style="16" customWidth="1"/>
    <col min="7618" max="7618" width="17.7109375" style="16" customWidth="1"/>
    <col min="7619" max="7619" width="11.7109375" style="16" customWidth="1"/>
    <col min="7620" max="7620" width="17.7109375" style="16" customWidth="1"/>
    <col min="7621" max="7621" width="10.7109375" style="16" customWidth="1"/>
    <col min="7622" max="7622" width="2.7109375" style="16" customWidth="1"/>
    <col min="7623" max="7623" width="10.7109375" style="16" customWidth="1"/>
    <col min="7624" max="7624" width="11.7109375" style="16" customWidth="1"/>
    <col min="7625" max="7625" width="17.7109375" style="16" customWidth="1"/>
    <col min="7626" max="7626" width="11.7109375" style="16" customWidth="1"/>
    <col min="7627" max="7627" width="17.7109375" style="16" customWidth="1"/>
    <col min="7628" max="7628" width="10.7109375" style="16" customWidth="1"/>
    <col min="7629" max="7629" width="2.7109375" style="16" customWidth="1"/>
    <col min="7630" max="7630" width="10.7109375" style="16" customWidth="1"/>
    <col min="7631" max="7631" width="11.7109375" style="16" customWidth="1"/>
    <col min="7632" max="7632" width="17.7109375" style="16" customWidth="1"/>
    <col min="7633" max="7633" width="11.7109375" style="16" customWidth="1"/>
    <col min="7634" max="7634" width="17.7109375" style="16" customWidth="1"/>
    <col min="7635" max="7635" width="10.7109375" style="16" customWidth="1"/>
    <col min="7636" max="7864" width="10.7109375" style="16"/>
    <col min="7865" max="7865" width="10.7109375" style="16" customWidth="1"/>
    <col min="7866" max="7866" width="11.7109375" style="16" customWidth="1"/>
    <col min="7867" max="7867" width="17.7109375" style="16" customWidth="1"/>
    <col min="7868" max="7868" width="11.7109375" style="16" customWidth="1"/>
    <col min="7869" max="7869" width="17.7109375" style="16" customWidth="1"/>
    <col min="7870" max="7870" width="10.7109375" style="16" customWidth="1"/>
    <col min="7871" max="7871" width="2.7109375" style="16" customWidth="1"/>
    <col min="7872" max="7872" width="10.7109375" style="16" customWidth="1"/>
    <col min="7873" max="7873" width="11.7109375" style="16" customWidth="1"/>
    <col min="7874" max="7874" width="17.7109375" style="16" customWidth="1"/>
    <col min="7875" max="7875" width="11.7109375" style="16" customWidth="1"/>
    <col min="7876" max="7876" width="17.7109375" style="16" customWidth="1"/>
    <col min="7877" max="7877" width="10.7109375" style="16" customWidth="1"/>
    <col min="7878" max="7878" width="2.7109375" style="16" customWidth="1"/>
    <col min="7879" max="7879" width="10.7109375" style="16" customWidth="1"/>
    <col min="7880" max="7880" width="11.7109375" style="16" customWidth="1"/>
    <col min="7881" max="7881" width="17.7109375" style="16" customWidth="1"/>
    <col min="7882" max="7882" width="11.7109375" style="16" customWidth="1"/>
    <col min="7883" max="7883" width="17.7109375" style="16" customWidth="1"/>
    <col min="7884" max="7884" width="10.7109375" style="16" customWidth="1"/>
    <col min="7885" max="7885" width="2.7109375" style="16" customWidth="1"/>
    <col min="7886" max="7886" width="10.7109375" style="16" customWidth="1"/>
    <col min="7887" max="7887" width="11.7109375" style="16" customWidth="1"/>
    <col min="7888" max="7888" width="17.7109375" style="16" customWidth="1"/>
    <col min="7889" max="7889" width="11.7109375" style="16" customWidth="1"/>
    <col min="7890" max="7890" width="17.7109375" style="16" customWidth="1"/>
    <col min="7891" max="7891" width="10.7109375" style="16" customWidth="1"/>
    <col min="7892" max="8120" width="10.7109375" style="16"/>
    <col min="8121" max="8121" width="10.7109375" style="16" customWidth="1"/>
    <col min="8122" max="8122" width="11.7109375" style="16" customWidth="1"/>
    <col min="8123" max="8123" width="17.7109375" style="16" customWidth="1"/>
    <col min="8124" max="8124" width="11.7109375" style="16" customWidth="1"/>
    <col min="8125" max="8125" width="17.7109375" style="16" customWidth="1"/>
    <col min="8126" max="8126" width="10.7109375" style="16" customWidth="1"/>
    <col min="8127" max="8127" width="2.7109375" style="16" customWidth="1"/>
    <col min="8128" max="8128" width="10.7109375" style="16" customWidth="1"/>
    <col min="8129" max="8129" width="11.7109375" style="16" customWidth="1"/>
    <col min="8130" max="8130" width="17.7109375" style="16" customWidth="1"/>
    <col min="8131" max="8131" width="11.7109375" style="16" customWidth="1"/>
    <col min="8132" max="8132" width="17.7109375" style="16" customWidth="1"/>
    <col min="8133" max="8133" width="10.7109375" style="16" customWidth="1"/>
    <col min="8134" max="8134" width="2.7109375" style="16" customWidth="1"/>
    <col min="8135" max="8135" width="10.7109375" style="16" customWidth="1"/>
    <col min="8136" max="8136" width="11.7109375" style="16" customWidth="1"/>
    <col min="8137" max="8137" width="17.7109375" style="16" customWidth="1"/>
    <col min="8138" max="8138" width="11.7109375" style="16" customWidth="1"/>
    <col min="8139" max="8139" width="17.7109375" style="16" customWidth="1"/>
    <col min="8140" max="8140" width="10.7109375" style="16" customWidth="1"/>
    <col min="8141" max="8141" width="2.7109375" style="16" customWidth="1"/>
    <col min="8142" max="8142" width="10.7109375" style="16" customWidth="1"/>
    <col min="8143" max="8143" width="11.7109375" style="16" customWidth="1"/>
    <col min="8144" max="8144" width="17.7109375" style="16" customWidth="1"/>
    <col min="8145" max="8145" width="11.7109375" style="16" customWidth="1"/>
    <col min="8146" max="8146" width="17.7109375" style="16" customWidth="1"/>
    <col min="8147" max="8147" width="10.7109375" style="16" customWidth="1"/>
    <col min="8148" max="8376" width="10.7109375" style="16"/>
    <col min="8377" max="8377" width="10.7109375" style="16" customWidth="1"/>
    <col min="8378" max="8378" width="11.7109375" style="16" customWidth="1"/>
    <col min="8379" max="8379" width="17.7109375" style="16" customWidth="1"/>
    <col min="8380" max="8380" width="11.7109375" style="16" customWidth="1"/>
    <col min="8381" max="8381" width="17.7109375" style="16" customWidth="1"/>
    <col min="8382" max="8382" width="10.7109375" style="16" customWidth="1"/>
    <col min="8383" max="8383" width="2.7109375" style="16" customWidth="1"/>
    <col min="8384" max="8384" width="10.7109375" style="16" customWidth="1"/>
    <col min="8385" max="8385" width="11.7109375" style="16" customWidth="1"/>
    <col min="8386" max="8386" width="17.7109375" style="16" customWidth="1"/>
    <col min="8387" max="8387" width="11.7109375" style="16" customWidth="1"/>
    <col min="8388" max="8388" width="17.7109375" style="16" customWidth="1"/>
    <col min="8389" max="8389" width="10.7109375" style="16" customWidth="1"/>
    <col min="8390" max="8390" width="2.7109375" style="16" customWidth="1"/>
    <col min="8391" max="8391" width="10.7109375" style="16" customWidth="1"/>
    <col min="8392" max="8392" width="11.7109375" style="16" customWidth="1"/>
    <col min="8393" max="8393" width="17.7109375" style="16" customWidth="1"/>
    <col min="8394" max="8394" width="11.7109375" style="16" customWidth="1"/>
    <col min="8395" max="8395" width="17.7109375" style="16" customWidth="1"/>
    <col min="8396" max="8396" width="10.7109375" style="16" customWidth="1"/>
    <col min="8397" max="8397" width="2.7109375" style="16" customWidth="1"/>
    <col min="8398" max="8398" width="10.7109375" style="16" customWidth="1"/>
    <col min="8399" max="8399" width="11.7109375" style="16" customWidth="1"/>
    <col min="8400" max="8400" width="17.7109375" style="16" customWidth="1"/>
    <col min="8401" max="8401" width="11.7109375" style="16" customWidth="1"/>
    <col min="8402" max="8402" width="17.7109375" style="16" customWidth="1"/>
    <col min="8403" max="8403" width="10.7109375" style="16" customWidth="1"/>
    <col min="8404" max="8632" width="10.7109375" style="16"/>
    <col min="8633" max="8633" width="10.7109375" style="16" customWidth="1"/>
    <col min="8634" max="8634" width="11.7109375" style="16" customWidth="1"/>
    <col min="8635" max="8635" width="17.7109375" style="16" customWidth="1"/>
    <col min="8636" max="8636" width="11.7109375" style="16" customWidth="1"/>
    <col min="8637" max="8637" width="17.7109375" style="16" customWidth="1"/>
    <col min="8638" max="8638" width="10.7109375" style="16" customWidth="1"/>
    <col min="8639" max="8639" width="2.7109375" style="16" customWidth="1"/>
    <col min="8640" max="8640" width="10.7109375" style="16" customWidth="1"/>
    <col min="8641" max="8641" width="11.7109375" style="16" customWidth="1"/>
    <col min="8642" max="8642" width="17.7109375" style="16" customWidth="1"/>
    <col min="8643" max="8643" width="11.7109375" style="16" customWidth="1"/>
    <col min="8644" max="8644" width="17.7109375" style="16" customWidth="1"/>
    <col min="8645" max="8645" width="10.7109375" style="16" customWidth="1"/>
    <col min="8646" max="8646" width="2.7109375" style="16" customWidth="1"/>
    <col min="8647" max="8647" width="10.7109375" style="16" customWidth="1"/>
    <col min="8648" max="8648" width="11.7109375" style="16" customWidth="1"/>
    <col min="8649" max="8649" width="17.7109375" style="16" customWidth="1"/>
    <col min="8650" max="8650" width="11.7109375" style="16" customWidth="1"/>
    <col min="8651" max="8651" width="17.7109375" style="16" customWidth="1"/>
    <col min="8652" max="8652" width="10.7109375" style="16" customWidth="1"/>
    <col min="8653" max="8653" width="2.7109375" style="16" customWidth="1"/>
    <col min="8654" max="8654" width="10.7109375" style="16" customWidth="1"/>
    <col min="8655" max="8655" width="11.7109375" style="16" customWidth="1"/>
    <col min="8656" max="8656" width="17.7109375" style="16" customWidth="1"/>
    <col min="8657" max="8657" width="11.7109375" style="16" customWidth="1"/>
    <col min="8658" max="8658" width="17.7109375" style="16" customWidth="1"/>
    <col min="8659" max="8659" width="10.7109375" style="16" customWidth="1"/>
    <col min="8660" max="8888" width="10.7109375" style="16"/>
    <col min="8889" max="8889" width="10.7109375" style="16" customWidth="1"/>
    <col min="8890" max="8890" width="11.7109375" style="16" customWidth="1"/>
    <col min="8891" max="8891" width="17.7109375" style="16" customWidth="1"/>
    <col min="8892" max="8892" width="11.7109375" style="16" customWidth="1"/>
    <col min="8893" max="8893" width="17.7109375" style="16" customWidth="1"/>
    <col min="8894" max="8894" width="10.7109375" style="16" customWidth="1"/>
    <col min="8895" max="8895" width="2.7109375" style="16" customWidth="1"/>
    <col min="8896" max="8896" width="10.7109375" style="16" customWidth="1"/>
    <col min="8897" max="8897" width="11.7109375" style="16" customWidth="1"/>
    <col min="8898" max="8898" width="17.7109375" style="16" customWidth="1"/>
    <col min="8899" max="8899" width="11.7109375" style="16" customWidth="1"/>
    <col min="8900" max="8900" width="17.7109375" style="16" customWidth="1"/>
    <col min="8901" max="8901" width="10.7109375" style="16" customWidth="1"/>
    <col min="8902" max="8902" width="2.7109375" style="16" customWidth="1"/>
    <col min="8903" max="8903" width="10.7109375" style="16" customWidth="1"/>
    <col min="8904" max="8904" width="11.7109375" style="16" customWidth="1"/>
    <col min="8905" max="8905" width="17.7109375" style="16" customWidth="1"/>
    <col min="8906" max="8906" width="11.7109375" style="16" customWidth="1"/>
    <col min="8907" max="8907" width="17.7109375" style="16" customWidth="1"/>
    <col min="8908" max="8908" width="10.7109375" style="16" customWidth="1"/>
    <col min="8909" max="8909" width="2.7109375" style="16" customWidth="1"/>
    <col min="8910" max="8910" width="10.7109375" style="16" customWidth="1"/>
    <col min="8911" max="8911" width="11.7109375" style="16" customWidth="1"/>
    <col min="8912" max="8912" width="17.7109375" style="16" customWidth="1"/>
    <col min="8913" max="8913" width="11.7109375" style="16" customWidth="1"/>
    <col min="8914" max="8914" width="17.7109375" style="16" customWidth="1"/>
    <col min="8915" max="8915" width="10.7109375" style="16" customWidth="1"/>
    <col min="8916" max="9144" width="10.7109375" style="16"/>
    <col min="9145" max="9145" width="10.7109375" style="16" customWidth="1"/>
    <col min="9146" max="9146" width="11.7109375" style="16" customWidth="1"/>
    <col min="9147" max="9147" width="17.7109375" style="16" customWidth="1"/>
    <col min="9148" max="9148" width="11.7109375" style="16" customWidth="1"/>
    <col min="9149" max="9149" width="17.7109375" style="16" customWidth="1"/>
    <col min="9150" max="9150" width="10.7109375" style="16" customWidth="1"/>
    <col min="9151" max="9151" width="2.7109375" style="16" customWidth="1"/>
    <col min="9152" max="9152" width="10.7109375" style="16" customWidth="1"/>
    <col min="9153" max="9153" width="11.7109375" style="16" customWidth="1"/>
    <col min="9154" max="9154" width="17.7109375" style="16" customWidth="1"/>
    <col min="9155" max="9155" width="11.7109375" style="16" customWidth="1"/>
    <col min="9156" max="9156" width="17.7109375" style="16" customWidth="1"/>
    <col min="9157" max="9157" width="10.7109375" style="16" customWidth="1"/>
    <col min="9158" max="9158" width="2.7109375" style="16" customWidth="1"/>
    <col min="9159" max="9159" width="10.7109375" style="16" customWidth="1"/>
    <col min="9160" max="9160" width="11.7109375" style="16" customWidth="1"/>
    <col min="9161" max="9161" width="17.7109375" style="16" customWidth="1"/>
    <col min="9162" max="9162" width="11.7109375" style="16" customWidth="1"/>
    <col min="9163" max="9163" width="17.7109375" style="16" customWidth="1"/>
    <col min="9164" max="9164" width="10.7109375" style="16" customWidth="1"/>
    <col min="9165" max="9165" width="2.7109375" style="16" customWidth="1"/>
    <col min="9166" max="9166" width="10.7109375" style="16" customWidth="1"/>
    <col min="9167" max="9167" width="11.7109375" style="16" customWidth="1"/>
    <col min="9168" max="9168" width="17.7109375" style="16" customWidth="1"/>
    <col min="9169" max="9169" width="11.7109375" style="16" customWidth="1"/>
    <col min="9170" max="9170" width="17.7109375" style="16" customWidth="1"/>
    <col min="9171" max="9171" width="10.7109375" style="16" customWidth="1"/>
    <col min="9172" max="9400" width="10.7109375" style="16"/>
    <col min="9401" max="9401" width="10.7109375" style="16" customWidth="1"/>
    <col min="9402" max="9402" width="11.7109375" style="16" customWidth="1"/>
    <col min="9403" max="9403" width="17.7109375" style="16" customWidth="1"/>
    <col min="9404" max="9404" width="11.7109375" style="16" customWidth="1"/>
    <col min="9405" max="9405" width="17.7109375" style="16" customWidth="1"/>
    <col min="9406" max="9406" width="10.7109375" style="16" customWidth="1"/>
    <col min="9407" max="9407" width="2.7109375" style="16" customWidth="1"/>
    <col min="9408" max="9408" width="10.7109375" style="16" customWidth="1"/>
    <col min="9409" max="9409" width="11.7109375" style="16" customWidth="1"/>
    <col min="9410" max="9410" width="17.7109375" style="16" customWidth="1"/>
    <col min="9411" max="9411" width="11.7109375" style="16" customWidth="1"/>
    <col min="9412" max="9412" width="17.7109375" style="16" customWidth="1"/>
    <col min="9413" max="9413" width="10.7109375" style="16" customWidth="1"/>
    <col min="9414" max="9414" width="2.7109375" style="16" customWidth="1"/>
    <col min="9415" max="9415" width="10.7109375" style="16" customWidth="1"/>
    <col min="9416" max="9416" width="11.7109375" style="16" customWidth="1"/>
    <col min="9417" max="9417" width="17.7109375" style="16" customWidth="1"/>
    <col min="9418" max="9418" width="11.7109375" style="16" customWidth="1"/>
    <col min="9419" max="9419" width="17.7109375" style="16" customWidth="1"/>
    <col min="9420" max="9420" width="10.7109375" style="16" customWidth="1"/>
    <col min="9421" max="9421" width="2.7109375" style="16" customWidth="1"/>
    <col min="9422" max="9422" width="10.7109375" style="16" customWidth="1"/>
    <col min="9423" max="9423" width="11.7109375" style="16" customWidth="1"/>
    <col min="9424" max="9424" width="17.7109375" style="16" customWidth="1"/>
    <col min="9425" max="9425" width="11.7109375" style="16" customWidth="1"/>
    <col min="9426" max="9426" width="17.7109375" style="16" customWidth="1"/>
    <col min="9427" max="9427" width="10.7109375" style="16" customWidth="1"/>
    <col min="9428" max="9656" width="10.7109375" style="16"/>
    <col min="9657" max="9657" width="10.7109375" style="16" customWidth="1"/>
    <col min="9658" max="9658" width="11.7109375" style="16" customWidth="1"/>
    <col min="9659" max="9659" width="17.7109375" style="16" customWidth="1"/>
    <col min="9660" max="9660" width="11.7109375" style="16" customWidth="1"/>
    <col min="9661" max="9661" width="17.7109375" style="16" customWidth="1"/>
    <col min="9662" max="9662" width="10.7109375" style="16" customWidth="1"/>
    <col min="9663" max="9663" width="2.7109375" style="16" customWidth="1"/>
    <col min="9664" max="9664" width="10.7109375" style="16" customWidth="1"/>
    <col min="9665" max="9665" width="11.7109375" style="16" customWidth="1"/>
    <col min="9666" max="9666" width="17.7109375" style="16" customWidth="1"/>
    <col min="9667" max="9667" width="11.7109375" style="16" customWidth="1"/>
    <col min="9668" max="9668" width="17.7109375" style="16" customWidth="1"/>
    <col min="9669" max="9669" width="10.7109375" style="16" customWidth="1"/>
    <col min="9670" max="9670" width="2.7109375" style="16" customWidth="1"/>
    <col min="9671" max="9671" width="10.7109375" style="16" customWidth="1"/>
    <col min="9672" max="9672" width="11.7109375" style="16" customWidth="1"/>
    <col min="9673" max="9673" width="17.7109375" style="16" customWidth="1"/>
    <col min="9674" max="9674" width="11.7109375" style="16" customWidth="1"/>
    <col min="9675" max="9675" width="17.7109375" style="16" customWidth="1"/>
    <col min="9676" max="9676" width="10.7109375" style="16" customWidth="1"/>
    <col min="9677" max="9677" width="2.7109375" style="16" customWidth="1"/>
    <col min="9678" max="9678" width="10.7109375" style="16" customWidth="1"/>
    <col min="9679" max="9679" width="11.7109375" style="16" customWidth="1"/>
    <col min="9680" max="9680" width="17.7109375" style="16" customWidth="1"/>
    <col min="9681" max="9681" width="11.7109375" style="16" customWidth="1"/>
    <col min="9682" max="9682" width="17.7109375" style="16" customWidth="1"/>
    <col min="9683" max="9683" width="10.7109375" style="16" customWidth="1"/>
    <col min="9684" max="9912" width="10.7109375" style="16"/>
    <col min="9913" max="9913" width="10.7109375" style="16" customWidth="1"/>
    <col min="9914" max="9914" width="11.7109375" style="16" customWidth="1"/>
    <col min="9915" max="9915" width="17.7109375" style="16" customWidth="1"/>
    <col min="9916" max="9916" width="11.7109375" style="16" customWidth="1"/>
    <col min="9917" max="9917" width="17.7109375" style="16" customWidth="1"/>
    <col min="9918" max="9918" width="10.7109375" style="16" customWidth="1"/>
    <col min="9919" max="9919" width="2.7109375" style="16" customWidth="1"/>
    <col min="9920" max="9920" width="10.7109375" style="16" customWidth="1"/>
    <col min="9921" max="9921" width="11.7109375" style="16" customWidth="1"/>
    <col min="9922" max="9922" width="17.7109375" style="16" customWidth="1"/>
    <col min="9923" max="9923" width="11.7109375" style="16" customWidth="1"/>
    <col min="9924" max="9924" width="17.7109375" style="16" customWidth="1"/>
    <col min="9925" max="9925" width="10.7109375" style="16" customWidth="1"/>
    <col min="9926" max="9926" width="2.7109375" style="16" customWidth="1"/>
    <col min="9927" max="9927" width="10.7109375" style="16" customWidth="1"/>
    <col min="9928" max="9928" width="11.7109375" style="16" customWidth="1"/>
    <col min="9929" max="9929" width="17.7109375" style="16" customWidth="1"/>
    <col min="9930" max="9930" width="11.7109375" style="16" customWidth="1"/>
    <col min="9931" max="9931" width="17.7109375" style="16" customWidth="1"/>
    <col min="9932" max="9932" width="10.7109375" style="16" customWidth="1"/>
    <col min="9933" max="9933" width="2.7109375" style="16" customWidth="1"/>
    <col min="9934" max="9934" width="10.7109375" style="16" customWidth="1"/>
    <col min="9935" max="9935" width="11.7109375" style="16" customWidth="1"/>
    <col min="9936" max="9936" width="17.7109375" style="16" customWidth="1"/>
    <col min="9937" max="9937" width="11.7109375" style="16" customWidth="1"/>
    <col min="9938" max="9938" width="17.7109375" style="16" customWidth="1"/>
    <col min="9939" max="9939" width="10.7109375" style="16" customWidth="1"/>
    <col min="9940" max="10168" width="10.7109375" style="16"/>
    <col min="10169" max="10169" width="10.7109375" style="16" customWidth="1"/>
    <col min="10170" max="10170" width="11.7109375" style="16" customWidth="1"/>
    <col min="10171" max="10171" width="17.7109375" style="16" customWidth="1"/>
    <col min="10172" max="10172" width="11.7109375" style="16" customWidth="1"/>
    <col min="10173" max="10173" width="17.7109375" style="16" customWidth="1"/>
    <col min="10174" max="10174" width="10.7109375" style="16" customWidth="1"/>
    <col min="10175" max="10175" width="2.7109375" style="16" customWidth="1"/>
    <col min="10176" max="10176" width="10.7109375" style="16" customWidth="1"/>
    <col min="10177" max="10177" width="11.7109375" style="16" customWidth="1"/>
    <col min="10178" max="10178" width="17.7109375" style="16" customWidth="1"/>
    <col min="10179" max="10179" width="11.7109375" style="16" customWidth="1"/>
    <col min="10180" max="10180" width="17.7109375" style="16" customWidth="1"/>
    <col min="10181" max="10181" width="10.7109375" style="16" customWidth="1"/>
    <col min="10182" max="10182" width="2.7109375" style="16" customWidth="1"/>
    <col min="10183" max="10183" width="10.7109375" style="16" customWidth="1"/>
    <col min="10184" max="10184" width="11.7109375" style="16" customWidth="1"/>
    <col min="10185" max="10185" width="17.7109375" style="16" customWidth="1"/>
    <col min="10186" max="10186" width="11.7109375" style="16" customWidth="1"/>
    <col min="10187" max="10187" width="17.7109375" style="16" customWidth="1"/>
    <col min="10188" max="10188" width="10.7109375" style="16" customWidth="1"/>
    <col min="10189" max="10189" width="2.7109375" style="16" customWidth="1"/>
    <col min="10190" max="10190" width="10.7109375" style="16" customWidth="1"/>
    <col min="10191" max="10191" width="11.7109375" style="16" customWidth="1"/>
    <col min="10192" max="10192" width="17.7109375" style="16" customWidth="1"/>
    <col min="10193" max="10193" width="11.7109375" style="16" customWidth="1"/>
    <col min="10194" max="10194" width="17.7109375" style="16" customWidth="1"/>
    <col min="10195" max="10195" width="10.7109375" style="16" customWidth="1"/>
    <col min="10196" max="10424" width="10.7109375" style="16"/>
    <col min="10425" max="10425" width="10.7109375" style="16" customWidth="1"/>
    <col min="10426" max="10426" width="11.7109375" style="16" customWidth="1"/>
    <col min="10427" max="10427" width="17.7109375" style="16" customWidth="1"/>
    <col min="10428" max="10428" width="11.7109375" style="16" customWidth="1"/>
    <col min="10429" max="10429" width="17.7109375" style="16" customWidth="1"/>
    <col min="10430" max="10430" width="10.7109375" style="16" customWidth="1"/>
    <col min="10431" max="10431" width="2.7109375" style="16" customWidth="1"/>
    <col min="10432" max="10432" width="10.7109375" style="16" customWidth="1"/>
    <col min="10433" max="10433" width="11.7109375" style="16" customWidth="1"/>
    <col min="10434" max="10434" width="17.7109375" style="16" customWidth="1"/>
    <col min="10435" max="10435" width="11.7109375" style="16" customWidth="1"/>
    <col min="10436" max="10436" width="17.7109375" style="16" customWidth="1"/>
    <col min="10437" max="10437" width="10.7109375" style="16" customWidth="1"/>
    <col min="10438" max="10438" width="2.7109375" style="16" customWidth="1"/>
    <col min="10439" max="10439" width="10.7109375" style="16" customWidth="1"/>
    <col min="10440" max="10440" width="11.7109375" style="16" customWidth="1"/>
    <col min="10441" max="10441" width="17.7109375" style="16" customWidth="1"/>
    <col min="10442" max="10442" width="11.7109375" style="16" customWidth="1"/>
    <col min="10443" max="10443" width="17.7109375" style="16" customWidth="1"/>
    <col min="10444" max="10444" width="10.7109375" style="16" customWidth="1"/>
    <col min="10445" max="10445" width="2.7109375" style="16" customWidth="1"/>
    <col min="10446" max="10446" width="10.7109375" style="16" customWidth="1"/>
    <col min="10447" max="10447" width="11.7109375" style="16" customWidth="1"/>
    <col min="10448" max="10448" width="17.7109375" style="16" customWidth="1"/>
    <col min="10449" max="10449" width="11.7109375" style="16" customWidth="1"/>
    <col min="10450" max="10450" width="17.7109375" style="16" customWidth="1"/>
    <col min="10451" max="10451" width="10.7109375" style="16" customWidth="1"/>
    <col min="10452" max="10680" width="10.7109375" style="16"/>
    <col min="10681" max="10681" width="10.7109375" style="16" customWidth="1"/>
    <col min="10682" max="10682" width="11.7109375" style="16" customWidth="1"/>
    <col min="10683" max="10683" width="17.7109375" style="16" customWidth="1"/>
    <col min="10684" max="10684" width="11.7109375" style="16" customWidth="1"/>
    <col min="10685" max="10685" width="17.7109375" style="16" customWidth="1"/>
    <col min="10686" max="10686" width="10.7109375" style="16" customWidth="1"/>
    <col min="10687" max="10687" width="2.7109375" style="16" customWidth="1"/>
    <col min="10688" max="10688" width="10.7109375" style="16" customWidth="1"/>
    <col min="10689" max="10689" width="11.7109375" style="16" customWidth="1"/>
    <col min="10690" max="10690" width="17.7109375" style="16" customWidth="1"/>
    <col min="10691" max="10691" width="11.7109375" style="16" customWidth="1"/>
    <col min="10692" max="10692" width="17.7109375" style="16" customWidth="1"/>
    <col min="10693" max="10693" width="10.7109375" style="16" customWidth="1"/>
    <col min="10694" max="10694" width="2.7109375" style="16" customWidth="1"/>
    <col min="10695" max="10695" width="10.7109375" style="16" customWidth="1"/>
    <col min="10696" max="10696" width="11.7109375" style="16" customWidth="1"/>
    <col min="10697" max="10697" width="17.7109375" style="16" customWidth="1"/>
    <col min="10698" max="10698" width="11.7109375" style="16" customWidth="1"/>
    <col min="10699" max="10699" width="17.7109375" style="16" customWidth="1"/>
    <col min="10700" max="10700" width="10.7109375" style="16" customWidth="1"/>
    <col min="10701" max="10701" width="2.7109375" style="16" customWidth="1"/>
    <col min="10702" max="10702" width="10.7109375" style="16" customWidth="1"/>
    <col min="10703" max="10703" width="11.7109375" style="16" customWidth="1"/>
    <col min="10704" max="10704" width="17.7109375" style="16" customWidth="1"/>
    <col min="10705" max="10705" width="11.7109375" style="16" customWidth="1"/>
    <col min="10706" max="10706" width="17.7109375" style="16" customWidth="1"/>
    <col min="10707" max="10707" width="10.7109375" style="16" customWidth="1"/>
    <col min="10708" max="10936" width="10.7109375" style="16"/>
    <col min="10937" max="10937" width="10.7109375" style="16" customWidth="1"/>
    <col min="10938" max="10938" width="11.7109375" style="16" customWidth="1"/>
    <col min="10939" max="10939" width="17.7109375" style="16" customWidth="1"/>
    <col min="10940" max="10940" width="11.7109375" style="16" customWidth="1"/>
    <col min="10941" max="10941" width="17.7109375" style="16" customWidth="1"/>
    <col min="10942" max="10942" width="10.7109375" style="16" customWidth="1"/>
    <col min="10943" max="10943" width="2.7109375" style="16" customWidth="1"/>
    <col min="10944" max="10944" width="10.7109375" style="16" customWidth="1"/>
    <col min="10945" max="10945" width="11.7109375" style="16" customWidth="1"/>
    <col min="10946" max="10946" width="17.7109375" style="16" customWidth="1"/>
    <col min="10947" max="10947" width="11.7109375" style="16" customWidth="1"/>
    <col min="10948" max="10948" width="17.7109375" style="16" customWidth="1"/>
    <col min="10949" max="10949" width="10.7109375" style="16" customWidth="1"/>
    <col min="10950" max="10950" width="2.7109375" style="16" customWidth="1"/>
    <col min="10951" max="10951" width="10.7109375" style="16" customWidth="1"/>
    <col min="10952" max="10952" width="11.7109375" style="16" customWidth="1"/>
    <col min="10953" max="10953" width="17.7109375" style="16" customWidth="1"/>
    <col min="10954" max="10954" width="11.7109375" style="16" customWidth="1"/>
    <col min="10955" max="10955" width="17.7109375" style="16" customWidth="1"/>
    <col min="10956" max="10956" width="10.7109375" style="16" customWidth="1"/>
    <col min="10957" max="10957" width="2.7109375" style="16" customWidth="1"/>
    <col min="10958" max="10958" width="10.7109375" style="16" customWidth="1"/>
    <col min="10959" max="10959" width="11.7109375" style="16" customWidth="1"/>
    <col min="10960" max="10960" width="17.7109375" style="16" customWidth="1"/>
    <col min="10961" max="10961" width="11.7109375" style="16" customWidth="1"/>
    <col min="10962" max="10962" width="17.7109375" style="16" customWidth="1"/>
    <col min="10963" max="10963" width="10.7109375" style="16" customWidth="1"/>
    <col min="10964" max="11192" width="10.7109375" style="16"/>
    <col min="11193" max="11193" width="10.7109375" style="16" customWidth="1"/>
    <col min="11194" max="11194" width="11.7109375" style="16" customWidth="1"/>
    <col min="11195" max="11195" width="17.7109375" style="16" customWidth="1"/>
    <col min="11196" max="11196" width="11.7109375" style="16" customWidth="1"/>
    <col min="11197" max="11197" width="17.7109375" style="16" customWidth="1"/>
    <col min="11198" max="11198" width="10.7109375" style="16" customWidth="1"/>
    <col min="11199" max="11199" width="2.7109375" style="16" customWidth="1"/>
    <col min="11200" max="11200" width="10.7109375" style="16" customWidth="1"/>
    <col min="11201" max="11201" width="11.7109375" style="16" customWidth="1"/>
    <col min="11202" max="11202" width="17.7109375" style="16" customWidth="1"/>
    <col min="11203" max="11203" width="11.7109375" style="16" customWidth="1"/>
    <col min="11204" max="11204" width="17.7109375" style="16" customWidth="1"/>
    <col min="11205" max="11205" width="10.7109375" style="16" customWidth="1"/>
    <col min="11206" max="11206" width="2.7109375" style="16" customWidth="1"/>
    <col min="11207" max="11207" width="10.7109375" style="16" customWidth="1"/>
    <col min="11208" max="11208" width="11.7109375" style="16" customWidth="1"/>
    <col min="11209" max="11209" width="17.7109375" style="16" customWidth="1"/>
    <col min="11210" max="11210" width="11.7109375" style="16" customWidth="1"/>
    <col min="11211" max="11211" width="17.7109375" style="16" customWidth="1"/>
    <col min="11212" max="11212" width="10.7109375" style="16" customWidth="1"/>
    <col min="11213" max="11213" width="2.7109375" style="16" customWidth="1"/>
    <col min="11214" max="11214" width="10.7109375" style="16" customWidth="1"/>
    <col min="11215" max="11215" width="11.7109375" style="16" customWidth="1"/>
    <col min="11216" max="11216" width="17.7109375" style="16" customWidth="1"/>
    <col min="11217" max="11217" width="11.7109375" style="16" customWidth="1"/>
    <col min="11218" max="11218" width="17.7109375" style="16" customWidth="1"/>
    <col min="11219" max="11219" width="10.7109375" style="16" customWidth="1"/>
    <col min="11220" max="11448" width="10.7109375" style="16"/>
    <col min="11449" max="11449" width="10.7109375" style="16" customWidth="1"/>
    <col min="11450" max="11450" width="11.7109375" style="16" customWidth="1"/>
    <col min="11451" max="11451" width="17.7109375" style="16" customWidth="1"/>
    <col min="11452" max="11452" width="11.7109375" style="16" customWidth="1"/>
    <col min="11453" max="11453" width="17.7109375" style="16" customWidth="1"/>
    <col min="11454" max="11454" width="10.7109375" style="16" customWidth="1"/>
    <col min="11455" max="11455" width="2.7109375" style="16" customWidth="1"/>
    <col min="11456" max="11456" width="10.7109375" style="16" customWidth="1"/>
    <col min="11457" max="11457" width="11.7109375" style="16" customWidth="1"/>
    <col min="11458" max="11458" width="17.7109375" style="16" customWidth="1"/>
    <col min="11459" max="11459" width="11.7109375" style="16" customWidth="1"/>
    <col min="11460" max="11460" width="17.7109375" style="16" customWidth="1"/>
    <col min="11461" max="11461" width="10.7109375" style="16" customWidth="1"/>
    <col min="11462" max="11462" width="2.7109375" style="16" customWidth="1"/>
    <col min="11463" max="11463" width="10.7109375" style="16" customWidth="1"/>
    <col min="11464" max="11464" width="11.7109375" style="16" customWidth="1"/>
    <col min="11465" max="11465" width="17.7109375" style="16" customWidth="1"/>
    <col min="11466" max="11466" width="11.7109375" style="16" customWidth="1"/>
    <col min="11467" max="11467" width="17.7109375" style="16" customWidth="1"/>
    <col min="11468" max="11468" width="10.7109375" style="16" customWidth="1"/>
    <col min="11469" max="11469" width="2.7109375" style="16" customWidth="1"/>
    <col min="11470" max="11470" width="10.7109375" style="16" customWidth="1"/>
    <col min="11471" max="11471" width="11.7109375" style="16" customWidth="1"/>
    <col min="11472" max="11472" width="17.7109375" style="16" customWidth="1"/>
    <col min="11473" max="11473" width="11.7109375" style="16" customWidth="1"/>
    <col min="11474" max="11474" width="17.7109375" style="16" customWidth="1"/>
    <col min="11475" max="11475" width="10.7109375" style="16" customWidth="1"/>
    <col min="11476" max="11704" width="10.7109375" style="16"/>
    <col min="11705" max="11705" width="10.7109375" style="16" customWidth="1"/>
    <col min="11706" max="11706" width="11.7109375" style="16" customWidth="1"/>
    <col min="11707" max="11707" width="17.7109375" style="16" customWidth="1"/>
    <col min="11708" max="11708" width="11.7109375" style="16" customWidth="1"/>
    <col min="11709" max="11709" width="17.7109375" style="16" customWidth="1"/>
    <col min="11710" max="11710" width="10.7109375" style="16" customWidth="1"/>
    <col min="11711" max="11711" width="2.7109375" style="16" customWidth="1"/>
    <col min="11712" max="11712" width="10.7109375" style="16" customWidth="1"/>
    <col min="11713" max="11713" width="11.7109375" style="16" customWidth="1"/>
    <col min="11714" max="11714" width="17.7109375" style="16" customWidth="1"/>
    <col min="11715" max="11715" width="11.7109375" style="16" customWidth="1"/>
    <col min="11716" max="11716" width="17.7109375" style="16" customWidth="1"/>
    <col min="11717" max="11717" width="10.7109375" style="16" customWidth="1"/>
    <col min="11718" max="11718" width="2.7109375" style="16" customWidth="1"/>
    <col min="11719" max="11719" width="10.7109375" style="16" customWidth="1"/>
    <col min="11720" max="11720" width="11.7109375" style="16" customWidth="1"/>
    <col min="11721" max="11721" width="17.7109375" style="16" customWidth="1"/>
    <col min="11722" max="11722" width="11.7109375" style="16" customWidth="1"/>
    <col min="11723" max="11723" width="17.7109375" style="16" customWidth="1"/>
    <col min="11724" max="11724" width="10.7109375" style="16" customWidth="1"/>
    <col min="11725" max="11725" width="2.7109375" style="16" customWidth="1"/>
    <col min="11726" max="11726" width="10.7109375" style="16" customWidth="1"/>
    <col min="11727" max="11727" width="11.7109375" style="16" customWidth="1"/>
    <col min="11728" max="11728" width="17.7109375" style="16" customWidth="1"/>
    <col min="11729" max="11729" width="11.7109375" style="16" customWidth="1"/>
    <col min="11730" max="11730" width="17.7109375" style="16" customWidth="1"/>
    <col min="11731" max="11731" width="10.7109375" style="16" customWidth="1"/>
    <col min="11732" max="11960" width="10.7109375" style="16"/>
    <col min="11961" max="11961" width="10.7109375" style="16" customWidth="1"/>
    <col min="11962" max="11962" width="11.7109375" style="16" customWidth="1"/>
    <col min="11963" max="11963" width="17.7109375" style="16" customWidth="1"/>
    <col min="11964" max="11964" width="11.7109375" style="16" customWidth="1"/>
    <col min="11965" max="11965" width="17.7109375" style="16" customWidth="1"/>
    <col min="11966" max="11966" width="10.7109375" style="16" customWidth="1"/>
    <col min="11967" max="11967" width="2.7109375" style="16" customWidth="1"/>
    <col min="11968" max="11968" width="10.7109375" style="16" customWidth="1"/>
    <col min="11969" max="11969" width="11.7109375" style="16" customWidth="1"/>
    <col min="11970" max="11970" width="17.7109375" style="16" customWidth="1"/>
    <col min="11971" max="11971" width="11.7109375" style="16" customWidth="1"/>
    <col min="11972" max="11972" width="17.7109375" style="16" customWidth="1"/>
    <col min="11973" max="11973" width="10.7109375" style="16" customWidth="1"/>
    <col min="11974" max="11974" width="2.7109375" style="16" customWidth="1"/>
    <col min="11975" max="11975" width="10.7109375" style="16" customWidth="1"/>
    <col min="11976" max="11976" width="11.7109375" style="16" customWidth="1"/>
    <col min="11977" max="11977" width="17.7109375" style="16" customWidth="1"/>
    <col min="11978" max="11978" width="11.7109375" style="16" customWidth="1"/>
    <col min="11979" max="11979" width="17.7109375" style="16" customWidth="1"/>
    <col min="11980" max="11980" width="10.7109375" style="16" customWidth="1"/>
    <col min="11981" max="11981" width="2.7109375" style="16" customWidth="1"/>
    <col min="11982" max="11982" width="10.7109375" style="16" customWidth="1"/>
    <col min="11983" max="11983" width="11.7109375" style="16" customWidth="1"/>
    <col min="11984" max="11984" width="17.7109375" style="16" customWidth="1"/>
    <col min="11985" max="11985" width="11.7109375" style="16" customWidth="1"/>
    <col min="11986" max="11986" width="17.7109375" style="16" customWidth="1"/>
    <col min="11987" max="11987" width="10.7109375" style="16" customWidth="1"/>
    <col min="11988" max="12216" width="10.7109375" style="16"/>
    <col min="12217" max="12217" width="10.7109375" style="16" customWidth="1"/>
    <col min="12218" max="12218" width="11.7109375" style="16" customWidth="1"/>
    <col min="12219" max="12219" width="17.7109375" style="16" customWidth="1"/>
    <col min="12220" max="12220" width="11.7109375" style="16" customWidth="1"/>
    <col min="12221" max="12221" width="17.7109375" style="16" customWidth="1"/>
    <col min="12222" max="12222" width="10.7109375" style="16" customWidth="1"/>
    <col min="12223" max="12223" width="2.7109375" style="16" customWidth="1"/>
    <col min="12224" max="12224" width="10.7109375" style="16" customWidth="1"/>
    <col min="12225" max="12225" width="11.7109375" style="16" customWidth="1"/>
    <col min="12226" max="12226" width="17.7109375" style="16" customWidth="1"/>
    <col min="12227" max="12227" width="11.7109375" style="16" customWidth="1"/>
    <col min="12228" max="12228" width="17.7109375" style="16" customWidth="1"/>
    <col min="12229" max="12229" width="10.7109375" style="16" customWidth="1"/>
    <col min="12230" max="12230" width="2.7109375" style="16" customWidth="1"/>
    <col min="12231" max="12231" width="10.7109375" style="16" customWidth="1"/>
    <col min="12232" max="12232" width="11.7109375" style="16" customWidth="1"/>
    <col min="12233" max="12233" width="17.7109375" style="16" customWidth="1"/>
    <col min="12234" max="12234" width="11.7109375" style="16" customWidth="1"/>
    <col min="12235" max="12235" width="17.7109375" style="16" customWidth="1"/>
    <col min="12236" max="12236" width="10.7109375" style="16" customWidth="1"/>
    <col min="12237" max="12237" width="2.7109375" style="16" customWidth="1"/>
    <col min="12238" max="12238" width="10.7109375" style="16" customWidth="1"/>
    <col min="12239" max="12239" width="11.7109375" style="16" customWidth="1"/>
    <col min="12240" max="12240" width="17.7109375" style="16" customWidth="1"/>
    <col min="12241" max="12241" width="11.7109375" style="16" customWidth="1"/>
    <col min="12242" max="12242" width="17.7109375" style="16" customWidth="1"/>
    <col min="12243" max="12243" width="10.7109375" style="16" customWidth="1"/>
    <col min="12244" max="12472" width="10.7109375" style="16"/>
    <col min="12473" max="12473" width="10.7109375" style="16" customWidth="1"/>
    <col min="12474" max="12474" width="11.7109375" style="16" customWidth="1"/>
    <col min="12475" max="12475" width="17.7109375" style="16" customWidth="1"/>
    <col min="12476" max="12476" width="11.7109375" style="16" customWidth="1"/>
    <col min="12477" max="12477" width="17.7109375" style="16" customWidth="1"/>
    <col min="12478" max="12478" width="10.7109375" style="16" customWidth="1"/>
    <col min="12479" max="12479" width="2.7109375" style="16" customWidth="1"/>
    <col min="12480" max="12480" width="10.7109375" style="16" customWidth="1"/>
    <col min="12481" max="12481" width="11.7109375" style="16" customWidth="1"/>
    <col min="12482" max="12482" width="17.7109375" style="16" customWidth="1"/>
    <col min="12483" max="12483" width="11.7109375" style="16" customWidth="1"/>
    <col min="12484" max="12484" width="17.7109375" style="16" customWidth="1"/>
    <col min="12485" max="12485" width="10.7109375" style="16" customWidth="1"/>
    <col min="12486" max="12486" width="2.7109375" style="16" customWidth="1"/>
    <col min="12487" max="12487" width="10.7109375" style="16" customWidth="1"/>
    <col min="12488" max="12488" width="11.7109375" style="16" customWidth="1"/>
    <col min="12489" max="12489" width="17.7109375" style="16" customWidth="1"/>
    <col min="12490" max="12490" width="11.7109375" style="16" customWidth="1"/>
    <col min="12491" max="12491" width="17.7109375" style="16" customWidth="1"/>
    <col min="12492" max="12492" width="10.7109375" style="16" customWidth="1"/>
    <col min="12493" max="12493" width="2.7109375" style="16" customWidth="1"/>
    <col min="12494" max="12494" width="10.7109375" style="16" customWidth="1"/>
    <col min="12495" max="12495" width="11.7109375" style="16" customWidth="1"/>
    <col min="12496" max="12496" width="17.7109375" style="16" customWidth="1"/>
    <col min="12497" max="12497" width="11.7109375" style="16" customWidth="1"/>
    <col min="12498" max="12498" width="17.7109375" style="16" customWidth="1"/>
    <col min="12499" max="12499" width="10.7109375" style="16" customWidth="1"/>
    <col min="12500" max="12728" width="10.7109375" style="16"/>
    <col min="12729" max="12729" width="10.7109375" style="16" customWidth="1"/>
    <col min="12730" max="12730" width="11.7109375" style="16" customWidth="1"/>
    <col min="12731" max="12731" width="17.7109375" style="16" customWidth="1"/>
    <col min="12732" max="12732" width="11.7109375" style="16" customWidth="1"/>
    <col min="12733" max="12733" width="17.7109375" style="16" customWidth="1"/>
    <col min="12734" max="12734" width="10.7109375" style="16" customWidth="1"/>
    <col min="12735" max="12735" width="2.7109375" style="16" customWidth="1"/>
    <col min="12736" max="12736" width="10.7109375" style="16" customWidth="1"/>
    <col min="12737" max="12737" width="11.7109375" style="16" customWidth="1"/>
    <col min="12738" max="12738" width="17.7109375" style="16" customWidth="1"/>
    <col min="12739" max="12739" width="11.7109375" style="16" customWidth="1"/>
    <col min="12740" max="12740" width="17.7109375" style="16" customWidth="1"/>
    <col min="12741" max="12741" width="10.7109375" style="16" customWidth="1"/>
    <col min="12742" max="12742" width="2.7109375" style="16" customWidth="1"/>
    <col min="12743" max="12743" width="10.7109375" style="16" customWidth="1"/>
    <col min="12744" max="12744" width="11.7109375" style="16" customWidth="1"/>
    <col min="12745" max="12745" width="17.7109375" style="16" customWidth="1"/>
    <col min="12746" max="12746" width="11.7109375" style="16" customWidth="1"/>
    <col min="12747" max="12747" width="17.7109375" style="16" customWidth="1"/>
    <col min="12748" max="12748" width="10.7109375" style="16" customWidth="1"/>
    <col min="12749" max="12749" width="2.7109375" style="16" customWidth="1"/>
    <col min="12750" max="12750" width="10.7109375" style="16" customWidth="1"/>
    <col min="12751" max="12751" width="11.7109375" style="16" customWidth="1"/>
    <col min="12752" max="12752" width="17.7109375" style="16" customWidth="1"/>
    <col min="12753" max="12753" width="11.7109375" style="16" customWidth="1"/>
    <col min="12754" max="12754" width="17.7109375" style="16" customWidth="1"/>
    <col min="12755" max="12755" width="10.7109375" style="16" customWidth="1"/>
    <col min="12756" max="12984" width="10.7109375" style="16"/>
    <col min="12985" max="12985" width="10.7109375" style="16" customWidth="1"/>
    <col min="12986" max="12986" width="11.7109375" style="16" customWidth="1"/>
    <col min="12987" max="12987" width="17.7109375" style="16" customWidth="1"/>
    <col min="12988" max="12988" width="11.7109375" style="16" customWidth="1"/>
    <col min="12989" max="12989" width="17.7109375" style="16" customWidth="1"/>
    <col min="12990" max="12990" width="10.7109375" style="16" customWidth="1"/>
    <col min="12991" max="12991" width="2.7109375" style="16" customWidth="1"/>
    <col min="12992" max="12992" width="10.7109375" style="16" customWidth="1"/>
    <col min="12993" max="12993" width="11.7109375" style="16" customWidth="1"/>
    <col min="12994" max="12994" width="17.7109375" style="16" customWidth="1"/>
    <col min="12995" max="12995" width="11.7109375" style="16" customWidth="1"/>
    <col min="12996" max="12996" width="17.7109375" style="16" customWidth="1"/>
    <col min="12997" max="12997" width="10.7109375" style="16" customWidth="1"/>
    <col min="12998" max="12998" width="2.7109375" style="16" customWidth="1"/>
    <col min="12999" max="12999" width="10.7109375" style="16" customWidth="1"/>
    <col min="13000" max="13000" width="11.7109375" style="16" customWidth="1"/>
    <col min="13001" max="13001" width="17.7109375" style="16" customWidth="1"/>
    <col min="13002" max="13002" width="11.7109375" style="16" customWidth="1"/>
    <col min="13003" max="13003" width="17.7109375" style="16" customWidth="1"/>
    <col min="13004" max="13004" width="10.7109375" style="16" customWidth="1"/>
    <col min="13005" max="13005" width="2.7109375" style="16" customWidth="1"/>
    <col min="13006" max="13006" width="10.7109375" style="16" customWidth="1"/>
    <col min="13007" max="13007" width="11.7109375" style="16" customWidth="1"/>
    <col min="13008" max="13008" width="17.7109375" style="16" customWidth="1"/>
    <col min="13009" max="13009" width="11.7109375" style="16" customWidth="1"/>
    <col min="13010" max="13010" width="17.7109375" style="16" customWidth="1"/>
    <col min="13011" max="13011" width="10.7109375" style="16" customWidth="1"/>
    <col min="13012" max="13240" width="10.7109375" style="16"/>
    <col min="13241" max="13241" width="10.7109375" style="16" customWidth="1"/>
    <col min="13242" max="13242" width="11.7109375" style="16" customWidth="1"/>
    <col min="13243" max="13243" width="17.7109375" style="16" customWidth="1"/>
    <col min="13244" max="13244" width="11.7109375" style="16" customWidth="1"/>
    <col min="13245" max="13245" width="17.7109375" style="16" customWidth="1"/>
    <col min="13246" max="13246" width="10.7109375" style="16" customWidth="1"/>
    <col min="13247" max="13247" width="2.7109375" style="16" customWidth="1"/>
    <col min="13248" max="13248" width="10.7109375" style="16" customWidth="1"/>
    <col min="13249" max="13249" width="11.7109375" style="16" customWidth="1"/>
    <col min="13250" max="13250" width="17.7109375" style="16" customWidth="1"/>
    <col min="13251" max="13251" width="11.7109375" style="16" customWidth="1"/>
    <col min="13252" max="13252" width="17.7109375" style="16" customWidth="1"/>
    <col min="13253" max="13253" width="10.7109375" style="16" customWidth="1"/>
    <col min="13254" max="13254" width="2.7109375" style="16" customWidth="1"/>
    <col min="13255" max="13255" width="10.7109375" style="16" customWidth="1"/>
    <col min="13256" max="13256" width="11.7109375" style="16" customWidth="1"/>
    <col min="13257" max="13257" width="17.7109375" style="16" customWidth="1"/>
    <col min="13258" max="13258" width="11.7109375" style="16" customWidth="1"/>
    <col min="13259" max="13259" width="17.7109375" style="16" customWidth="1"/>
    <col min="13260" max="13260" width="10.7109375" style="16" customWidth="1"/>
    <col min="13261" max="13261" width="2.7109375" style="16" customWidth="1"/>
    <col min="13262" max="13262" width="10.7109375" style="16" customWidth="1"/>
    <col min="13263" max="13263" width="11.7109375" style="16" customWidth="1"/>
    <col min="13264" max="13264" width="17.7109375" style="16" customWidth="1"/>
    <col min="13265" max="13265" width="11.7109375" style="16" customWidth="1"/>
    <col min="13266" max="13266" width="17.7109375" style="16" customWidth="1"/>
    <col min="13267" max="13267" width="10.7109375" style="16" customWidth="1"/>
    <col min="13268" max="13496" width="10.7109375" style="16"/>
    <col min="13497" max="13497" width="10.7109375" style="16" customWidth="1"/>
    <col min="13498" max="13498" width="11.7109375" style="16" customWidth="1"/>
    <col min="13499" max="13499" width="17.7109375" style="16" customWidth="1"/>
    <col min="13500" max="13500" width="11.7109375" style="16" customWidth="1"/>
    <col min="13501" max="13501" width="17.7109375" style="16" customWidth="1"/>
    <col min="13502" max="13502" width="10.7109375" style="16" customWidth="1"/>
    <col min="13503" max="13503" width="2.7109375" style="16" customWidth="1"/>
    <col min="13504" max="13504" width="10.7109375" style="16" customWidth="1"/>
    <col min="13505" max="13505" width="11.7109375" style="16" customWidth="1"/>
    <col min="13506" max="13506" width="17.7109375" style="16" customWidth="1"/>
    <col min="13507" max="13507" width="11.7109375" style="16" customWidth="1"/>
    <col min="13508" max="13508" width="17.7109375" style="16" customWidth="1"/>
    <col min="13509" max="13509" width="10.7109375" style="16" customWidth="1"/>
    <col min="13510" max="13510" width="2.7109375" style="16" customWidth="1"/>
    <col min="13511" max="13511" width="10.7109375" style="16" customWidth="1"/>
    <col min="13512" max="13512" width="11.7109375" style="16" customWidth="1"/>
    <col min="13513" max="13513" width="17.7109375" style="16" customWidth="1"/>
    <col min="13514" max="13514" width="11.7109375" style="16" customWidth="1"/>
    <col min="13515" max="13515" width="17.7109375" style="16" customWidth="1"/>
    <col min="13516" max="13516" width="10.7109375" style="16" customWidth="1"/>
    <col min="13517" max="13517" width="2.7109375" style="16" customWidth="1"/>
    <col min="13518" max="13518" width="10.7109375" style="16" customWidth="1"/>
    <col min="13519" max="13519" width="11.7109375" style="16" customWidth="1"/>
    <col min="13520" max="13520" width="17.7109375" style="16" customWidth="1"/>
    <col min="13521" max="13521" width="11.7109375" style="16" customWidth="1"/>
    <col min="13522" max="13522" width="17.7109375" style="16" customWidth="1"/>
    <col min="13523" max="13523" width="10.7109375" style="16" customWidth="1"/>
    <col min="13524" max="13752" width="10.7109375" style="16"/>
    <col min="13753" max="13753" width="10.7109375" style="16" customWidth="1"/>
    <col min="13754" max="13754" width="11.7109375" style="16" customWidth="1"/>
    <col min="13755" max="13755" width="17.7109375" style="16" customWidth="1"/>
    <col min="13756" max="13756" width="11.7109375" style="16" customWidth="1"/>
    <col min="13757" max="13757" width="17.7109375" style="16" customWidth="1"/>
    <col min="13758" max="13758" width="10.7109375" style="16" customWidth="1"/>
    <col min="13759" max="13759" width="2.7109375" style="16" customWidth="1"/>
    <col min="13760" max="13760" width="10.7109375" style="16" customWidth="1"/>
    <col min="13761" max="13761" width="11.7109375" style="16" customWidth="1"/>
    <col min="13762" max="13762" width="17.7109375" style="16" customWidth="1"/>
    <col min="13763" max="13763" width="11.7109375" style="16" customWidth="1"/>
    <col min="13764" max="13764" width="17.7109375" style="16" customWidth="1"/>
    <col min="13765" max="13765" width="10.7109375" style="16" customWidth="1"/>
    <col min="13766" max="13766" width="2.7109375" style="16" customWidth="1"/>
    <col min="13767" max="13767" width="10.7109375" style="16" customWidth="1"/>
    <col min="13768" max="13768" width="11.7109375" style="16" customWidth="1"/>
    <col min="13769" max="13769" width="17.7109375" style="16" customWidth="1"/>
    <col min="13770" max="13770" width="11.7109375" style="16" customWidth="1"/>
    <col min="13771" max="13771" width="17.7109375" style="16" customWidth="1"/>
    <col min="13772" max="13772" width="10.7109375" style="16" customWidth="1"/>
    <col min="13773" max="13773" width="2.7109375" style="16" customWidth="1"/>
    <col min="13774" max="13774" width="10.7109375" style="16" customWidth="1"/>
    <col min="13775" max="13775" width="11.7109375" style="16" customWidth="1"/>
    <col min="13776" max="13776" width="17.7109375" style="16" customWidth="1"/>
    <col min="13777" max="13777" width="11.7109375" style="16" customWidth="1"/>
    <col min="13778" max="13778" width="17.7109375" style="16" customWidth="1"/>
    <col min="13779" max="13779" width="10.7109375" style="16" customWidth="1"/>
    <col min="13780" max="14008" width="10.7109375" style="16"/>
    <col min="14009" max="14009" width="10.7109375" style="16" customWidth="1"/>
    <col min="14010" max="14010" width="11.7109375" style="16" customWidth="1"/>
    <col min="14011" max="14011" width="17.7109375" style="16" customWidth="1"/>
    <col min="14012" max="14012" width="11.7109375" style="16" customWidth="1"/>
    <col min="14013" max="14013" width="17.7109375" style="16" customWidth="1"/>
    <col min="14014" max="14014" width="10.7109375" style="16" customWidth="1"/>
    <col min="14015" max="14015" width="2.7109375" style="16" customWidth="1"/>
    <col min="14016" max="14016" width="10.7109375" style="16" customWidth="1"/>
    <col min="14017" max="14017" width="11.7109375" style="16" customWidth="1"/>
    <col min="14018" max="14018" width="17.7109375" style="16" customWidth="1"/>
    <col min="14019" max="14019" width="11.7109375" style="16" customWidth="1"/>
    <col min="14020" max="14020" width="17.7109375" style="16" customWidth="1"/>
    <col min="14021" max="14021" width="10.7109375" style="16" customWidth="1"/>
    <col min="14022" max="14022" width="2.7109375" style="16" customWidth="1"/>
    <col min="14023" max="14023" width="10.7109375" style="16" customWidth="1"/>
    <col min="14024" max="14024" width="11.7109375" style="16" customWidth="1"/>
    <col min="14025" max="14025" width="17.7109375" style="16" customWidth="1"/>
    <col min="14026" max="14026" width="11.7109375" style="16" customWidth="1"/>
    <col min="14027" max="14027" width="17.7109375" style="16" customWidth="1"/>
    <col min="14028" max="14028" width="10.7109375" style="16" customWidth="1"/>
    <col min="14029" max="14029" width="2.7109375" style="16" customWidth="1"/>
    <col min="14030" max="14030" width="10.7109375" style="16" customWidth="1"/>
    <col min="14031" max="14031" width="11.7109375" style="16" customWidth="1"/>
    <col min="14032" max="14032" width="17.7109375" style="16" customWidth="1"/>
    <col min="14033" max="14033" width="11.7109375" style="16" customWidth="1"/>
    <col min="14034" max="14034" width="17.7109375" style="16" customWidth="1"/>
    <col min="14035" max="14035" width="10.7109375" style="16" customWidth="1"/>
    <col min="14036" max="14264" width="10.7109375" style="16"/>
    <col min="14265" max="14265" width="10.7109375" style="16" customWidth="1"/>
    <col min="14266" max="14266" width="11.7109375" style="16" customWidth="1"/>
    <col min="14267" max="14267" width="17.7109375" style="16" customWidth="1"/>
    <col min="14268" max="14268" width="11.7109375" style="16" customWidth="1"/>
    <col min="14269" max="14269" width="17.7109375" style="16" customWidth="1"/>
    <col min="14270" max="14270" width="10.7109375" style="16" customWidth="1"/>
    <col min="14271" max="14271" width="2.7109375" style="16" customWidth="1"/>
    <col min="14272" max="14272" width="10.7109375" style="16" customWidth="1"/>
    <col min="14273" max="14273" width="11.7109375" style="16" customWidth="1"/>
    <col min="14274" max="14274" width="17.7109375" style="16" customWidth="1"/>
    <col min="14275" max="14275" width="11.7109375" style="16" customWidth="1"/>
    <col min="14276" max="14276" width="17.7109375" style="16" customWidth="1"/>
    <col min="14277" max="14277" width="10.7109375" style="16" customWidth="1"/>
    <col min="14278" max="14278" width="2.7109375" style="16" customWidth="1"/>
    <col min="14279" max="14279" width="10.7109375" style="16" customWidth="1"/>
    <col min="14280" max="14280" width="11.7109375" style="16" customWidth="1"/>
    <col min="14281" max="14281" width="17.7109375" style="16" customWidth="1"/>
    <col min="14282" max="14282" width="11.7109375" style="16" customWidth="1"/>
    <col min="14283" max="14283" width="17.7109375" style="16" customWidth="1"/>
    <col min="14284" max="14284" width="10.7109375" style="16" customWidth="1"/>
    <col min="14285" max="14285" width="2.7109375" style="16" customWidth="1"/>
    <col min="14286" max="14286" width="10.7109375" style="16" customWidth="1"/>
    <col min="14287" max="14287" width="11.7109375" style="16" customWidth="1"/>
    <col min="14288" max="14288" width="17.7109375" style="16" customWidth="1"/>
    <col min="14289" max="14289" width="11.7109375" style="16" customWidth="1"/>
    <col min="14290" max="14290" width="17.7109375" style="16" customWidth="1"/>
    <col min="14291" max="14291" width="10.7109375" style="16" customWidth="1"/>
    <col min="14292" max="14520" width="10.7109375" style="16"/>
    <col min="14521" max="14521" width="10.7109375" style="16" customWidth="1"/>
    <col min="14522" max="14522" width="11.7109375" style="16" customWidth="1"/>
    <col min="14523" max="14523" width="17.7109375" style="16" customWidth="1"/>
    <col min="14524" max="14524" width="11.7109375" style="16" customWidth="1"/>
    <col min="14525" max="14525" width="17.7109375" style="16" customWidth="1"/>
    <col min="14526" max="14526" width="10.7109375" style="16" customWidth="1"/>
    <col min="14527" max="14527" width="2.7109375" style="16" customWidth="1"/>
    <col min="14528" max="14528" width="10.7109375" style="16" customWidth="1"/>
    <col min="14529" max="14529" width="11.7109375" style="16" customWidth="1"/>
    <col min="14530" max="14530" width="17.7109375" style="16" customWidth="1"/>
    <col min="14531" max="14531" width="11.7109375" style="16" customWidth="1"/>
    <col min="14532" max="14532" width="17.7109375" style="16" customWidth="1"/>
    <col min="14533" max="14533" width="10.7109375" style="16" customWidth="1"/>
    <col min="14534" max="14534" width="2.7109375" style="16" customWidth="1"/>
    <col min="14535" max="14535" width="10.7109375" style="16" customWidth="1"/>
    <col min="14536" max="14536" width="11.7109375" style="16" customWidth="1"/>
    <col min="14537" max="14537" width="17.7109375" style="16" customWidth="1"/>
    <col min="14538" max="14538" width="11.7109375" style="16" customWidth="1"/>
    <col min="14539" max="14539" width="17.7109375" style="16" customWidth="1"/>
    <col min="14540" max="14540" width="10.7109375" style="16" customWidth="1"/>
    <col min="14541" max="14541" width="2.7109375" style="16" customWidth="1"/>
    <col min="14542" max="14542" width="10.7109375" style="16" customWidth="1"/>
    <col min="14543" max="14543" width="11.7109375" style="16" customWidth="1"/>
    <col min="14544" max="14544" width="17.7109375" style="16" customWidth="1"/>
    <col min="14545" max="14545" width="11.7109375" style="16" customWidth="1"/>
    <col min="14546" max="14546" width="17.7109375" style="16" customWidth="1"/>
    <col min="14547" max="14547" width="10.7109375" style="16" customWidth="1"/>
    <col min="14548" max="14776" width="10.7109375" style="16"/>
    <col min="14777" max="14777" width="10.7109375" style="16" customWidth="1"/>
    <col min="14778" max="14778" width="11.7109375" style="16" customWidth="1"/>
    <col min="14779" max="14779" width="17.7109375" style="16" customWidth="1"/>
    <col min="14780" max="14780" width="11.7109375" style="16" customWidth="1"/>
    <col min="14781" max="14781" width="17.7109375" style="16" customWidth="1"/>
    <col min="14782" max="14782" width="10.7109375" style="16" customWidth="1"/>
    <col min="14783" max="14783" width="2.7109375" style="16" customWidth="1"/>
    <col min="14784" max="14784" width="10.7109375" style="16" customWidth="1"/>
    <col min="14785" max="14785" width="11.7109375" style="16" customWidth="1"/>
    <col min="14786" max="14786" width="17.7109375" style="16" customWidth="1"/>
    <col min="14787" max="14787" width="11.7109375" style="16" customWidth="1"/>
    <col min="14788" max="14788" width="17.7109375" style="16" customWidth="1"/>
    <col min="14789" max="14789" width="10.7109375" style="16" customWidth="1"/>
    <col min="14790" max="14790" width="2.7109375" style="16" customWidth="1"/>
    <col min="14791" max="14791" width="10.7109375" style="16" customWidth="1"/>
    <col min="14792" max="14792" width="11.7109375" style="16" customWidth="1"/>
    <col min="14793" max="14793" width="17.7109375" style="16" customWidth="1"/>
    <col min="14794" max="14794" width="11.7109375" style="16" customWidth="1"/>
    <col min="14795" max="14795" width="17.7109375" style="16" customWidth="1"/>
    <col min="14796" max="14796" width="10.7109375" style="16" customWidth="1"/>
    <col min="14797" max="14797" width="2.7109375" style="16" customWidth="1"/>
    <col min="14798" max="14798" width="10.7109375" style="16" customWidth="1"/>
    <col min="14799" max="14799" width="11.7109375" style="16" customWidth="1"/>
    <col min="14800" max="14800" width="17.7109375" style="16" customWidth="1"/>
    <col min="14801" max="14801" width="11.7109375" style="16" customWidth="1"/>
    <col min="14802" max="14802" width="17.7109375" style="16" customWidth="1"/>
    <col min="14803" max="14803" width="10.7109375" style="16" customWidth="1"/>
    <col min="14804" max="15032" width="10.7109375" style="16"/>
    <col min="15033" max="15033" width="10.7109375" style="16" customWidth="1"/>
    <col min="15034" max="15034" width="11.7109375" style="16" customWidth="1"/>
    <col min="15035" max="15035" width="17.7109375" style="16" customWidth="1"/>
    <col min="15036" max="15036" width="11.7109375" style="16" customWidth="1"/>
    <col min="15037" max="15037" width="17.7109375" style="16" customWidth="1"/>
    <col min="15038" max="15038" width="10.7109375" style="16" customWidth="1"/>
    <col min="15039" max="15039" width="2.7109375" style="16" customWidth="1"/>
    <col min="15040" max="15040" width="10.7109375" style="16" customWidth="1"/>
    <col min="15041" max="15041" width="11.7109375" style="16" customWidth="1"/>
    <col min="15042" max="15042" width="17.7109375" style="16" customWidth="1"/>
    <col min="15043" max="15043" width="11.7109375" style="16" customWidth="1"/>
    <col min="15044" max="15044" width="17.7109375" style="16" customWidth="1"/>
    <col min="15045" max="15045" width="10.7109375" style="16" customWidth="1"/>
    <col min="15046" max="15046" width="2.7109375" style="16" customWidth="1"/>
    <col min="15047" max="15047" width="10.7109375" style="16" customWidth="1"/>
    <col min="15048" max="15048" width="11.7109375" style="16" customWidth="1"/>
    <col min="15049" max="15049" width="17.7109375" style="16" customWidth="1"/>
    <col min="15050" max="15050" width="11.7109375" style="16" customWidth="1"/>
    <col min="15051" max="15051" width="17.7109375" style="16" customWidth="1"/>
    <col min="15052" max="15052" width="10.7109375" style="16" customWidth="1"/>
    <col min="15053" max="15053" width="2.7109375" style="16" customWidth="1"/>
    <col min="15054" max="15054" width="10.7109375" style="16" customWidth="1"/>
    <col min="15055" max="15055" width="11.7109375" style="16" customWidth="1"/>
    <col min="15056" max="15056" width="17.7109375" style="16" customWidth="1"/>
    <col min="15057" max="15057" width="11.7109375" style="16" customWidth="1"/>
    <col min="15058" max="15058" width="17.7109375" style="16" customWidth="1"/>
    <col min="15059" max="15059" width="10.7109375" style="16" customWidth="1"/>
    <col min="15060" max="15288" width="10.7109375" style="16"/>
    <col min="15289" max="15289" width="10.7109375" style="16" customWidth="1"/>
    <col min="15290" max="15290" width="11.7109375" style="16" customWidth="1"/>
    <col min="15291" max="15291" width="17.7109375" style="16" customWidth="1"/>
    <col min="15292" max="15292" width="11.7109375" style="16" customWidth="1"/>
    <col min="15293" max="15293" width="17.7109375" style="16" customWidth="1"/>
    <col min="15294" max="15294" width="10.7109375" style="16" customWidth="1"/>
    <col min="15295" max="15295" width="2.7109375" style="16" customWidth="1"/>
    <col min="15296" max="15296" width="10.7109375" style="16" customWidth="1"/>
    <col min="15297" max="15297" width="11.7109375" style="16" customWidth="1"/>
    <col min="15298" max="15298" width="17.7109375" style="16" customWidth="1"/>
    <col min="15299" max="15299" width="11.7109375" style="16" customWidth="1"/>
    <col min="15300" max="15300" width="17.7109375" style="16" customWidth="1"/>
    <col min="15301" max="15301" width="10.7109375" style="16" customWidth="1"/>
    <col min="15302" max="15302" width="2.7109375" style="16" customWidth="1"/>
    <col min="15303" max="15303" width="10.7109375" style="16" customWidth="1"/>
    <col min="15304" max="15304" width="11.7109375" style="16" customWidth="1"/>
    <col min="15305" max="15305" width="17.7109375" style="16" customWidth="1"/>
    <col min="15306" max="15306" width="11.7109375" style="16" customWidth="1"/>
    <col min="15307" max="15307" width="17.7109375" style="16" customWidth="1"/>
    <col min="15308" max="15308" width="10.7109375" style="16" customWidth="1"/>
    <col min="15309" max="15309" width="2.7109375" style="16" customWidth="1"/>
    <col min="15310" max="15310" width="10.7109375" style="16" customWidth="1"/>
    <col min="15311" max="15311" width="11.7109375" style="16" customWidth="1"/>
    <col min="15312" max="15312" width="17.7109375" style="16" customWidth="1"/>
    <col min="15313" max="15313" width="11.7109375" style="16" customWidth="1"/>
    <col min="15314" max="15314" width="17.7109375" style="16" customWidth="1"/>
    <col min="15315" max="15315" width="10.7109375" style="16" customWidth="1"/>
    <col min="15316" max="15544" width="10.7109375" style="16"/>
    <col min="15545" max="15545" width="10.7109375" style="16" customWidth="1"/>
    <col min="15546" max="15546" width="11.7109375" style="16" customWidth="1"/>
    <col min="15547" max="15547" width="17.7109375" style="16" customWidth="1"/>
    <col min="15548" max="15548" width="11.7109375" style="16" customWidth="1"/>
    <col min="15549" max="15549" width="17.7109375" style="16" customWidth="1"/>
    <col min="15550" max="15550" width="10.7109375" style="16" customWidth="1"/>
    <col min="15551" max="15551" width="2.7109375" style="16" customWidth="1"/>
    <col min="15552" max="15552" width="10.7109375" style="16" customWidth="1"/>
    <col min="15553" max="15553" width="11.7109375" style="16" customWidth="1"/>
    <col min="15554" max="15554" width="17.7109375" style="16" customWidth="1"/>
    <col min="15555" max="15555" width="11.7109375" style="16" customWidth="1"/>
    <col min="15556" max="15556" width="17.7109375" style="16" customWidth="1"/>
    <col min="15557" max="15557" width="10.7109375" style="16" customWidth="1"/>
    <col min="15558" max="15558" width="2.7109375" style="16" customWidth="1"/>
    <col min="15559" max="15559" width="10.7109375" style="16" customWidth="1"/>
    <col min="15560" max="15560" width="11.7109375" style="16" customWidth="1"/>
    <col min="15561" max="15561" width="17.7109375" style="16" customWidth="1"/>
    <col min="15562" max="15562" width="11.7109375" style="16" customWidth="1"/>
    <col min="15563" max="15563" width="17.7109375" style="16" customWidth="1"/>
    <col min="15564" max="15564" width="10.7109375" style="16" customWidth="1"/>
    <col min="15565" max="15565" width="2.7109375" style="16" customWidth="1"/>
    <col min="15566" max="15566" width="10.7109375" style="16" customWidth="1"/>
    <col min="15567" max="15567" width="11.7109375" style="16" customWidth="1"/>
    <col min="15568" max="15568" width="17.7109375" style="16" customWidth="1"/>
    <col min="15569" max="15569" width="11.7109375" style="16" customWidth="1"/>
    <col min="15570" max="15570" width="17.7109375" style="16" customWidth="1"/>
    <col min="15571" max="15571" width="10.7109375" style="16" customWidth="1"/>
    <col min="15572" max="15800" width="10.7109375" style="16"/>
    <col min="15801" max="15801" width="10.7109375" style="16" customWidth="1"/>
    <col min="15802" max="15802" width="11.7109375" style="16" customWidth="1"/>
    <col min="15803" max="15803" width="17.7109375" style="16" customWidth="1"/>
    <col min="15804" max="15804" width="11.7109375" style="16" customWidth="1"/>
    <col min="15805" max="15805" width="17.7109375" style="16" customWidth="1"/>
    <col min="15806" max="15806" width="10.7109375" style="16" customWidth="1"/>
    <col min="15807" max="15807" width="2.7109375" style="16" customWidth="1"/>
    <col min="15808" max="15808" width="10.7109375" style="16" customWidth="1"/>
    <col min="15809" max="15809" width="11.7109375" style="16" customWidth="1"/>
    <col min="15810" max="15810" width="17.7109375" style="16" customWidth="1"/>
    <col min="15811" max="15811" width="11.7109375" style="16" customWidth="1"/>
    <col min="15812" max="15812" width="17.7109375" style="16" customWidth="1"/>
    <col min="15813" max="15813" width="10.7109375" style="16" customWidth="1"/>
    <col min="15814" max="15814" width="2.7109375" style="16" customWidth="1"/>
    <col min="15815" max="15815" width="10.7109375" style="16" customWidth="1"/>
    <col min="15816" max="15816" width="11.7109375" style="16" customWidth="1"/>
    <col min="15817" max="15817" width="17.7109375" style="16" customWidth="1"/>
    <col min="15818" max="15818" width="11.7109375" style="16" customWidth="1"/>
    <col min="15819" max="15819" width="17.7109375" style="16" customWidth="1"/>
    <col min="15820" max="15820" width="10.7109375" style="16" customWidth="1"/>
    <col min="15821" max="15821" width="2.7109375" style="16" customWidth="1"/>
    <col min="15822" max="15822" width="10.7109375" style="16" customWidth="1"/>
    <col min="15823" max="15823" width="11.7109375" style="16" customWidth="1"/>
    <col min="15824" max="15824" width="17.7109375" style="16" customWidth="1"/>
    <col min="15825" max="15825" width="11.7109375" style="16" customWidth="1"/>
    <col min="15826" max="15826" width="17.7109375" style="16" customWidth="1"/>
    <col min="15827" max="15827" width="10.7109375" style="16" customWidth="1"/>
    <col min="15828" max="16056" width="10.7109375" style="16"/>
    <col min="16057" max="16057" width="10.7109375" style="16" customWidth="1"/>
    <col min="16058" max="16058" width="11.7109375" style="16" customWidth="1"/>
    <col min="16059" max="16059" width="17.7109375" style="16" customWidth="1"/>
    <col min="16060" max="16060" width="11.7109375" style="16" customWidth="1"/>
    <col min="16061" max="16061" width="17.7109375" style="16" customWidth="1"/>
    <col min="16062" max="16062" width="10.7109375" style="16" customWidth="1"/>
    <col min="16063" max="16063" width="2.7109375" style="16" customWidth="1"/>
    <col min="16064" max="16064" width="10.7109375" style="16" customWidth="1"/>
    <col min="16065" max="16065" width="11.7109375" style="16" customWidth="1"/>
    <col min="16066" max="16066" width="17.7109375" style="16" customWidth="1"/>
    <col min="16067" max="16067" width="11.7109375" style="16" customWidth="1"/>
    <col min="16068" max="16068" width="17.7109375" style="16" customWidth="1"/>
    <col min="16069" max="16069" width="10.7109375" style="16" customWidth="1"/>
    <col min="16070" max="16070" width="2.7109375" style="16" customWidth="1"/>
    <col min="16071" max="16071" width="10.7109375" style="16" customWidth="1"/>
    <col min="16072" max="16072" width="11.7109375" style="16" customWidth="1"/>
    <col min="16073" max="16073" width="17.7109375" style="16" customWidth="1"/>
    <col min="16074" max="16074" width="11.7109375" style="16" customWidth="1"/>
    <col min="16075" max="16075" width="17.7109375" style="16" customWidth="1"/>
    <col min="16076" max="16076" width="10.7109375" style="16" customWidth="1"/>
    <col min="16077" max="16077" width="2.7109375" style="16" customWidth="1"/>
    <col min="16078" max="16078" width="10.7109375" style="16" customWidth="1"/>
    <col min="16079" max="16079" width="11.7109375" style="16" customWidth="1"/>
    <col min="16080" max="16080" width="17.7109375" style="16" customWidth="1"/>
    <col min="16081" max="16081" width="11.7109375" style="16" customWidth="1"/>
    <col min="16082" max="16082" width="17.7109375" style="16" customWidth="1"/>
    <col min="16083" max="16083" width="10.7109375" style="16" customWidth="1"/>
    <col min="16084" max="16384" width="10.7109375" style="16"/>
  </cols>
  <sheetData>
    <row r="1" spans="1:37" ht="44.25" customHeight="1" thickBot="1" x14ac:dyDescent="0.25">
      <c r="B1" s="292" t="s">
        <v>88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  <c r="AA1" s="293"/>
      <c r="AB1" s="294"/>
      <c r="AC1" s="49"/>
      <c r="AD1" s="49"/>
      <c r="AE1" s="277" t="s">
        <v>12</v>
      </c>
      <c r="AF1" s="277"/>
      <c r="AG1" s="277"/>
      <c r="AH1" s="277"/>
      <c r="AI1" s="277"/>
      <c r="AJ1" s="277"/>
      <c r="AK1" s="277"/>
    </row>
    <row r="2" spans="1:37" s="15" customFormat="1" ht="18.75" customHeight="1" thickTop="1" thickBot="1" x14ac:dyDescent="0.25">
      <c r="B2" s="52"/>
      <c r="C2" s="17"/>
      <c r="D2" s="17"/>
      <c r="E2" s="17"/>
      <c r="F2" s="17"/>
      <c r="G2" s="17"/>
      <c r="H2" s="17"/>
      <c r="I2" s="17"/>
      <c r="J2" s="17"/>
      <c r="K2" s="17"/>
      <c r="L2" s="17"/>
      <c r="M2" s="127">
        <v>0.54166666666666663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53"/>
      <c r="AC2" s="49"/>
      <c r="AD2" s="49"/>
      <c r="AE2" s="277"/>
      <c r="AF2" s="277"/>
      <c r="AG2" s="277"/>
      <c r="AH2" s="277"/>
      <c r="AI2" s="277"/>
      <c r="AJ2" s="277"/>
      <c r="AK2" s="277"/>
    </row>
    <row r="3" spans="1:37" s="19" customFormat="1" ht="29.25" thickBot="1" x14ac:dyDescent="0.5">
      <c r="B3" s="327">
        <v>51</v>
      </c>
      <c r="C3" s="328"/>
      <c r="D3" s="299"/>
      <c r="E3" s="290"/>
      <c r="F3" s="290"/>
      <c r="G3" s="291"/>
      <c r="H3" s="288"/>
      <c r="I3" s="327">
        <v>52</v>
      </c>
      <c r="J3" s="328"/>
      <c r="K3" s="329"/>
      <c r="L3" s="330"/>
      <c r="M3" s="330"/>
      <c r="N3" s="331"/>
      <c r="O3" s="288"/>
      <c r="P3" s="327">
        <v>53</v>
      </c>
      <c r="Q3" s="328"/>
      <c r="R3" s="299"/>
      <c r="S3" s="290"/>
      <c r="T3" s="290"/>
      <c r="U3" s="291"/>
      <c r="V3" s="288"/>
      <c r="W3" s="327">
        <v>54</v>
      </c>
      <c r="X3" s="328"/>
      <c r="Y3" s="299"/>
      <c r="Z3" s="290"/>
      <c r="AA3" s="290"/>
      <c r="AB3" s="291"/>
      <c r="AC3" s="49"/>
      <c r="AD3" s="49"/>
      <c r="AE3" s="277"/>
      <c r="AF3" s="277"/>
      <c r="AG3" s="277"/>
      <c r="AH3" s="277"/>
      <c r="AI3" s="277"/>
      <c r="AJ3" s="277"/>
      <c r="AK3" s="277"/>
    </row>
    <row r="4" spans="1:37" ht="29.25" customHeight="1" thickBot="1" x14ac:dyDescent="0.25">
      <c r="B4" s="76"/>
      <c r="C4" s="135" t="s">
        <v>101</v>
      </c>
      <c r="D4" s="373" t="s">
        <v>292</v>
      </c>
      <c r="E4" s="78" t="s">
        <v>103</v>
      </c>
      <c r="F4" s="71" t="s">
        <v>293</v>
      </c>
      <c r="G4" s="79">
        <v>51</v>
      </c>
      <c r="H4" s="288"/>
      <c r="I4" s="76"/>
      <c r="J4" s="135" t="s">
        <v>101</v>
      </c>
      <c r="K4" s="71" t="s">
        <v>205</v>
      </c>
      <c r="L4" s="78" t="s">
        <v>103</v>
      </c>
      <c r="M4" s="71" t="s">
        <v>206</v>
      </c>
      <c r="N4" s="79">
        <v>51</v>
      </c>
      <c r="O4" s="288"/>
      <c r="P4" s="76"/>
      <c r="Q4" s="135" t="s">
        <v>101</v>
      </c>
      <c r="R4" s="71" t="s">
        <v>189</v>
      </c>
      <c r="S4" s="78" t="s">
        <v>103</v>
      </c>
      <c r="T4" s="71" t="s">
        <v>190</v>
      </c>
      <c r="U4" s="79">
        <v>51</v>
      </c>
      <c r="V4" s="288"/>
      <c r="W4" s="134"/>
      <c r="X4" s="135" t="s">
        <v>101</v>
      </c>
      <c r="Y4" s="71" t="s">
        <v>226</v>
      </c>
      <c r="Z4" s="78" t="s">
        <v>103</v>
      </c>
      <c r="AA4" s="71" t="s">
        <v>227</v>
      </c>
      <c r="AB4" s="79">
        <v>51</v>
      </c>
      <c r="AC4" s="49"/>
      <c r="AD4" s="49"/>
      <c r="AE4" s="49"/>
    </row>
    <row r="5" spans="1:37" ht="28.5" customHeight="1" thickBot="1" x14ac:dyDescent="0.4">
      <c r="A5" s="16">
        <v>1</v>
      </c>
      <c r="B5" s="76">
        <v>59</v>
      </c>
      <c r="C5" s="135" t="s">
        <v>101</v>
      </c>
      <c r="D5" s="71" t="s">
        <v>191</v>
      </c>
      <c r="E5" s="78" t="s">
        <v>103</v>
      </c>
      <c r="F5" s="71" t="s">
        <v>192</v>
      </c>
      <c r="G5" s="79">
        <v>51</v>
      </c>
      <c r="H5" s="288"/>
      <c r="I5" s="76">
        <v>59</v>
      </c>
      <c r="J5" s="135" t="s">
        <v>101</v>
      </c>
      <c r="K5" s="71" t="s">
        <v>228</v>
      </c>
      <c r="L5" s="78" t="s">
        <v>103</v>
      </c>
      <c r="M5" s="71" t="s">
        <v>229</v>
      </c>
      <c r="N5" s="79">
        <v>51</v>
      </c>
      <c r="O5" s="288"/>
      <c r="P5" s="76">
        <v>59</v>
      </c>
      <c r="Q5" s="135" t="s">
        <v>101</v>
      </c>
      <c r="R5" s="71" t="s">
        <v>238</v>
      </c>
      <c r="S5" s="78" t="s">
        <v>103</v>
      </c>
      <c r="T5" s="71" t="s">
        <v>239</v>
      </c>
      <c r="U5" s="79">
        <v>51</v>
      </c>
      <c r="V5" s="288"/>
      <c r="W5" s="134">
        <v>59</v>
      </c>
      <c r="X5" s="135" t="s">
        <v>101</v>
      </c>
      <c r="Y5" s="71" t="s">
        <v>298</v>
      </c>
      <c r="Z5" s="78" t="s">
        <v>103</v>
      </c>
      <c r="AA5" s="71" t="s">
        <v>299</v>
      </c>
      <c r="AB5" s="79">
        <v>51</v>
      </c>
      <c r="AC5" s="49"/>
      <c r="AD5" s="49"/>
      <c r="AE5" s="49"/>
      <c r="AG5" s="278" t="s">
        <v>10</v>
      </c>
      <c r="AH5" s="279"/>
      <c r="AI5" s="280"/>
      <c r="AJ5" s="109">
        <v>0.66666666666666663</v>
      </c>
      <c r="AK5" s="109">
        <v>0.54166666666666663</v>
      </c>
    </row>
    <row r="6" spans="1:37" ht="28.5" customHeight="1" thickBot="1" x14ac:dyDescent="0.45">
      <c r="A6" s="16">
        <v>2</v>
      </c>
      <c r="B6" s="76">
        <v>37</v>
      </c>
      <c r="C6" s="135" t="s">
        <v>101</v>
      </c>
      <c r="D6" s="71" t="s">
        <v>261</v>
      </c>
      <c r="E6" s="78" t="s">
        <v>103</v>
      </c>
      <c r="F6" s="71" t="s">
        <v>262</v>
      </c>
      <c r="G6" s="79">
        <v>51</v>
      </c>
      <c r="H6" s="288"/>
      <c r="I6" s="76">
        <v>31</v>
      </c>
      <c r="J6" s="135" t="s">
        <v>101</v>
      </c>
      <c r="K6" s="71" t="s">
        <v>268</v>
      </c>
      <c r="L6" s="78" t="s">
        <v>103</v>
      </c>
      <c r="M6" s="71" t="s">
        <v>269</v>
      </c>
      <c r="N6" s="79">
        <v>51</v>
      </c>
      <c r="O6" s="288"/>
      <c r="P6" s="76">
        <v>25</v>
      </c>
      <c r="Q6" s="135" t="s">
        <v>101</v>
      </c>
      <c r="R6" s="71" t="s">
        <v>280</v>
      </c>
      <c r="S6" s="78" t="s">
        <v>103</v>
      </c>
      <c r="T6" s="71" t="s">
        <v>281</v>
      </c>
      <c r="U6" s="79">
        <v>51</v>
      </c>
      <c r="V6" s="288"/>
      <c r="W6" s="134">
        <v>22</v>
      </c>
      <c r="X6" s="135" t="s">
        <v>101</v>
      </c>
      <c r="Y6" s="71" t="s">
        <v>240</v>
      </c>
      <c r="Z6" s="78" t="s">
        <v>103</v>
      </c>
      <c r="AA6" s="71" t="s">
        <v>241</v>
      </c>
      <c r="AB6" s="79">
        <v>51</v>
      </c>
      <c r="AC6" s="49"/>
      <c r="AD6" s="55"/>
      <c r="AE6" s="49"/>
      <c r="AG6" s="75" t="s">
        <v>16</v>
      </c>
      <c r="AH6" s="56"/>
      <c r="AI6" s="75" t="s">
        <v>15</v>
      </c>
      <c r="AJ6" s="287" t="s">
        <v>14</v>
      </c>
      <c r="AK6" s="287" t="s">
        <v>13</v>
      </c>
    </row>
    <row r="7" spans="1:37" ht="28.5" customHeight="1" thickBot="1" x14ac:dyDescent="0.25">
      <c r="A7" s="16">
        <v>3</v>
      </c>
      <c r="B7" s="76">
        <v>20</v>
      </c>
      <c r="C7" s="135" t="s">
        <v>101</v>
      </c>
      <c r="D7" s="135" t="s">
        <v>256</v>
      </c>
      <c r="E7" s="78" t="s">
        <v>103</v>
      </c>
      <c r="F7" s="71" t="s">
        <v>257</v>
      </c>
      <c r="G7" s="79">
        <v>51</v>
      </c>
      <c r="H7" s="288"/>
      <c r="I7" s="76">
        <v>20</v>
      </c>
      <c r="J7" s="135" t="s">
        <v>101</v>
      </c>
      <c r="K7" s="71" t="s">
        <v>263</v>
      </c>
      <c r="L7" s="78" t="s">
        <v>103</v>
      </c>
      <c r="M7" s="71" t="s">
        <v>264</v>
      </c>
      <c r="N7" s="79">
        <v>51</v>
      </c>
      <c r="O7" s="288"/>
      <c r="P7" s="76">
        <v>20</v>
      </c>
      <c r="Q7" s="135" t="s">
        <v>101</v>
      </c>
      <c r="R7" s="71" t="s">
        <v>270</v>
      </c>
      <c r="S7" s="78" t="s">
        <v>103</v>
      </c>
      <c r="T7" s="71" t="s">
        <v>271</v>
      </c>
      <c r="U7" s="79">
        <v>51</v>
      </c>
      <c r="V7" s="288"/>
      <c r="W7" s="76">
        <v>20</v>
      </c>
      <c r="X7" s="135" t="s">
        <v>101</v>
      </c>
      <c r="Y7" s="71" t="s">
        <v>276</v>
      </c>
      <c r="Z7" s="78" t="s">
        <v>103</v>
      </c>
      <c r="AA7" s="71" t="s">
        <v>277</v>
      </c>
      <c r="AB7" s="79">
        <v>51</v>
      </c>
      <c r="AC7" s="49"/>
      <c r="AD7" s="49"/>
      <c r="AE7" s="49"/>
      <c r="AJ7" s="287"/>
      <c r="AK7" s="287"/>
    </row>
    <row r="8" spans="1:37" ht="28.5" customHeight="1" thickBot="1" x14ac:dyDescent="0.35">
      <c r="A8" s="16">
        <v>4</v>
      </c>
      <c r="B8" s="76">
        <v>20</v>
      </c>
      <c r="C8" s="135" t="s">
        <v>101</v>
      </c>
      <c r="D8" s="71" t="s">
        <v>250</v>
      </c>
      <c r="E8" s="78" t="s">
        <v>103</v>
      </c>
      <c r="F8" s="71" t="s">
        <v>251</v>
      </c>
      <c r="G8" s="79">
        <v>51</v>
      </c>
      <c r="H8" s="288"/>
      <c r="I8" s="76">
        <v>20</v>
      </c>
      <c r="J8" s="135" t="s">
        <v>101</v>
      </c>
      <c r="K8" s="71" t="s">
        <v>224</v>
      </c>
      <c r="L8" s="78" t="s">
        <v>103</v>
      </c>
      <c r="M8" s="71" t="s">
        <v>225</v>
      </c>
      <c r="N8" s="79">
        <v>51</v>
      </c>
      <c r="O8" s="288"/>
      <c r="P8" s="76">
        <v>20</v>
      </c>
      <c r="Q8" s="135" t="s">
        <v>101</v>
      </c>
      <c r="R8" s="71" t="s">
        <v>265</v>
      </c>
      <c r="S8" s="78" t="s">
        <v>103</v>
      </c>
      <c r="T8" s="71" t="s">
        <v>266</v>
      </c>
      <c r="U8" s="79">
        <v>51</v>
      </c>
      <c r="V8" s="288"/>
      <c r="W8" s="76">
        <v>20</v>
      </c>
      <c r="X8" s="135" t="s">
        <v>101</v>
      </c>
      <c r="Y8" s="71" t="s">
        <v>234</v>
      </c>
      <c r="Z8" s="78" t="s">
        <v>103</v>
      </c>
      <c r="AA8" s="373" t="s">
        <v>235</v>
      </c>
      <c r="AB8" s="79">
        <v>51</v>
      </c>
      <c r="AC8" s="49"/>
      <c r="AD8" s="49"/>
      <c r="AE8" s="49"/>
      <c r="AF8" s="300" t="s">
        <v>19</v>
      </c>
      <c r="AG8" s="301"/>
      <c r="AH8" s="301"/>
      <c r="AI8" s="302"/>
      <c r="AJ8" s="287"/>
      <c r="AK8" s="287"/>
    </row>
    <row r="9" spans="1:37" ht="28.5" customHeight="1" thickBot="1" x14ac:dyDescent="0.4">
      <c r="A9" s="16">
        <v>5</v>
      </c>
      <c r="B9" s="76">
        <v>31</v>
      </c>
      <c r="C9" s="135" t="s">
        <v>101</v>
      </c>
      <c r="D9" s="71" t="s">
        <v>290</v>
      </c>
      <c r="E9" s="78" t="s">
        <v>103</v>
      </c>
      <c r="F9" s="71" t="s">
        <v>291</v>
      </c>
      <c r="G9" s="79">
        <v>51</v>
      </c>
      <c r="H9" s="288"/>
      <c r="I9" s="76">
        <v>27</v>
      </c>
      <c r="J9" s="135" t="s">
        <v>101</v>
      </c>
      <c r="K9" s="71" t="s">
        <v>252</v>
      </c>
      <c r="L9" s="78" t="s">
        <v>103</v>
      </c>
      <c r="M9" s="135" t="s">
        <v>253</v>
      </c>
      <c r="N9" s="79">
        <v>51</v>
      </c>
      <c r="O9" s="288"/>
      <c r="P9" s="76">
        <v>35</v>
      </c>
      <c r="Q9" s="135" t="s">
        <v>101</v>
      </c>
      <c r="R9" s="71" t="s">
        <v>215</v>
      </c>
      <c r="S9" s="135"/>
      <c r="T9" s="135"/>
      <c r="U9" s="79">
        <v>45</v>
      </c>
      <c r="V9" s="288"/>
      <c r="W9" s="134">
        <v>38</v>
      </c>
      <c r="X9" s="135" t="s">
        <v>101</v>
      </c>
      <c r="Y9" s="71" t="s">
        <v>260</v>
      </c>
      <c r="Z9" s="135"/>
      <c r="AA9" s="135"/>
      <c r="AB9" s="79">
        <v>45</v>
      </c>
      <c r="AC9" s="49"/>
      <c r="AD9" s="49"/>
      <c r="AE9" s="49"/>
      <c r="AF9" s="303" t="s">
        <v>17</v>
      </c>
      <c r="AG9" s="304"/>
      <c r="AH9" s="303" t="s">
        <v>18</v>
      </c>
      <c r="AI9" s="304"/>
      <c r="AJ9" s="283" t="s">
        <v>21</v>
      </c>
      <c r="AK9" s="284"/>
    </row>
    <row r="10" spans="1:37" s="15" customFormat="1" ht="29.25" customHeight="1" x14ac:dyDescent="0.35">
      <c r="A10" s="15">
        <v>6</v>
      </c>
      <c r="B10" s="76"/>
      <c r="C10" s="207"/>
      <c r="D10" s="207"/>
      <c r="E10" s="207"/>
      <c r="F10" s="207"/>
      <c r="G10" s="79"/>
      <c r="H10" s="288"/>
      <c r="I10" s="134"/>
      <c r="J10" s="135"/>
      <c r="K10" s="135"/>
      <c r="L10" s="135"/>
      <c r="M10" s="135"/>
      <c r="N10" s="79"/>
      <c r="O10" s="288"/>
      <c r="P10" s="134"/>
      <c r="Q10" s="135"/>
      <c r="R10" s="135"/>
      <c r="S10" s="135"/>
      <c r="T10" s="135"/>
      <c r="U10" s="79"/>
      <c r="V10" s="288"/>
      <c r="W10" s="134" t="str">
        <f t="shared" ref="W10" si="0">IFERROR(INT((Y10-AA9)*1440-($AJ$10/2)),"")</f>
        <v/>
      </c>
      <c r="X10" s="135" t="str">
        <f t="shared" ref="X10" si="1">IF(Y10="","",$AG$6)</f>
        <v/>
      </c>
      <c r="Y10" s="77" t="str">
        <f t="shared" ref="Y10" si="2">IF(IFERROR(VLOOKUP($W$3&amp;"-"&amp;$A11,USK_BILGILER,4,FALSE),"")&gt;AA10,IFERROR(VLOOKUP($W$3&amp;"-"&amp;$A11-1,USK_BILGILER,4,FALSE),""),IFERROR(VLOOKUP($W$3&amp;"-"&amp;$A11,USK_BILGILER,4,FALSE),""))</f>
        <v/>
      </c>
      <c r="Z10" s="77" t="str">
        <f t="shared" ref="Z10" si="3">IF(AA10="","",$AI$6)</f>
        <v/>
      </c>
      <c r="AA10" s="77" t="str">
        <f t="shared" ref="AA10" si="4">IFERROR(VLOOKUP($W$3&amp;"-"&amp;$A11,CEK_BILGILER,4,FALSE),"")</f>
        <v/>
      </c>
      <c r="AB10" s="79"/>
      <c r="AC10" s="136"/>
      <c r="AD10" s="136"/>
      <c r="AE10" s="136"/>
      <c r="AF10" s="137"/>
      <c r="AG10" s="138"/>
      <c r="AH10" s="137">
        <v>0.67388888888888887</v>
      </c>
      <c r="AI10" s="139"/>
      <c r="AJ10" s="285">
        <v>51</v>
      </c>
      <c r="AK10" s="286"/>
    </row>
    <row r="11" spans="1:37" ht="29.25" thickBot="1" x14ac:dyDescent="0.4">
      <c r="A11" s="16">
        <v>7</v>
      </c>
      <c r="B11" s="86"/>
      <c r="C11" s="87"/>
      <c r="D11" s="74" t="s">
        <v>4</v>
      </c>
      <c r="E11" s="88">
        <f>G11*100/540</f>
        <v>56.666666666666664</v>
      </c>
      <c r="F11" s="89" t="s">
        <v>5</v>
      </c>
      <c r="G11" s="90">
        <f>SUM(G4:G10)</f>
        <v>306</v>
      </c>
      <c r="H11" s="288"/>
      <c r="I11" s="86"/>
      <c r="J11" s="87"/>
      <c r="K11" s="74" t="s">
        <v>4</v>
      </c>
      <c r="L11" s="88">
        <f>N11*100/540</f>
        <v>56.666666666666664</v>
      </c>
      <c r="M11" s="89" t="s">
        <v>5</v>
      </c>
      <c r="N11" s="90">
        <f>SUM(N4:N9)</f>
        <v>306</v>
      </c>
      <c r="O11" s="288"/>
      <c r="P11" s="86"/>
      <c r="Q11" s="87"/>
      <c r="R11" s="74" t="s">
        <v>4</v>
      </c>
      <c r="S11" s="88">
        <f>U11*100/540</f>
        <v>55.555555555555557</v>
      </c>
      <c r="T11" s="89" t="s">
        <v>5</v>
      </c>
      <c r="U11" s="90">
        <f>SUM(U4:U9)</f>
        <v>300</v>
      </c>
      <c r="V11" s="288"/>
      <c r="W11" s="86"/>
      <c r="X11" s="230"/>
      <c r="Y11" s="74" t="s">
        <v>4</v>
      </c>
      <c r="Z11" s="88">
        <f>AB11*100/540</f>
        <v>55.555555555555557</v>
      </c>
      <c r="AA11" s="89" t="s">
        <v>5</v>
      </c>
      <c r="AB11" s="90">
        <f>SUM(AB4:AB9)</f>
        <v>300</v>
      </c>
      <c r="AC11" s="49"/>
      <c r="AD11" s="202"/>
      <c r="AE11" s="49"/>
      <c r="AF11" s="59"/>
      <c r="AG11" s="68"/>
      <c r="AH11" s="59">
        <v>0.68902777777777768</v>
      </c>
      <c r="AI11" s="65"/>
      <c r="AJ11" s="285"/>
      <c r="AK11" s="286"/>
    </row>
    <row r="12" spans="1:37" ht="29.25" thickBot="1" x14ac:dyDescent="0.4">
      <c r="B12" s="336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  <c r="U12" s="308"/>
      <c r="V12" s="308"/>
      <c r="W12" s="308"/>
      <c r="X12" s="308"/>
      <c r="Y12" s="308"/>
      <c r="Z12" s="308"/>
      <c r="AA12" s="308"/>
      <c r="AB12" s="309"/>
      <c r="AC12" s="49"/>
      <c r="AD12" s="202"/>
      <c r="AE12" s="49"/>
      <c r="AF12" s="59"/>
      <c r="AG12" s="68"/>
      <c r="AH12" s="59"/>
      <c r="AI12" s="65"/>
    </row>
    <row r="13" spans="1:37" ht="29.25" thickBot="1" x14ac:dyDescent="0.5">
      <c r="B13" s="327">
        <v>55</v>
      </c>
      <c r="C13" s="328"/>
      <c r="D13" s="299"/>
      <c r="E13" s="290"/>
      <c r="F13" s="290"/>
      <c r="G13" s="291"/>
      <c r="H13" s="337"/>
      <c r="I13" s="327">
        <v>56</v>
      </c>
      <c r="J13" s="328"/>
      <c r="K13" s="299" t="s">
        <v>24</v>
      </c>
      <c r="L13" s="290"/>
      <c r="M13" s="290"/>
      <c r="N13" s="291"/>
      <c r="O13" s="94"/>
      <c r="P13" s="327"/>
      <c r="Q13" s="328"/>
      <c r="R13" s="299"/>
      <c r="S13" s="290"/>
      <c r="T13" s="290"/>
      <c r="U13" s="291"/>
      <c r="V13" s="94"/>
      <c r="W13" s="220"/>
      <c r="X13" s="221"/>
      <c r="Y13" s="299"/>
      <c r="Z13" s="290"/>
      <c r="AA13" s="290"/>
      <c r="AB13" s="291"/>
      <c r="AC13" s="49"/>
      <c r="AD13" s="202"/>
      <c r="AE13" s="49"/>
      <c r="AF13" s="59"/>
      <c r="AG13" s="68"/>
      <c r="AH13" s="59"/>
      <c r="AI13" s="65"/>
    </row>
    <row r="14" spans="1:37" ht="28.5" x14ac:dyDescent="0.35">
      <c r="B14" s="76"/>
      <c r="C14" s="135" t="s">
        <v>101</v>
      </c>
      <c r="D14" s="71" t="s">
        <v>201</v>
      </c>
      <c r="E14" s="78" t="s">
        <v>103</v>
      </c>
      <c r="F14" s="71" t="s">
        <v>202</v>
      </c>
      <c r="G14" s="79">
        <v>51</v>
      </c>
      <c r="H14" s="337"/>
      <c r="I14" s="76"/>
      <c r="J14" s="77" t="s">
        <v>101</v>
      </c>
      <c r="K14" s="71" t="s">
        <v>207</v>
      </c>
      <c r="L14" s="78" t="s">
        <v>103</v>
      </c>
      <c r="M14" s="71" t="s">
        <v>208</v>
      </c>
      <c r="N14" s="79">
        <v>51</v>
      </c>
      <c r="O14" s="80"/>
      <c r="P14" s="76"/>
      <c r="Q14" s="135"/>
      <c r="R14" s="135"/>
      <c r="S14" s="135"/>
      <c r="T14" s="135"/>
      <c r="U14" s="79"/>
      <c r="V14" s="80"/>
      <c r="W14" s="76"/>
      <c r="X14" s="77" t="str">
        <f>IF(Y14="","",$AG$6)</f>
        <v/>
      </c>
      <c r="Y14" s="77" t="str">
        <f>IF(IFERROR(VLOOKUP($W$13&amp;"-"&amp;$A5,USK_BILGILER,4,FALSE),"")&gt;AA14,IFERROR(VLOOKUP($W$13&amp;"-"&amp;$A5-1,USK_BILGILER,4,FALSE),""),IFERROR(VLOOKUP($W$13&amp;"-"&amp;$A5,USK_BILGILER,4,FALSE),""))</f>
        <v/>
      </c>
      <c r="Z14" s="77" t="str">
        <f>IF(AA14="","",$AI$6)</f>
        <v/>
      </c>
      <c r="AA14" s="77" t="str">
        <f>IFERROR(VLOOKUP($W$13&amp;"-"&amp;$A5,CEK_BILGILER,4,FALSE),"")</f>
        <v/>
      </c>
      <c r="AB14" s="79" t="str">
        <f>IFERROR(INT(((AA14-Y14)*1440)+($AJ$10/2)),"")</f>
        <v/>
      </c>
      <c r="AC14" s="49"/>
      <c r="AD14" s="202"/>
      <c r="AE14" s="49"/>
      <c r="AF14" s="59"/>
      <c r="AG14" s="68"/>
      <c r="AH14" s="59"/>
      <c r="AI14" s="65"/>
    </row>
    <row r="15" spans="1:37" ht="28.5" x14ac:dyDescent="0.35">
      <c r="B15" s="76">
        <v>59</v>
      </c>
      <c r="C15" s="135" t="s">
        <v>101</v>
      </c>
      <c r="D15" s="71" t="s">
        <v>246</v>
      </c>
      <c r="E15" s="78" t="s">
        <v>103</v>
      </c>
      <c r="F15" s="71" t="s">
        <v>247</v>
      </c>
      <c r="G15" s="79">
        <v>51</v>
      </c>
      <c r="H15" s="337"/>
      <c r="I15" s="76">
        <v>40</v>
      </c>
      <c r="J15" s="135" t="s">
        <v>101</v>
      </c>
      <c r="K15" s="71" t="s">
        <v>220</v>
      </c>
      <c r="L15" s="78" t="s">
        <v>103</v>
      </c>
      <c r="M15" s="71" t="s">
        <v>221</v>
      </c>
      <c r="N15" s="79">
        <v>51</v>
      </c>
      <c r="O15" s="80"/>
      <c r="P15" s="76"/>
      <c r="Q15" s="135"/>
      <c r="R15" s="135"/>
      <c r="S15" s="135"/>
      <c r="T15" s="135"/>
      <c r="U15" s="79"/>
      <c r="V15" s="80"/>
      <c r="W15" s="76" t="str">
        <f>IFERROR(INT((Y15-AA14)*1440-($AJ$10/2)),"")</f>
        <v/>
      </c>
      <c r="X15" s="77" t="str">
        <f t="shared" ref="X15:X20" si="5">IF(Y15="","",$AG$6)</f>
        <v/>
      </c>
      <c r="Y15" s="77" t="str">
        <f>IF(IFERROR(VLOOKUP($W$13&amp;"-"&amp;$A6,USK_BILGILER,4,FALSE),"")&gt;AA15,IFERROR(VLOOKUP($W$13&amp;"-"&amp;$A6-1,USK_BILGILER,4,FALSE),""),IFERROR(VLOOKUP($W$13&amp;"-"&amp;$A6,USK_BILGILER,4,FALSE),""))</f>
        <v/>
      </c>
      <c r="Z15" s="77" t="str">
        <f t="shared" ref="Z15:Z20" si="6">IF(AA15="","",$AI$6)</f>
        <v/>
      </c>
      <c r="AA15" s="77" t="str">
        <f t="shared" ref="AA15:AA20" si="7">IFERROR(VLOOKUP($W$13&amp;"-"&amp;$A6,CEK_BILGILER,4,FALSE),"")</f>
        <v/>
      </c>
      <c r="AB15" s="79" t="str">
        <f t="shared" ref="AB15:AB20" si="8">IFERROR(INT(((AA15-Y15)*1440)+($AJ$10/2)),"")</f>
        <v/>
      </c>
      <c r="AC15" s="49"/>
      <c r="AD15" s="202"/>
      <c r="AE15" s="49"/>
      <c r="AF15" s="59"/>
      <c r="AG15" s="68"/>
      <c r="AH15" s="59"/>
      <c r="AI15" s="65"/>
    </row>
    <row r="16" spans="1:37" ht="28.5" x14ac:dyDescent="0.35">
      <c r="B16" s="76">
        <v>20</v>
      </c>
      <c r="C16" s="135" t="s">
        <v>101</v>
      </c>
      <c r="D16" s="71" t="s">
        <v>286</v>
      </c>
      <c r="E16" s="78" t="s">
        <v>103</v>
      </c>
      <c r="F16" s="71" t="s">
        <v>287</v>
      </c>
      <c r="G16" s="79">
        <v>51</v>
      </c>
      <c r="H16" s="337"/>
      <c r="I16" s="76">
        <v>20</v>
      </c>
      <c r="J16" s="135" t="s">
        <v>101</v>
      </c>
      <c r="K16" s="71" t="s">
        <v>211</v>
      </c>
      <c r="L16" s="78" t="s">
        <v>103</v>
      </c>
      <c r="M16" s="71" t="s">
        <v>212</v>
      </c>
      <c r="N16" s="79">
        <v>51</v>
      </c>
      <c r="O16" s="80"/>
      <c r="P16" s="76"/>
      <c r="Q16" s="135"/>
      <c r="R16" s="135"/>
      <c r="S16" s="135"/>
      <c r="T16" s="135"/>
      <c r="U16" s="79"/>
      <c r="V16" s="80"/>
      <c r="W16" s="76" t="str">
        <f t="shared" ref="W16:W20" si="9">IFERROR(INT((Y16-AA15)*1440-($AJ$10/2)),"")</f>
        <v/>
      </c>
      <c r="X16" s="77" t="str">
        <f t="shared" si="5"/>
        <v/>
      </c>
      <c r="Y16" s="77" t="str">
        <f t="shared" ref="Y16:Y19" si="10">IF(IFERROR(VLOOKUP($W$13&amp;"-"&amp;$A7,USK_BILGILER,4,FALSE),"")&gt;AA16,IFERROR(VLOOKUP($W$13&amp;"-"&amp;$A7-1,USK_BILGILER,4,FALSE),""),IFERROR(VLOOKUP($W$13&amp;"-"&amp;$A7,USK_BILGILER,4,FALSE),""))</f>
        <v/>
      </c>
      <c r="Z16" s="77" t="str">
        <f t="shared" si="6"/>
        <v/>
      </c>
      <c r="AA16" s="77" t="str">
        <f t="shared" si="7"/>
        <v/>
      </c>
      <c r="AB16" s="79" t="str">
        <f t="shared" si="8"/>
        <v/>
      </c>
      <c r="AC16" s="49"/>
      <c r="AD16" s="202"/>
      <c r="AE16" s="49"/>
      <c r="AF16" s="59"/>
      <c r="AG16" s="68"/>
      <c r="AH16" s="59"/>
      <c r="AI16" s="65"/>
    </row>
    <row r="17" spans="2:35" ht="28.5" x14ac:dyDescent="0.35">
      <c r="B17" s="76">
        <v>20</v>
      </c>
      <c r="C17" s="135" t="s">
        <v>101</v>
      </c>
      <c r="D17" s="71" t="s">
        <v>282</v>
      </c>
      <c r="E17" s="78" t="s">
        <v>103</v>
      </c>
      <c r="F17" s="71" t="s">
        <v>283</v>
      </c>
      <c r="G17" s="79">
        <v>51</v>
      </c>
      <c r="H17" s="337"/>
      <c r="I17" s="76">
        <v>20</v>
      </c>
      <c r="J17" s="135" t="s">
        <v>101</v>
      </c>
      <c r="K17" s="71" t="s">
        <v>302</v>
      </c>
      <c r="L17" s="78" t="s">
        <v>103</v>
      </c>
      <c r="M17" s="71" t="s">
        <v>303</v>
      </c>
      <c r="N17" s="79">
        <v>51</v>
      </c>
      <c r="O17" s="83"/>
      <c r="P17" s="76"/>
      <c r="Q17" s="135"/>
      <c r="R17" s="135"/>
      <c r="S17" s="135"/>
      <c r="T17" s="135"/>
      <c r="U17" s="79"/>
      <c r="V17" s="83"/>
      <c r="W17" s="76" t="str">
        <f t="shared" si="9"/>
        <v/>
      </c>
      <c r="X17" s="77" t="str">
        <f t="shared" si="5"/>
        <v/>
      </c>
      <c r="Y17" s="226" t="str">
        <f t="shared" si="10"/>
        <v/>
      </c>
      <c r="Z17" s="77" t="str">
        <f t="shared" si="6"/>
        <v/>
      </c>
      <c r="AA17" s="77" t="str">
        <f t="shared" si="7"/>
        <v/>
      </c>
      <c r="AB17" s="79" t="str">
        <f t="shared" si="8"/>
        <v/>
      </c>
      <c r="AC17" s="49"/>
      <c r="AD17" s="49"/>
      <c r="AE17" s="49"/>
      <c r="AF17" s="59"/>
      <c r="AG17" s="68"/>
      <c r="AH17" s="59"/>
      <c r="AI17" s="65"/>
    </row>
    <row r="18" spans="2:35" ht="29.25" thickBot="1" x14ac:dyDescent="0.4">
      <c r="B18" s="76">
        <v>20</v>
      </c>
      <c r="C18" s="135" t="s">
        <v>101</v>
      </c>
      <c r="D18" s="71" t="s">
        <v>272</v>
      </c>
      <c r="E18" s="78" t="s">
        <v>103</v>
      </c>
      <c r="F18" s="71" t="s">
        <v>273</v>
      </c>
      <c r="G18" s="79">
        <v>51</v>
      </c>
      <c r="H18" s="337"/>
      <c r="I18" s="76">
        <v>28</v>
      </c>
      <c r="J18" s="135" t="s">
        <v>101</v>
      </c>
      <c r="K18" s="71" t="s">
        <v>244</v>
      </c>
      <c r="L18" s="78" t="s">
        <v>103</v>
      </c>
      <c r="M18" s="71" t="s">
        <v>245</v>
      </c>
      <c r="N18" s="79">
        <v>51</v>
      </c>
      <c r="O18" s="83"/>
      <c r="P18" s="76"/>
      <c r="Q18" s="135"/>
      <c r="R18" s="135"/>
      <c r="S18" s="135"/>
      <c r="T18" s="135"/>
      <c r="U18" s="79"/>
      <c r="V18" s="83"/>
      <c r="W18" s="76" t="str">
        <f t="shared" si="9"/>
        <v/>
      </c>
      <c r="X18" s="135" t="str">
        <f t="shared" si="5"/>
        <v/>
      </c>
      <c r="Y18" s="77" t="str">
        <f t="shared" si="10"/>
        <v/>
      </c>
      <c r="Z18" s="77" t="str">
        <f t="shared" si="6"/>
        <v/>
      </c>
      <c r="AA18" s="77" t="str">
        <f t="shared" si="7"/>
        <v/>
      </c>
      <c r="AB18" s="79" t="str">
        <f t="shared" si="8"/>
        <v/>
      </c>
      <c r="AC18" s="49"/>
      <c r="AD18" s="49"/>
      <c r="AE18" s="49"/>
      <c r="AF18" s="69"/>
      <c r="AG18" s="70"/>
      <c r="AH18" s="66"/>
      <c r="AI18" s="67"/>
    </row>
    <row r="19" spans="2:35" ht="29.25" thickBot="1" x14ac:dyDescent="0.4">
      <c r="B19" s="76">
        <v>41</v>
      </c>
      <c r="C19" s="135" t="s">
        <v>101</v>
      </c>
      <c r="D19" s="71" t="s">
        <v>267</v>
      </c>
      <c r="E19" s="78"/>
      <c r="F19" s="78"/>
      <c r="G19" s="79">
        <v>45</v>
      </c>
      <c r="H19" s="337"/>
      <c r="I19" s="76"/>
      <c r="J19" s="78"/>
      <c r="K19" s="78"/>
      <c r="L19" s="78"/>
      <c r="M19" s="78"/>
      <c r="N19" s="79"/>
      <c r="O19" s="83"/>
      <c r="P19" s="234"/>
      <c r="Q19" s="135"/>
      <c r="R19" s="135"/>
      <c r="S19" s="135"/>
      <c r="T19" s="135"/>
      <c r="U19" s="79"/>
      <c r="V19" s="83"/>
      <c r="W19" s="76" t="str">
        <f t="shared" si="9"/>
        <v/>
      </c>
      <c r="X19" s="77" t="str">
        <f t="shared" si="5"/>
        <v/>
      </c>
      <c r="Y19" s="77" t="str">
        <f t="shared" si="10"/>
        <v/>
      </c>
      <c r="Z19" s="77" t="str">
        <f t="shared" si="6"/>
        <v/>
      </c>
      <c r="AA19" s="77" t="str">
        <f t="shared" si="7"/>
        <v/>
      </c>
      <c r="AB19" s="79" t="str">
        <f t="shared" si="8"/>
        <v/>
      </c>
      <c r="AC19" s="49"/>
      <c r="AD19" s="49"/>
      <c r="AE19" s="49"/>
    </row>
    <row r="20" spans="2:35" ht="29.25" thickBot="1" x14ac:dyDescent="0.4">
      <c r="B20" s="76" t="str">
        <f>IFERROR(INT((D20-#REF!)*1440-($AJ$10/2)),"")</f>
        <v/>
      </c>
      <c r="C20" s="77" t="str">
        <f t="shared" ref="C20" si="11">IF(D20="","",$AG$6)</f>
        <v/>
      </c>
      <c r="D20" s="135" t="str">
        <f t="shared" ref="D20" si="12">IF(IFERROR(VLOOKUP($B$13&amp;"-"&amp;$A11,USK_BILGILER,4,FALSE),"")&gt;F20,IFERROR(VLOOKUP($B$13&amp;"-"&amp;$A11-1,USK_BILGILER,4,FALSE),""),IFERROR(VLOOKUP($B$13&amp;"-"&amp;$A11,USK_BILGILER,4,FALSE),""))</f>
        <v/>
      </c>
      <c r="E20" s="135"/>
      <c r="F20" s="135"/>
      <c r="G20" s="79"/>
      <c r="H20" s="337"/>
      <c r="I20" s="76"/>
      <c r="J20" s="135" t="str">
        <f t="shared" ref="J20" si="13">IF(K20="","",$AG$6)</f>
        <v/>
      </c>
      <c r="K20" s="207"/>
      <c r="L20" s="207"/>
      <c r="M20" s="207"/>
      <c r="N20" s="79"/>
      <c r="O20" s="85"/>
      <c r="P20" s="76" t="str">
        <f t="shared" ref="P20" si="14">IFERROR(INT((R20-T19)*1440-($AJ$10/2)),"")</f>
        <v/>
      </c>
      <c r="Q20" s="77" t="str">
        <f t="shared" ref="Q20" si="15">IF(R20="","",$AG$6)</f>
        <v/>
      </c>
      <c r="R20" s="77" t="str">
        <f t="shared" ref="R20" si="16">IF(IFERROR(VLOOKUP($P$13&amp;"-"&amp;$A11,USK_BILGILER,4,FALSE),"")&gt;T20,IFERROR(VLOOKUP($P$13&amp;"-"&amp;$A11-1,USK_BILGILER,4,FALSE),""),IFERROR(VLOOKUP($P$13&amp;"-"&amp;$A11,USK_BILGILER,4,FALSE),""))</f>
        <v/>
      </c>
      <c r="S20" s="77" t="str">
        <f t="shared" ref="S20" si="17">IF(T20="","",$AI$6)</f>
        <v/>
      </c>
      <c r="T20" s="77" t="str">
        <f t="shared" ref="T20" si="18">IFERROR(VLOOKUP($P$13&amp;"-"&amp;$A11,CEK_BILGILER,4,FALSE),"")</f>
        <v/>
      </c>
      <c r="U20" s="79"/>
      <c r="V20" s="85"/>
      <c r="W20" s="76" t="str">
        <f t="shared" si="9"/>
        <v/>
      </c>
      <c r="X20" s="77" t="str">
        <f t="shared" si="5"/>
        <v/>
      </c>
      <c r="Y20" s="77" t="str">
        <f>IF(IFERROR(VLOOKUP($W$13&amp;"-"&amp;$A11,USK_BILGILER,4,FALSE),"")&gt;AA20,IFERROR(VLOOKUP($W$13&amp;"-"&amp;$A11-1,USK_BILGILER,4,FALSE),""),IFERROR(VLOOKUP($W$13&amp;"-"&amp;$A11,USK_BILGILER,4,FALSE),""))</f>
        <v/>
      </c>
      <c r="Z20" s="77" t="str">
        <f t="shared" si="6"/>
        <v/>
      </c>
      <c r="AA20" s="77" t="str">
        <f t="shared" si="7"/>
        <v/>
      </c>
      <c r="AB20" s="79" t="str">
        <f t="shared" si="8"/>
        <v/>
      </c>
      <c r="AC20" s="49"/>
      <c r="AD20" s="49"/>
      <c r="AE20" s="49"/>
      <c r="AF20" s="300" t="s">
        <v>11</v>
      </c>
      <c r="AG20" s="301"/>
      <c r="AH20" s="301"/>
      <c r="AI20" s="302"/>
    </row>
    <row r="21" spans="2:35" ht="29.25" thickBot="1" x14ac:dyDescent="0.4">
      <c r="B21" s="86"/>
      <c r="C21" s="87"/>
      <c r="D21" s="74" t="s">
        <v>4</v>
      </c>
      <c r="E21" s="88">
        <f>G21*100/540</f>
        <v>55.555555555555557</v>
      </c>
      <c r="F21" s="89" t="s">
        <v>5</v>
      </c>
      <c r="G21" s="90">
        <f>SUM(G14:G19)</f>
        <v>300</v>
      </c>
      <c r="H21" s="337"/>
      <c r="I21" s="86"/>
      <c r="J21" s="87"/>
      <c r="K21" s="74" t="s">
        <v>4</v>
      </c>
      <c r="L21" s="88">
        <f>N21*100/540</f>
        <v>47.222222222222221</v>
      </c>
      <c r="M21" s="89" t="s">
        <v>5</v>
      </c>
      <c r="N21" s="90">
        <f>SUM(N14:N19)</f>
        <v>255</v>
      </c>
      <c r="O21" s="85"/>
      <c r="P21" s="86"/>
      <c r="Q21" s="87"/>
      <c r="R21" s="74" t="s">
        <v>4</v>
      </c>
      <c r="S21" s="88">
        <f>U21*100/540</f>
        <v>0</v>
      </c>
      <c r="T21" s="89" t="s">
        <v>5</v>
      </c>
      <c r="U21" s="90">
        <f>SUM(U14:U19)</f>
        <v>0</v>
      </c>
      <c r="V21" s="85"/>
      <c r="W21" s="86"/>
      <c r="X21" s="87"/>
      <c r="Y21" s="74" t="s">
        <v>4</v>
      </c>
      <c r="Z21" s="88">
        <f>AB21*100/540</f>
        <v>0</v>
      </c>
      <c r="AA21" s="89" t="s">
        <v>5</v>
      </c>
      <c r="AB21" s="90">
        <f>SUM(AB14:AB19)</f>
        <v>0</v>
      </c>
      <c r="AC21" s="49"/>
      <c r="AD21" s="49"/>
      <c r="AE21" s="49"/>
      <c r="AF21" s="303" t="s">
        <v>17</v>
      </c>
      <c r="AG21" s="304"/>
      <c r="AH21" s="303" t="s">
        <v>18</v>
      </c>
      <c r="AI21" s="304"/>
    </row>
    <row r="22" spans="2:35" ht="29.25" thickBot="1" x14ac:dyDescent="0.45">
      <c r="B22" s="91"/>
      <c r="C22" s="85"/>
      <c r="D22" s="92"/>
      <c r="E22" s="85"/>
      <c r="F22" s="92"/>
      <c r="G22" s="85"/>
      <c r="H22" s="85"/>
      <c r="I22" s="85"/>
      <c r="J22" s="85"/>
      <c r="K22" s="92"/>
      <c r="L22" s="85"/>
      <c r="M22" s="92"/>
      <c r="N22" s="85"/>
      <c r="O22" s="85"/>
      <c r="P22" s="85"/>
      <c r="Q22" s="85"/>
      <c r="R22" s="92"/>
      <c r="S22" s="85"/>
      <c r="T22" s="92"/>
      <c r="U22" s="85"/>
      <c r="V22" s="85"/>
      <c r="W22" s="85"/>
      <c r="X22" s="85"/>
      <c r="Y22" s="92"/>
      <c r="Z22" s="85"/>
      <c r="AA22" s="92"/>
      <c r="AB22" s="93"/>
      <c r="AC22" s="21"/>
      <c r="AD22" s="49"/>
      <c r="AE22" s="49"/>
      <c r="AF22" s="59">
        <v>0.81862268518518511</v>
      </c>
      <c r="AG22" s="60"/>
      <c r="AH22" s="59"/>
      <c r="AI22" s="63"/>
    </row>
    <row r="23" spans="2:35" ht="29.25" thickBot="1" x14ac:dyDescent="0.5">
      <c r="B23" s="325">
        <v>71</v>
      </c>
      <c r="C23" s="326"/>
      <c r="D23" s="299" t="s">
        <v>310</v>
      </c>
      <c r="E23" s="290"/>
      <c r="F23" s="290"/>
      <c r="G23" s="291"/>
      <c r="H23" s="94"/>
      <c r="I23" s="325">
        <v>72</v>
      </c>
      <c r="J23" s="326"/>
      <c r="K23" s="299" t="s">
        <v>310</v>
      </c>
      <c r="L23" s="290"/>
      <c r="M23" s="290"/>
      <c r="N23" s="291"/>
      <c r="O23" s="94"/>
      <c r="P23" s="325">
        <v>73</v>
      </c>
      <c r="Q23" s="326"/>
      <c r="R23" s="299" t="s">
        <v>310</v>
      </c>
      <c r="S23" s="290"/>
      <c r="T23" s="290"/>
      <c r="U23" s="291"/>
      <c r="V23" s="94"/>
      <c r="W23" s="325">
        <v>74</v>
      </c>
      <c r="X23" s="332"/>
      <c r="Y23" s="299" t="s">
        <v>310</v>
      </c>
      <c r="Z23" s="290"/>
      <c r="AA23" s="290"/>
      <c r="AB23" s="291"/>
      <c r="AC23" s="49"/>
      <c r="AD23" s="49"/>
      <c r="AE23" s="49"/>
      <c r="AF23" s="59">
        <v>0.83376157407407403</v>
      </c>
      <c r="AG23" s="62"/>
      <c r="AH23" s="64"/>
      <c r="AI23" s="65"/>
    </row>
    <row r="24" spans="2:35" ht="28.5" x14ac:dyDescent="0.35">
      <c r="B24" s="76"/>
      <c r="C24" s="77" t="s">
        <v>101</v>
      </c>
      <c r="D24" s="72" t="s">
        <v>199</v>
      </c>
      <c r="E24" s="95" t="s">
        <v>103</v>
      </c>
      <c r="F24" s="374" t="s">
        <v>200</v>
      </c>
      <c r="G24" s="79">
        <v>51</v>
      </c>
      <c r="H24" s="80"/>
      <c r="I24" s="76"/>
      <c r="J24" s="77" t="s">
        <v>101</v>
      </c>
      <c r="K24" s="72" t="s">
        <v>121</v>
      </c>
      <c r="L24" s="95" t="s">
        <v>103</v>
      </c>
      <c r="M24" s="72" t="s">
        <v>122</v>
      </c>
      <c r="N24" s="79">
        <v>51</v>
      </c>
      <c r="O24" s="80"/>
      <c r="P24" s="76"/>
      <c r="Q24" s="77" t="s">
        <v>101</v>
      </c>
      <c r="R24" s="72" t="s">
        <v>177</v>
      </c>
      <c r="S24" s="95" t="s">
        <v>103</v>
      </c>
      <c r="T24" s="72" t="s">
        <v>178</v>
      </c>
      <c r="U24" s="79">
        <v>51</v>
      </c>
      <c r="V24" s="80"/>
      <c r="W24" s="76"/>
      <c r="X24" s="77" t="s">
        <v>101</v>
      </c>
      <c r="Y24" s="72" t="s">
        <v>216</v>
      </c>
      <c r="Z24" s="95" t="s">
        <v>103</v>
      </c>
      <c r="AA24" s="72" t="s">
        <v>217</v>
      </c>
      <c r="AB24" s="79">
        <v>51</v>
      </c>
      <c r="AC24" s="49"/>
      <c r="AD24" s="49"/>
      <c r="AE24" s="49"/>
      <c r="AF24" s="59"/>
      <c r="AG24" s="62"/>
      <c r="AH24" s="64"/>
      <c r="AI24" s="65"/>
    </row>
    <row r="25" spans="2:35" ht="28.5" x14ac:dyDescent="0.35">
      <c r="B25" s="76">
        <v>59</v>
      </c>
      <c r="C25" s="77" t="s">
        <v>101</v>
      </c>
      <c r="D25" s="71" t="s">
        <v>236</v>
      </c>
      <c r="E25" s="78" t="s">
        <v>103</v>
      </c>
      <c r="F25" s="71" t="s">
        <v>237</v>
      </c>
      <c r="G25" s="79">
        <v>51</v>
      </c>
      <c r="H25" s="81"/>
      <c r="I25" s="76">
        <v>59</v>
      </c>
      <c r="J25" s="77" t="s">
        <v>101</v>
      </c>
      <c r="K25" s="71" t="s">
        <v>296</v>
      </c>
      <c r="L25" s="78" t="s">
        <v>103</v>
      </c>
      <c r="M25" s="71" t="s">
        <v>297</v>
      </c>
      <c r="N25" s="79">
        <v>51</v>
      </c>
      <c r="O25" s="80"/>
      <c r="P25" s="76">
        <v>59</v>
      </c>
      <c r="Q25" s="77" t="s">
        <v>101</v>
      </c>
      <c r="R25" s="71" t="s">
        <v>218</v>
      </c>
      <c r="S25" s="78" t="s">
        <v>103</v>
      </c>
      <c r="T25" s="71" t="s">
        <v>219</v>
      </c>
      <c r="U25" s="79">
        <v>51</v>
      </c>
      <c r="V25" s="80"/>
      <c r="W25" s="76">
        <v>59</v>
      </c>
      <c r="X25" s="77" t="s">
        <v>101</v>
      </c>
      <c r="Y25" s="71" t="s">
        <v>203</v>
      </c>
      <c r="Z25" s="95" t="s">
        <v>103</v>
      </c>
      <c r="AA25" s="71" t="s">
        <v>204</v>
      </c>
      <c r="AB25" s="79">
        <v>51</v>
      </c>
      <c r="AC25" s="49"/>
      <c r="AD25" s="49"/>
      <c r="AE25" s="49"/>
      <c r="AF25" s="59"/>
      <c r="AG25" s="62"/>
      <c r="AH25" s="64"/>
      <c r="AI25" s="65"/>
    </row>
    <row r="26" spans="2:35" ht="28.5" x14ac:dyDescent="0.35">
      <c r="B26" s="76">
        <v>56</v>
      </c>
      <c r="C26" s="135" t="s">
        <v>101</v>
      </c>
      <c r="D26" s="71" t="s">
        <v>209</v>
      </c>
      <c r="E26" s="78" t="s">
        <v>103</v>
      </c>
      <c r="F26" s="71" t="s">
        <v>210</v>
      </c>
      <c r="G26" s="79">
        <v>51</v>
      </c>
      <c r="H26" s="81"/>
      <c r="I26" s="76">
        <v>53</v>
      </c>
      <c r="J26" s="135" t="s">
        <v>101</v>
      </c>
      <c r="K26" s="71" t="s">
        <v>254</v>
      </c>
      <c r="L26" s="78" t="s">
        <v>103</v>
      </c>
      <c r="M26" s="71" t="s">
        <v>255</v>
      </c>
      <c r="N26" s="79">
        <v>51</v>
      </c>
      <c r="O26" s="80"/>
      <c r="P26" s="76">
        <v>34</v>
      </c>
      <c r="Q26" s="77" t="s">
        <v>101</v>
      </c>
      <c r="R26" s="71" t="s">
        <v>230</v>
      </c>
      <c r="S26" s="78" t="s">
        <v>103</v>
      </c>
      <c r="T26" s="71" t="s">
        <v>231</v>
      </c>
      <c r="U26" s="79">
        <v>51</v>
      </c>
      <c r="V26" s="80"/>
      <c r="W26" s="76">
        <v>28</v>
      </c>
      <c r="X26" s="77" t="s">
        <v>101</v>
      </c>
      <c r="Y26" s="71" t="s">
        <v>274</v>
      </c>
      <c r="Z26" s="78" t="s">
        <v>103</v>
      </c>
      <c r="AA26" s="71" t="s">
        <v>275</v>
      </c>
      <c r="AB26" s="79">
        <v>51</v>
      </c>
      <c r="AC26" s="49"/>
      <c r="AD26" s="49"/>
      <c r="AE26" s="49"/>
      <c r="AF26" s="59"/>
      <c r="AG26" s="62"/>
      <c r="AH26" s="64"/>
      <c r="AI26" s="65"/>
    </row>
    <row r="27" spans="2:35" ht="28.5" x14ac:dyDescent="0.35">
      <c r="B27" s="76">
        <v>20</v>
      </c>
      <c r="C27" s="77" t="s">
        <v>101</v>
      </c>
      <c r="D27" s="71" t="s">
        <v>300</v>
      </c>
      <c r="E27" s="78" t="s">
        <v>103</v>
      </c>
      <c r="F27" s="71" t="s">
        <v>301</v>
      </c>
      <c r="G27" s="79">
        <v>51</v>
      </c>
      <c r="H27" s="82"/>
      <c r="I27" s="76">
        <v>20</v>
      </c>
      <c r="J27" s="77" t="s">
        <v>101</v>
      </c>
      <c r="K27" s="71" t="s">
        <v>248</v>
      </c>
      <c r="L27" s="78" t="s">
        <v>103</v>
      </c>
      <c r="M27" s="71" t="s">
        <v>249</v>
      </c>
      <c r="N27" s="79">
        <v>51</v>
      </c>
      <c r="O27" s="83"/>
      <c r="P27" s="76">
        <v>20</v>
      </c>
      <c r="Q27" s="77" t="s">
        <v>101</v>
      </c>
      <c r="R27" s="71" t="s">
        <v>222</v>
      </c>
      <c r="S27" s="78" t="s">
        <v>103</v>
      </c>
      <c r="T27" s="71" t="s">
        <v>223</v>
      </c>
      <c r="U27" s="79">
        <v>51</v>
      </c>
      <c r="V27" s="83"/>
      <c r="W27" s="76">
        <v>20</v>
      </c>
      <c r="X27" s="77" t="s">
        <v>101</v>
      </c>
      <c r="Y27" s="71" t="s">
        <v>232</v>
      </c>
      <c r="Z27" s="78" t="s">
        <v>103</v>
      </c>
      <c r="AA27" s="71" t="s">
        <v>233</v>
      </c>
      <c r="AB27" s="79">
        <v>51</v>
      </c>
      <c r="AC27" s="49"/>
      <c r="AD27" s="49"/>
      <c r="AE27" s="49"/>
      <c r="AF27" s="59"/>
      <c r="AG27" s="62"/>
      <c r="AH27" s="64"/>
      <c r="AI27" s="65"/>
    </row>
    <row r="28" spans="2:35" ht="28.5" x14ac:dyDescent="0.35">
      <c r="B28" s="76">
        <v>20</v>
      </c>
      <c r="C28" s="77" t="s">
        <v>101</v>
      </c>
      <c r="D28" s="71" t="s">
        <v>242</v>
      </c>
      <c r="E28" s="78" t="s">
        <v>103</v>
      </c>
      <c r="F28" s="71" t="s">
        <v>243</v>
      </c>
      <c r="G28" s="79">
        <v>51</v>
      </c>
      <c r="H28" s="82"/>
      <c r="I28" s="76">
        <v>20</v>
      </c>
      <c r="J28" s="77" t="s">
        <v>101</v>
      </c>
      <c r="K28" s="71" t="s">
        <v>288</v>
      </c>
      <c r="L28" s="78" t="s">
        <v>103</v>
      </c>
      <c r="M28" s="71" t="s">
        <v>289</v>
      </c>
      <c r="N28" s="79">
        <v>51</v>
      </c>
      <c r="O28" s="83"/>
      <c r="P28" s="76">
        <v>20</v>
      </c>
      <c r="Q28" s="77" t="s">
        <v>101</v>
      </c>
      <c r="R28" s="71" t="s">
        <v>213</v>
      </c>
      <c r="S28" s="78" t="s">
        <v>103</v>
      </c>
      <c r="T28" s="71" t="s">
        <v>214</v>
      </c>
      <c r="U28" s="79">
        <v>51</v>
      </c>
      <c r="V28" s="83"/>
      <c r="W28" s="76">
        <v>20</v>
      </c>
      <c r="X28" s="77" t="s">
        <v>101</v>
      </c>
      <c r="Y28" s="71" t="s">
        <v>258</v>
      </c>
      <c r="Z28" s="78" t="s">
        <v>103</v>
      </c>
      <c r="AA28" s="71" t="s">
        <v>259</v>
      </c>
      <c r="AB28" s="79">
        <v>51</v>
      </c>
      <c r="AC28" s="49"/>
      <c r="AD28" s="49"/>
      <c r="AE28" s="49"/>
      <c r="AF28" s="59"/>
      <c r="AG28" s="62"/>
      <c r="AH28" s="64"/>
      <c r="AI28" s="65"/>
    </row>
    <row r="29" spans="2:35" ht="28.5" customHeight="1" x14ac:dyDescent="0.35">
      <c r="B29" s="76">
        <v>22</v>
      </c>
      <c r="C29" s="135" t="s">
        <v>101</v>
      </c>
      <c r="D29" s="71" t="s">
        <v>278</v>
      </c>
      <c r="E29" s="78" t="s">
        <v>103</v>
      </c>
      <c r="F29" s="71" t="s">
        <v>279</v>
      </c>
      <c r="G29" s="79">
        <v>51</v>
      </c>
      <c r="H29" s="82"/>
      <c r="I29" s="76">
        <v>25</v>
      </c>
      <c r="J29" s="77" t="s">
        <v>101</v>
      </c>
      <c r="K29" s="373" t="s">
        <v>284</v>
      </c>
      <c r="L29" s="78" t="s">
        <v>103</v>
      </c>
      <c r="M29" s="71" t="s">
        <v>285</v>
      </c>
      <c r="N29" s="79">
        <v>51</v>
      </c>
      <c r="O29" s="83"/>
      <c r="P29" s="76"/>
      <c r="Q29" s="77"/>
      <c r="R29" s="333" t="s">
        <v>87</v>
      </c>
      <c r="S29" s="334"/>
      <c r="T29" s="335"/>
      <c r="U29" s="79"/>
      <c r="V29" s="83"/>
      <c r="W29" s="76"/>
      <c r="X29" s="77"/>
      <c r="Y29" s="333" t="s">
        <v>87</v>
      </c>
      <c r="Z29" s="334"/>
      <c r="AA29" s="335"/>
      <c r="AB29" s="79"/>
      <c r="AC29" s="49"/>
      <c r="AD29" s="49"/>
      <c r="AE29" s="49"/>
      <c r="AF29" s="59"/>
      <c r="AG29" s="62"/>
      <c r="AH29" s="64"/>
      <c r="AI29" s="65"/>
    </row>
    <row r="30" spans="2:35" ht="28.5" customHeight="1" thickBot="1" x14ac:dyDescent="0.4">
      <c r="B30" s="76"/>
      <c r="C30" s="77"/>
      <c r="D30" s="77"/>
      <c r="E30" s="77"/>
      <c r="F30" s="77"/>
      <c r="G30" s="96"/>
      <c r="H30" s="84"/>
      <c r="I30" s="76" t="str">
        <f>IFERROR(INT((K29-#REF!)*1440-($AJ$10/2)),"")</f>
        <v/>
      </c>
      <c r="J30" s="77"/>
      <c r="K30" s="226"/>
      <c r="L30" s="78"/>
      <c r="M30" s="226"/>
      <c r="N30" s="180"/>
      <c r="O30" s="85"/>
      <c r="P30" s="76"/>
      <c r="Q30" s="77"/>
      <c r="R30" s="77"/>
      <c r="S30" s="78"/>
      <c r="T30" s="78"/>
      <c r="U30" s="96"/>
      <c r="V30" s="85"/>
      <c r="W30" s="76"/>
      <c r="X30" s="185"/>
      <c r="Y30" s="182"/>
      <c r="Z30" s="182"/>
      <c r="AA30" s="182"/>
      <c r="AB30" s="96"/>
      <c r="AC30" s="49"/>
      <c r="AD30" s="49"/>
      <c r="AE30" s="49"/>
      <c r="AF30" s="69"/>
      <c r="AG30" s="70"/>
      <c r="AH30" s="66"/>
      <c r="AI30" s="67"/>
    </row>
    <row r="31" spans="2:35" ht="29.25" thickBot="1" x14ac:dyDescent="0.4">
      <c r="B31" s="86"/>
      <c r="C31" s="87"/>
      <c r="D31" s="74" t="s">
        <v>4</v>
      </c>
      <c r="E31" s="88">
        <f>G31*100/540</f>
        <v>56.666666666666664</v>
      </c>
      <c r="F31" s="89" t="s">
        <v>5</v>
      </c>
      <c r="G31" s="90">
        <f>SUM(G24:G30)</f>
        <v>306</v>
      </c>
      <c r="H31" s="85"/>
      <c r="I31" s="86"/>
      <c r="J31" s="87"/>
      <c r="K31" s="74" t="s">
        <v>4</v>
      </c>
      <c r="L31" s="88">
        <f>N31*100/540</f>
        <v>56.666666666666664</v>
      </c>
      <c r="M31" s="89" t="s">
        <v>5</v>
      </c>
      <c r="N31" s="90">
        <f>SUM(N24:N29)</f>
        <v>306</v>
      </c>
      <c r="O31" s="85"/>
      <c r="P31" s="86"/>
      <c r="Q31" s="87"/>
      <c r="R31" s="74" t="s">
        <v>4</v>
      </c>
      <c r="S31" s="88">
        <f>U31*100/540</f>
        <v>47.222222222222221</v>
      </c>
      <c r="T31" s="89" t="s">
        <v>5</v>
      </c>
      <c r="U31" s="90">
        <f>SUM(U24:U30)</f>
        <v>255</v>
      </c>
      <c r="V31" s="85"/>
      <c r="W31" s="86"/>
      <c r="X31" s="87"/>
      <c r="Y31" s="74" t="s">
        <v>4</v>
      </c>
      <c r="Z31" s="88">
        <f>AB31*100/540</f>
        <v>47.222222222222221</v>
      </c>
      <c r="AA31" s="89" t="s">
        <v>5</v>
      </c>
      <c r="AB31" s="90">
        <f>SUM(AB24:AB30)</f>
        <v>255</v>
      </c>
      <c r="AC31" s="49"/>
      <c r="AD31" s="49"/>
      <c r="AE31" s="49"/>
    </row>
    <row r="32" spans="2:35" ht="29.25" thickBot="1" x14ac:dyDescent="0.45">
      <c r="B32" s="91"/>
      <c r="C32" s="85"/>
      <c r="D32" s="92"/>
      <c r="E32" s="85"/>
      <c r="F32" s="92"/>
      <c r="G32" s="85"/>
      <c r="H32" s="85"/>
      <c r="I32" s="85"/>
      <c r="J32" s="85"/>
      <c r="K32" s="92"/>
      <c r="L32" s="85"/>
      <c r="M32" s="92"/>
      <c r="N32" s="85"/>
      <c r="O32" s="85"/>
      <c r="P32" s="85"/>
      <c r="Q32" s="85"/>
      <c r="R32" s="92"/>
      <c r="S32" s="85"/>
      <c r="T32" s="92"/>
      <c r="U32" s="85"/>
      <c r="V32" s="85"/>
      <c r="W32" s="85"/>
      <c r="X32" s="85"/>
      <c r="Y32" s="92"/>
      <c r="Z32" s="85"/>
      <c r="AA32" s="92"/>
      <c r="AB32" s="93"/>
      <c r="AC32" s="21"/>
      <c r="AD32" s="49"/>
      <c r="AE32" s="49"/>
    </row>
    <row r="33" spans="2:31" ht="29.25" hidden="1" thickBot="1" x14ac:dyDescent="0.5">
      <c r="B33" s="325"/>
      <c r="C33" s="326"/>
      <c r="D33" s="299"/>
      <c r="E33" s="290"/>
      <c r="F33" s="290"/>
      <c r="G33" s="291"/>
      <c r="H33" s="94"/>
      <c r="I33" s="325"/>
      <c r="J33" s="326"/>
      <c r="K33" s="299"/>
      <c r="L33" s="290"/>
      <c r="M33" s="290"/>
      <c r="N33" s="291"/>
      <c r="O33" s="94"/>
      <c r="P33" s="325"/>
      <c r="Q33" s="326"/>
      <c r="R33" s="299"/>
      <c r="S33" s="290"/>
      <c r="T33" s="290"/>
      <c r="U33" s="291"/>
      <c r="V33" s="94"/>
      <c r="W33" s="222"/>
      <c r="X33" s="223"/>
      <c r="Y33" s="299"/>
      <c r="Z33" s="290"/>
      <c r="AA33" s="290"/>
      <c r="AB33" s="291"/>
      <c r="AC33" s="49"/>
      <c r="AD33" s="49"/>
      <c r="AE33" s="49"/>
    </row>
    <row r="34" spans="2:31" ht="28.5" hidden="1" x14ac:dyDescent="0.35">
      <c r="B34" s="76" t="str">
        <f>IFERROR(INT((D34-$AK$5)*1440),"")</f>
        <v/>
      </c>
      <c r="C34" s="77" t="str">
        <f>IF(D34="","",$AG$6)</f>
        <v/>
      </c>
      <c r="D34" s="77" t="str">
        <f t="shared" ref="D34:D40" si="19">IF(IFERROR(VLOOKUP($B$33&amp;"-"&amp;$A5,USK_BILGILER,4,FALSE),"")&gt;F34,IFERROR(VLOOKUP($B$33&amp;"-"&amp;$A5-1,USK_BILGILER,4,FALSE),""),IFERROR(VLOOKUP($B$33&amp;"-"&amp;$A5,USK_BILGILER,4,FALSE),""))</f>
        <v/>
      </c>
      <c r="E34" s="77" t="str">
        <f>IF(F34="","",$AI$6)</f>
        <v/>
      </c>
      <c r="F34" s="77" t="str">
        <f t="shared" ref="F34:F40" si="20">IFERROR(VLOOKUP($B$33&amp;"-"&amp;$A5,CEK_BILGILER,4,FALSE),"")</f>
        <v/>
      </c>
      <c r="G34" s="96" t="str">
        <f>IFERROR(INT(((F34-D34)*1440)+36),"")</f>
        <v/>
      </c>
      <c r="H34" s="80"/>
      <c r="I34" s="76" t="str">
        <f>IFERROR(INT((K34-$AK$5)*1440),"")</f>
        <v/>
      </c>
      <c r="J34" s="77" t="str">
        <f>IF(K34="","",$AG$6)</f>
        <v/>
      </c>
      <c r="K34" s="77" t="str">
        <f t="shared" ref="K34:K40" si="21">IF(IFERROR(VLOOKUP($I$33&amp;"-"&amp;$A5,USK_BILGILER,4,FALSE),"")&gt;M34,IFERROR(VLOOKUP($I$33&amp;"-"&amp;$A5-1,USK_BILGILER,4,FALSE),""),IFERROR(VLOOKUP($I$33&amp;"-"&amp;$A5,USK_BILGILER,4,FALSE),""))</f>
        <v/>
      </c>
      <c r="L34" s="77" t="str">
        <f>IF(M34="","",$AI$6)</f>
        <v/>
      </c>
      <c r="M34" s="77" t="str">
        <f t="shared" ref="M34:M40" si="22">IFERROR(VLOOKUP($I$33&amp;"-"&amp;$A5,CEK_BILGILER,4,FALSE),"")</f>
        <v/>
      </c>
      <c r="N34" s="96" t="str">
        <f>IFERROR(INT(((M34-K34)*1440)+36),"")</f>
        <v/>
      </c>
      <c r="O34" s="80"/>
      <c r="P34" s="76" t="str">
        <f>IFERROR(INT((R34-$AK$5)*1440),"")</f>
        <v/>
      </c>
      <c r="Q34" s="77" t="str">
        <f>IF(R34="","",$AG$6)</f>
        <v/>
      </c>
      <c r="R34" s="77" t="str">
        <f t="shared" ref="R34:R40" si="23">IF(IFERROR(VLOOKUP($P$33&amp;"-"&amp;$A5,USK_BILGILER,4,FALSE),"")&gt;T34,IFERROR(VLOOKUP($P$33&amp;"-"&amp;$A5-1,USK_BILGILER,4,FALSE),""),IFERROR(VLOOKUP($P$33&amp;"-"&amp;$A5,USK_BILGILER,4,FALSE),""))</f>
        <v/>
      </c>
      <c r="S34" s="77" t="str">
        <f>IF(T34="","",$AI$6)</f>
        <v/>
      </c>
      <c r="T34" s="77" t="str">
        <f t="shared" ref="T34:T40" si="24">IFERROR(VLOOKUP($P$33&amp;"-"&amp;$A5,CEK_BILGILER,4,FALSE),"")</f>
        <v/>
      </c>
      <c r="U34" s="96" t="str">
        <f>IFERROR(INT(((T34-R34)*1440)+36),"")</f>
        <v/>
      </c>
      <c r="V34" s="80"/>
      <c r="W34" s="76" t="str">
        <f>IFERROR(INT((Y34-$AK$5)*1440),"")</f>
        <v/>
      </c>
      <c r="X34" s="77" t="str">
        <f>IF(Y34="","",$AG$6)</f>
        <v/>
      </c>
      <c r="Y34" s="77" t="str">
        <f t="shared" ref="Y34:Y40" si="25">IF(IFERROR(VLOOKUP($W$33&amp;"-"&amp;$A5,USK_BILGILER,4,FALSE),"")&gt;AA34,IFERROR(VLOOKUP($W$33&amp;"-"&amp;$A5-1,USK_BILGILER,4,FALSE),""),IFERROR(VLOOKUP($W$33&amp;"-"&amp;$A5,USK_BILGILER,4,FALSE),""))</f>
        <v/>
      </c>
      <c r="Z34" s="77" t="str">
        <f>IF(AA34="","",$AI$6)</f>
        <v/>
      </c>
      <c r="AA34" s="77" t="str">
        <f t="shared" ref="AA34:AA40" si="26">IFERROR(VLOOKUP($W$33&amp;"-"&amp;$A5,CEK_BILGILER,4,FALSE),"")</f>
        <v/>
      </c>
      <c r="AB34" s="96" t="str">
        <f>IFERROR(INT(((AA34-Y34)*1440)+36),"")</f>
        <v/>
      </c>
      <c r="AC34" s="49"/>
      <c r="AD34" s="49"/>
      <c r="AE34" s="49"/>
    </row>
    <row r="35" spans="2:31" ht="28.5" hidden="1" x14ac:dyDescent="0.35">
      <c r="B35" s="76" t="str">
        <f>IFERROR(INT((D35-F34)*1440-34),"")</f>
        <v/>
      </c>
      <c r="C35" s="77" t="str">
        <f t="shared" ref="C35:C40" si="27">IF(D35="","",$AG$6)</f>
        <v/>
      </c>
      <c r="D35" s="77" t="str">
        <f>IF(IFERROR(VLOOKUP($B$33&amp;"-"&amp;$A6,USK_BILGILER,4,FALSE),"")&gt;F35,IFERROR(VLOOKUP($B$33&amp;"-"&amp;$A6-1,USK_BILGILER,4,FALSE),""),IFERROR(VLOOKUP($B$33&amp;"-"&amp;$A6,USK_BILGILER,4,FALSE),""))</f>
        <v/>
      </c>
      <c r="E35" s="77" t="str">
        <f t="shared" ref="E35:E40" si="28">IF(F35="","",$AI$6)</f>
        <v/>
      </c>
      <c r="F35" s="77" t="str">
        <f t="shared" si="20"/>
        <v/>
      </c>
      <c r="G35" s="79" t="str">
        <f t="shared" ref="G35:G40" si="29">IFERROR(INT(((F35-D35)*1440)+36),"")</f>
        <v/>
      </c>
      <c r="H35" s="81"/>
      <c r="I35" s="76" t="str">
        <f>IFERROR(INT((K35-M34)*1440-34),"")</f>
        <v/>
      </c>
      <c r="J35" s="77" t="str">
        <f t="shared" ref="J35:J40" si="30">IF(K35="","",$AG$6)</f>
        <v/>
      </c>
      <c r="K35" s="77" t="str">
        <f t="shared" si="21"/>
        <v/>
      </c>
      <c r="L35" s="77" t="str">
        <f t="shared" ref="L35:L40" si="31">IF(M35="","",$AI$6)</f>
        <v/>
      </c>
      <c r="M35" s="77" t="str">
        <f t="shared" si="22"/>
        <v/>
      </c>
      <c r="N35" s="79" t="str">
        <f t="shared" ref="N35:N40" si="32">IFERROR(INT(((M35-K35)*1440)+36),"")</f>
        <v/>
      </c>
      <c r="O35" s="80"/>
      <c r="P35" s="76" t="str">
        <f>IFERROR(INT((R35-T34)*1440-34),"")</f>
        <v/>
      </c>
      <c r="Q35" s="77" t="str">
        <f t="shared" ref="Q35:Q40" si="33">IF(R35="","",$AG$6)</f>
        <v/>
      </c>
      <c r="R35" s="77" t="str">
        <f t="shared" si="23"/>
        <v/>
      </c>
      <c r="S35" s="77" t="str">
        <f t="shared" ref="S35:S40" si="34">IF(T35="","",$AI$6)</f>
        <v/>
      </c>
      <c r="T35" s="77" t="str">
        <f t="shared" si="24"/>
        <v/>
      </c>
      <c r="U35" s="79" t="str">
        <f t="shared" ref="U35:U40" si="35">IFERROR(INT(((T35-R35)*1440)+36),"")</f>
        <v/>
      </c>
      <c r="V35" s="80"/>
      <c r="W35" s="76" t="str">
        <f>IFERROR(INT((Y35-AA34)*1440-34),"")</f>
        <v/>
      </c>
      <c r="X35" s="77" t="str">
        <f t="shared" ref="X35:X40" si="36">IF(Y35="","",$AG$6)</f>
        <v/>
      </c>
      <c r="Y35" s="77" t="str">
        <f t="shared" si="25"/>
        <v/>
      </c>
      <c r="Z35" s="77" t="str">
        <f t="shared" ref="Z35:Z40" si="37">IF(AA35="","",$AI$6)</f>
        <v/>
      </c>
      <c r="AA35" s="77" t="str">
        <f t="shared" si="26"/>
        <v/>
      </c>
      <c r="AB35" s="79" t="str">
        <f t="shared" ref="AB35:AB40" si="38">IFERROR(INT(((AA35-Y35)*1440)+36),"")</f>
        <v/>
      </c>
      <c r="AC35" s="49"/>
      <c r="AD35" s="49"/>
      <c r="AE35" s="49"/>
    </row>
    <row r="36" spans="2:31" ht="28.5" hidden="1" x14ac:dyDescent="0.35">
      <c r="B36" s="76" t="str">
        <f t="shared" ref="B36:B40" si="39">IFERROR(INT((D36-F35)*1440-34),"")</f>
        <v/>
      </c>
      <c r="C36" s="77" t="str">
        <f t="shared" si="27"/>
        <v/>
      </c>
      <c r="D36" s="77" t="str">
        <f t="shared" si="19"/>
        <v/>
      </c>
      <c r="E36" s="77" t="str">
        <f t="shared" si="28"/>
        <v/>
      </c>
      <c r="F36" s="77" t="str">
        <f t="shared" si="20"/>
        <v/>
      </c>
      <c r="G36" s="79" t="str">
        <f t="shared" si="29"/>
        <v/>
      </c>
      <c r="H36" s="81"/>
      <c r="I36" s="76" t="str">
        <f t="shared" ref="I36:I40" si="40">IFERROR(INT((K36-M35)*1440-34),"")</f>
        <v/>
      </c>
      <c r="J36" s="77" t="str">
        <f t="shared" si="30"/>
        <v/>
      </c>
      <c r="K36" s="77" t="str">
        <f t="shared" si="21"/>
        <v/>
      </c>
      <c r="L36" s="77" t="str">
        <f t="shared" si="31"/>
        <v/>
      </c>
      <c r="M36" s="77" t="str">
        <f t="shared" si="22"/>
        <v/>
      </c>
      <c r="N36" s="79" t="str">
        <f t="shared" si="32"/>
        <v/>
      </c>
      <c r="O36" s="80"/>
      <c r="P36" s="76" t="str">
        <f t="shared" ref="P36:P40" si="41">IFERROR(INT((R36-T35)*1440-34),"")</f>
        <v/>
      </c>
      <c r="Q36" s="77" t="str">
        <f t="shared" si="33"/>
        <v/>
      </c>
      <c r="R36" s="77" t="str">
        <f t="shared" si="23"/>
        <v/>
      </c>
      <c r="S36" s="77" t="str">
        <f t="shared" si="34"/>
        <v/>
      </c>
      <c r="T36" s="77" t="str">
        <f t="shared" si="24"/>
        <v/>
      </c>
      <c r="U36" s="79" t="str">
        <f t="shared" si="35"/>
        <v/>
      </c>
      <c r="V36" s="80"/>
      <c r="W36" s="76" t="str">
        <f t="shared" ref="W36:W40" si="42">IFERROR(INT((Y36-AA35)*1440-34),"")</f>
        <v/>
      </c>
      <c r="X36" s="77" t="str">
        <f t="shared" si="36"/>
        <v/>
      </c>
      <c r="Y36" s="77" t="str">
        <f t="shared" si="25"/>
        <v/>
      </c>
      <c r="Z36" s="77" t="str">
        <f t="shared" si="37"/>
        <v/>
      </c>
      <c r="AA36" s="77" t="str">
        <f t="shared" si="26"/>
        <v/>
      </c>
      <c r="AB36" s="79" t="str">
        <f t="shared" si="38"/>
        <v/>
      </c>
      <c r="AC36" s="49"/>
      <c r="AD36" s="49"/>
      <c r="AE36" s="49"/>
    </row>
    <row r="37" spans="2:31" ht="28.5" hidden="1" customHeight="1" x14ac:dyDescent="0.35">
      <c r="B37" s="76" t="str">
        <f t="shared" si="39"/>
        <v/>
      </c>
      <c r="C37" s="77" t="str">
        <f t="shared" si="27"/>
        <v/>
      </c>
      <c r="D37" s="77" t="str">
        <f t="shared" si="19"/>
        <v/>
      </c>
      <c r="E37" s="77" t="str">
        <f t="shared" si="28"/>
        <v/>
      </c>
      <c r="F37" s="77" t="str">
        <f t="shared" si="20"/>
        <v/>
      </c>
      <c r="G37" s="79" t="str">
        <f t="shared" si="29"/>
        <v/>
      </c>
      <c r="H37" s="82"/>
      <c r="I37" s="76" t="str">
        <f t="shared" si="40"/>
        <v/>
      </c>
      <c r="J37" s="77" t="str">
        <f t="shared" si="30"/>
        <v/>
      </c>
      <c r="K37" s="77" t="str">
        <f t="shared" si="21"/>
        <v/>
      </c>
      <c r="L37" s="77" t="str">
        <f t="shared" si="31"/>
        <v/>
      </c>
      <c r="M37" s="77" t="str">
        <f t="shared" si="22"/>
        <v/>
      </c>
      <c r="N37" s="79" t="str">
        <f t="shared" si="32"/>
        <v/>
      </c>
      <c r="O37" s="83"/>
      <c r="P37" s="76" t="str">
        <f t="shared" si="41"/>
        <v/>
      </c>
      <c r="Q37" s="77" t="str">
        <f t="shared" si="33"/>
        <v/>
      </c>
      <c r="R37" s="77" t="str">
        <f t="shared" si="23"/>
        <v/>
      </c>
      <c r="S37" s="77" t="str">
        <f t="shared" si="34"/>
        <v/>
      </c>
      <c r="T37" s="77" t="str">
        <f t="shared" si="24"/>
        <v/>
      </c>
      <c r="U37" s="79" t="str">
        <f t="shared" si="35"/>
        <v/>
      </c>
      <c r="V37" s="83"/>
      <c r="W37" s="76" t="str">
        <f t="shared" si="42"/>
        <v/>
      </c>
      <c r="X37" s="77" t="str">
        <f t="shared" si="36"/>
        <v/>
      </c>
      <c r="Y37" s="77" t="str">
        <f t="shared" si="25"/>
        <v/>
      </c>
      <c r="Z37" s="77" t="str">
        <f t="shared" si="37"/>
        <v/>
      </c>
      <c r="AA37" s="77" t="str">
        <f t="shared" si="26"/>
        <v/>
      </c>
      <c r="AB37" s="79" t="str">
        <f t="shared" si="38"/>
        <v/>
      </c>
      <c r="AC37" s="49"/>
      <c r="AD37" s="49"/>
      <c r="AE37" s="49"/>
    </row>
    <row r="38" spans="2:31" ht="28.5" hidden="1" customHeight="1" x14ac:dyDescent="0.35">
      <c r="B38" s="76" t="str">
        <f t="shared" si="39"/>
        <v/>
      </c>
      <c r="C38" s="77" t="str">
        <f t="shared" si="27"/>
        <v/>
      </c>
      <c r="D38" s="77" t="str">
        <f t="shared" si="19"/>
        <v/>
      </c>
      <c r="E38" s="77" t="str">
        <f t="shared" si="28"/>
        <v/>
      </c>
      <c r="F38" s="77" t="str">
        <f t="shared" si="20"/>
        <v/>
      </c>
      <c r="G38" s="79" t="str">
        <f t="shared" si="29"/>
        <v/>
      </c>
      <c r="H38" s="82"/>
      <c r="I38" s="76" t="str">
        <f t="shared" si="40"/>
        <v/>
      </c>
      <c r="J38" s="77" t="str">
        <f t="shared" si="30"/>
        <v/>
      </c>
      <c r="K38" s="77" t="str">
        <f t="shared" si="21"/>
        <v/>
      </c>
      <c r="L38" s="77" t="str">
        <f t="shared" si="31"/>
        <v/>
      </c>
      <c r="M38" s="77" t="str">
        <f t="shared" si="22"/>
        <v/>
      </c>
      <c r="N38" s="79" t="str">
        <f t="shared" si="32"/>
        <v/>
      </c>
      <c r="O38" s="83"/>
      <c r="P38" s="76" t="str">
        <f t="shared" si="41"/>
        <v/>
      </c>
      <c r="Q38" s="77" t="str">
        <f t="shared" si="33"/>
        <v/>
      </c>
      <c r="R38" s="77" t="str">
        <f t="shared" si="23"/>
        <v/>
      </c>
      <c r="S38" s="77" t="str">
        <f t="shared" si="34"/>
        <v/>
      </c>
      <c r="T38" s="77" t="str">
        <f t="shared" si="24"/>
        <v/>
      </c>
      <c r="U38" s="79" t="str">
        <f t="shared" si="35"/>
        <v/>
      </c>
      <c r="V38" s="83"/>
      <c r="W38" s="76" t="str">
        <f t="shared" si="42"/>
        <v/>
      </c>
      <c r="X38" s="77" t="str">
        <f t="shared" si="36"/>
        <v/>
      </c>
      <c r="Y38" s="77" t="str">
        <f t="shared" si="25"/>
        <v/>
      </c>
      <c r="Z38" s="77" t="str">
        <f t="shared" si="37"/>
        <v/>
      </c>
      <c r="AA38" s="77" t="str">
        <f t="shared" si="26"/>
        <v/>
      </c>
      <c r="AB38" s="79" t="str">
        <f t="shared" si="38"/>
        <v/>
      </c>
      <c r="AC38" s="49"/>
      <c r="AD38" s="49"/>
      <c r="AE38" s="49"/>
    </row>
    <row r="39" spans="2:31" ht="28.5" hidden="1" customHeight="1" x14ac:dyDescent="0.35">
      <c r="B39" s="76" t="str">
        <f t="shared" si="39"/>
        <v/>
      </c>
      <c r="C39" s="77" t="str">
        <f t="shared" si="27"/>
        <v/>
      </c>
      <c r="D39" s="77" t="str">
        <f t="shared" si="19"/>
        <v/>
      </c>
      <c r="E39" s="77" t="str">
        <f t="shared" si="28"/>
        <v/>
      </c>
      <c r="F39" s="77" t="str">
        <f t="shared" si="20"/>
        <v/>
      </c>
      <c r="G39" s="79" t="str">
        <f t="shared" si="29"/>
        <v/>
      </c>
      <c r="H39" s="82"/>
      <c r="I39" s="76" t="str">
        <f t="shared" si="40"/>
        <v/>
      </c>
      <c r="J39" s="77" t="str">
        <f t="shared" si="30"/>
        <v/>
      </c>
      <c r="K39" s="77" t="str">
        <f t="shared" si="21"/>
        <v/>
      </c>
      <c r="L39" s="77" t="str">
        <f t="shared" si="31"/>
        <v/>
      </c>
      <c r="M39" s="77" t="str">
        <f t="shared" si="22"/>
        <v/>
      </c>
      <c r="N39" s="79" t="str">
        <f t="shared" si="32"/>
        <v/>
      </c>
      <c r="O39" s="83"/>
      <c r="P39" s="76" t="str">
        <f t="shared" si="41"/>
        <v/>
      </c>
      <c r="Q39" s="77" t="str">
        <f t="shared" si="33"/>
        <v/>
      </c>
      <c r="R39" s="77" t="str">
        <f t="shared" si="23"/>
        <v/>
      </c>
      <c r="S39" s="77" t="str">
        <f t="shared" si="34"/>
        <v/>
      </c>
      <c r="T39" s="77" t="str">
        <f t="shared" si="24"/>
        <v/>
      </c>
      <c r="U39" s="79" t="str">
        <f t="shared" si="35"/>
        <v/>
      </c>
      <c r="V39" s="83"/>
      <c r="W39" s="76" t="str">
        <f t="shared" si="42"/>
        <v/>
      </c>
      <c r="X39" s="77" t="str">
        <f t="shared" si="36"/>
        <v/>
      </c>
      <c r="Y39" s="77" t="str">
        <f t="shared" si="25"/>
        <v/>
      </c>
      <c r="Z39" s="77" t="str">
        <f t="shared" si="37"/>
        <v/>
      </c>
      <c r="AA39" s="77" t="str">
        <f t="shared" si="26"/>
        <v/>
      </c>
      <c r="AB39" s="79" t="str">
        <f t="shared" si="38"/>
        <v/>
      </c>
      <c r="AC39" s="49"/>
      <c r="AD39" s="49"/>
      <c r="AE39" s="49"/>
    </row>
    <row r="40" spans="2:31" ht="28.5" hidden="1" customHeight="1" x14ac:dyDescent="0.35">
      <c r="B40" s="76" t="str">
        <f t="shared" si="39"/>
        <v/>
      </c>
      <c r="C40" s="77" t="str">
        <f t="shared" si="27"/>
        <v/>
      </c>
      <c r="D40" s="77" t="str">
        <f t="shared" si="19"/>
        <v/>
      </c>
      <c r="E40" s="77" t="str">
        <f t="shared" si="28"/>
        <v/>
      </c>
      <c r="F40" s="77" t="str">
        <f t="shared" si="20"/>
        <v/>
      </c>
      <c r="G40" s="79" t="str">
        <f t="shared" si="29"/>
        <v/>
      </c>
      <c r="H40" s="84"/>
      <c r="I40" s="76" t="str">
        <f t="shared" si="40"/>
        <v/>
      </c>
      <c r="J40" s="77" t="str">
        <f t="shared" si="30"/>
        <v/>
      </c>
      <c r="K40" s="77" t="str">
        <f t="shared" si="21"/>
        <v/>
      </c>
      <c r="L40" s="77" t="str">
        <f t="shared" si="31"/>
        <v/>
      </c>
      <c r="M40" s="77" t="str">
        <f t="shared" si="22"/>
        <v/>
      </c>
      <c r="N40" s="79" t="str">
        <f t="shared" si="32"/>
        <v/>
      </c>
      <c r="O40" s="85"/>
      <c r="P40" s="76" t="str">
        <f t="shared" si="41"/>
        <v/>
      </c>
      <c r="Q40" s="77" t="str">
        <f t="shared" si="33"/>
        <v/>
      </c>
      <c r="R40" s="77" t="str">
        <f t="shared" si="23"/>
        <v/>
      </c>
      <c r="S40" s="77" t="str">
        <f t="shared" si="34"/>
        <v/>
      </c>
      <c r="T40" s="77" t="str">
        <f t="shared" si="24"/>
        <v/>
      </c>
      <c r="U40" s="79" t="str">
        <f t="shared" si="35"/>
        <v/>
      </c>
      <c r="V40" s="85"/>
      <c r="W40" s="76" t="str">
        <f t="shared" si="42"/>
        <v/>
      </c>
      <c r="X40" s="77" t="str">
        <f t="shared" si="36"/>
        <v/>
      </c>
      <c r="Y40" s="77" t="str">
        <f t="shared" si="25"/>
        <v/>
      </c>
      <c r="Z40" s="77" t="str">
        <f t="shared" si="37"/>
        <v/>
      </c>
      <c r="AA40" s="77" t="str">
        <f t="shared" si="26"/>
        <v/>
      </c>
      <c r="AB40" s="79" t="str">
        <f t="shared" si="38"/>
        <v/>
      </c>
      <c r="AC40" s="49"/>
      <c r="AD40" s="49"/>
      <c r="AE40" s="49"/>
    </row>
    <row r="41" spans="2:31" ht="29.25" hidden="1" thickBot="1" x14ac:dyDescent="0.4">
      <c r="B41" s="86"/>
      <c r="C41" s="87"/>
      <c r="D41" s="74" t="s">
        <v>4</v>
      </c>
      <c r="E41" s="88">
        <f>G41*100/600</f>
        <v>0</v>
      </c>
      <c r="F41" s="89" t="s">
        <v>5</v>
      </c>
      <c r="G41" s="90">
        <f>SUM(G34:G40)</f>
        <v>0</v>
      </c>
      <c r="H41" s="85"/>
      <c r="I41" s="86"/>
      <c r="J41" s="87"/>
      <c r="K41" s="74" t="s">
        <v>4</v>
      </c>
      <c r="L41" s="88">
        <f>N41*100/600</f>
        <v>0</v>
      </c>
      <c r="M41" s="89" t="s">
        <v>5</v>
      </c>
      <c r="N41" s="90">
        <f>SUM(N34:N40)</f>
        <v>0</v>
      </c>
      <c r="O41" s="85"/>
      <c r="P41" s="86"/>
      <c r="Q41" s="87"/>
      <c r="R41" s="74" t="s">
        <v>4</v>
      </c>
      <c r="S41" s="88">
        <f>U41*100/600</f>
        <v>0</v>
      </c>
      <c r="T41" s="89" t="s">
        <v>5</v>
      </c>
      <c r="U41" s="90">
        <f>SUM(U34:U40)</f>
        <v>0</v>
      </c>
      <c r="V41" s="85"/>
      <c r="W41" s="86"/>
      <c r="X41" s="87"/>
      <c r="Y41" s="74" t="s">
        <v>4</v>
      </c>
      <c r="Z41" s="88">
        <f>AB41*100/600</f>
        <v>0</v>
      </c>
      <c r="AA41" s="89" t="s">
        <v>5</v>
      </c>
      <c r="AB41" s="90">
        <f>SUM(AB34:AB40)</f>
        <v>0</v>
      </c>
      <c r="AC41" s="49"/>
      <c r="AD41" s="49"/>
      <c r="AE41" s="49"/>
    </row>
    <row r="42" spans="2:31" ht="17.25" hidden="1" customHeight="1" thickBot="1" x14ac:dyDescent="0.45">
      <c r="B42" s="91"/>
      <c r="C42" s="85"/>
      <c r="D42" s="92"/>
      <c r="E42" s="85"/>
      <c r="F42" s="92"/>
      <c r="G42" s="85"/>
      <c r="H42" s="85"/>
      <c r="I42" s="85"/>
      <c r="J42" s="85"/>
      <c r="K42" s="92"/>
      <c r="L42" s="85"/>
      <c r="M42" s="92"/>
      <c r="N42" s="85"/>
      <c r="O42" s="85"/>
      <c r="P42" s="85"/>
      <c r="Q42" s="85"/>
      <c r="R42" s="92"/>
      <c r="S42" s="85"/>
      <c r="T42" s="92"/>
      <c r="U42" s="85"/>
      <c r="V42" s="85"/>
      <c r="W42" s="85"/>
      <c r="X42" s="85"/>
      <c r="Y42" s="92"/>
      <c r="Z42" s="85"/>
      <c r="AA42" s="92"/>
      <c r="AB42" s="97"/>
      <c r="AC42" s="49"/>
      <c r="AD42" s="49"/>
      <c r="AE42" s="49"/>
    </row>
    <row r="43" spans="2:31" ht="29.25" hidden="1" thickBot="1" x14ac:dyDescent="0.5">
      <c r="B43" s="325"/>
      <c r="C43" s="326"/>
      <c r="D43" s="299"/>
      <c r="E43" s="290"/>
      <c r="F43" s="290"/>
      <c r="G43" s="291"/>
      <c r="H43" s="94"/>
      <c r="I43" s="325"/>
      <c r="J43" s="326"/>
      <c r="K43" s="299"/>
      <c r="L43" s="290"/>
      <c r="M43" s="290"/>
      <c r="N43" s="291"/>
      <c r="O43" s="94"/>
      <c r="P43" s="325"/>
      <c r="Q43" s="326"/>
      <c r="R43" s="299"/>
      <c r="S43" s="290"/>
      <c r="T43" s="290"/>
      <c r="U43" s="291"/>
      <c r="V43" s="85"/>
      <c r="W43" s="222"/>
      <c r="X43" s="223"/>
      <c r="Y43" s="299"/>
      <c r="Z43" s="290"/>
      <c r="AA43" s="290"/>
      <c r="AB43" s="291"/>
      <c r="AC43" s="49"/>
      <c r="AD43" s="49"/>
      <c r="AE43" s="49"/>
    </row>
    <row r="44" spans="2:31" ht="28.5" hidden="1" x14ac:dyDescent="0.35">
      <c r="B44" s="76" t="str">
        <f>IFERROR(INT((D44-$AK$5)*1440),"")</f>
        <v/>
      </c>
      <c r="C44" s="77" t="str">
        <f>IF(D44="","",$AG$6)</f>
        <v/>
      </c>
      <c r="D44" s="77" t="str">
        <f t="shared" ref="D44:D50" si="43">IF(IFERROR(VLOOKUP($B$43&amp;"-"&amp;$A5,USK_BILGILER,4,FALSE),"")&gt;F44,IFERROR(VLOOKUP($B$43&amp;"-"&amp;$A5-1,USK_BILGILER,4,FALSE),""),IFERROR(VLOOKUP($B$43&amp;"-"&amp;$A5,USK_BILGILER,4,FALSE),""))</f>
        <v/>
      </c>
      <c r="E44" s="77" t="str">
        <f>IF(F44="","",$AI$6)</f>
        <v/>
      </c>
      <c r="F44" s="77" t="str">
        <f t="shared" ref="F44:F50" si="44">IFERROR(VLOOKUP($B$43&amp;"-"&amp;$A5,CEK_BILGILER,4,FALSE),"")</f>
        <v/>
      </c>
      <c r="G44" s="96" t="str">
        <f>IFERROR(INT(((F44-D44)*1440)+36),"")</f>
        <v/>
      </c>
      <c r="H44" s="80"/>
      <c r="I44" s="76" t="str">
        <f>IFERROR(INT((K44-$AK$5)*1440),"")</f>
        <v/>
      </c>
      <c r="J44" s="77" t="str">
        <f>IF(K44="","",$AG$6)</f>
        <v/>
      </c>
      <c r="K44" s="77" t="str">
        <f t="shared" ref="K44:K50" si="45">IF(IFERROR(VLOOKUP($I$43&amp;"-"&amp;$A5,USK_BILGILER,4,FALSE),"")&gt;M44,IFERROR(VLOOKUP($I$43&amp;"-"&amp;$A5-1,USK_BILGILER,4,FALSE),""),IFERROR(VLOOKUP($I$43&amp;"-"&amp;$A5,USK_BILGILER,4,FALSE),""))</f>
        <v/>
      </c>
      <c r="L44" s="77" t="str">
        <f>IF(M44="","",$AI$6)</f>
        <v/>
      </c>
      <c r="M44" s="77" t="str">
        <f t="shared" ref="M44:M50" si="46">IFERROR(VLOOKUP($I$43&amp;"-"&amp;$A5,CEK_BILGILER,4,FALSE),"")</f>
        <v/>
      </c>
      <c r="N44" s="96" t="str">
        <f>IFERROR(INT(((M44-K44)*1440)+36),"")</f>
        <v/>
      </c>
      <c r="O44" s="80"/>
      <c r="P44" s="76" t="str">
        <f>IFERROR(INT((R44-$AK$5)*1440),"")</f>
        <v/>
      </c>
      <c r="Q44" s="77" t="str">
        <f>IF(R44="","",$AG$6)</f>
        <v/>
      </c>
      <c r="R44" s="77" t="str">
        <f t="shared" ref="R44:R50" si="47">IF(IFERROR(VLOOKUP($P$43&amp;"-"&amp;$A5,USK_BILGILER,4,FALSE),"")&gt;T44,IFERROR(VLOOKUP($P$43&amp;"-"&amp;$A5-1,USK_BILGILER,4,FALSE),""),IFERROR(VLOOKUP($P$43&amp;"-"&amp;$A5,USK_BILGILER,4,FALSE),""))</f>
        <v/>
      </c>
      <c r="S44" s="77" t="str">
        <f>IF(T44="","",$AI$6)</f>
        <v/>
      </c>
      <c r="T44" s="77" t="str">
        <f t="shared" ref="T44:T50" si="48">IFERROR(VLOOKUP($P$43&amp;"-"&amp;$A5,CEK_BILGILER,4,FALSE),"")</f>
        <v/>
      </c>
      <c r="U44" s="96" t="str">
        <f>IFERROR(INT(((T44-R44)*1440)+36),"")</f>
        <v/>
      </c>
      <c r="V44" s="85"/>
      <c r="W44" s="76" t="str">
        <f>IFERROR(INT((Y44-$AK$5)*1440),"")</f>
        <v/>
      </c>
      <c r="X44" s="77" t="str">
        <f>IF(Y44="","",$AG$6)</f>
        <v/>
      </c>
      <c r="Y44" s="77" t="str">
        <f t="shared" ref="Y44:Y50" si="49">IF(IFERROR(VLOOKUP($W$43&amp;"-"&amp;$A5,USK_BILGILER,4,FALSE),"")&gt;AA44,IFERROR(VLOOKUP($W$43&amp;"-"&amp;$A5-1,USK_BILGILER,4,FALSE),""),IFERROR(VLOOKUP($W$43&amp;"-"&amp;$A5,USK_BILGILER,4,FALSE),""))</f>
        <v/>
      </c>
      <c r="Z44" s="77" t="str">
        <f>IF(AA44="","",$AI$6)</f>
        <v/>
      </c>
      <c r="AA44" s="77" t="str">
        <f t="shared" ref="AA44:AA50" si="50">IFERROR(VLOOKUP($W$43&amp;"-"&amp;$A5,CEK_BILGILER,4,FALSE),"")</f>
        <v/>
      </c>
      <c r="AB44" s="96" t="str">
        <f>IFERROR(INT(((AA44-Y44)*1440)+36),"")</f>
        <v/>
      </c>
      <c r="AC44" s="49"/>
      <c r="AD44" s="49"/>
      <c r="AE44" s="49"/>
    </row>
    <row r="45" spans="2:31" ht="28.5" hidden="1" x14ac:dyDescent="0.35">
      <c r="B45" s="76" t="str">
        <f>IFERROR(INT((D45-F44)*1440-34),"")</f>
        <v/>
      </c>
      <c r="C45" s="77" t="str">
        <f t="shared" ref="C45:C50" si="51">IF(D45="","",$AG$6)</f>
        <v/>
      </c>
      <c r="D45" s="77" t="str">
        <f t="shared" si="43"/>
        <v/>
      </c>
      <c r="E45" s="77" t="str">
        <f t="shared" ref="E45:E50" si="52">IF(F45="","",$AI$6)</f>
        <v/>
      </c>
      <c r="F45" s="77" t="str">
        <f t="shared" si="44"/>
        <v/>
      </c>
      <c r="G45" s="79" t="str">
        <f t="shared" ref="G45:G50" si="53">IFERROR(INT(((F45-D45)*1440)+36),"")</f>
        <v/>
      </c>
      <c r="H45" s="81"/>
      <c r="I45" s="76" t="str">
        <f>IFERROR(INT((K45-M44)*1440-34),"")</f>
        <v/>
      </c>
      <c r="J45" s="77" t="str">
        <f t="shared" ref="J45:J50" si="54">IF(K45="","",$AG$6)</f>
        <v/>
      </c>
      <c r="K45" s="77" t="str">
        <f t="shared" si="45"/>
        <v/>
      </c>
      <c r="L45" s="77" t="str">
        <f t="shared" ref="L45:L50" si="55">IF(M45="","",$AI$6)</f>
        <v/>
      </c>
      <c r="M45" s="77" t="str">
        <f t="shared" si="46"/>
        <v/>
      </c>
      <c r="N45" s="79" t="str">
        <f t="shared" ref="N45:N50" si="56">IFERROR(INT(((M45-K45)*1440)+36),"")</f>
        <v/>
      </c>
      <c r="O45" s="80"/>
      <c r="P45" s="76" t="str">
        <f>IFERROR(INT((R45-T44)*1440-34),"")</f>
        <v/>
      </c>
      <c r="Q45" s="77" t="str">
        <f t="shared" ref="Q45:Q50" si="57">IF(R45="","",$AG$6)</f>
        <v/>
      </c>
      <c r="R45" s="77" t="str">
        <f t="shared" si="47"/>
        <v/>
      </c>
      <c r="S45" s="77" t="str">
        <f t="shared" ref="S45:S50" si="58">IF(T45="","",$AI$6)</f>
        <v/>
      </c>
      <c r="T45" s="77" t="str">
        <f t="shared" si="48"/>
        <v/>
      </c>
      <c r="U45" s="79" t="str">
        <f t="shared" ref="U45:U50" si="59">IFERROR(INT(((T45-R45)*1440)+36),"")</f>
        <v/>
      </c>
      <c r="V45" s="85"/>
      <c r="W45" s="76" t="str">
        <f>IFERROR(INT((Y45-AA44)*1440-34),"")</f>
        <v/>
      </c>
      <c r="X45" s="77" t="str">
        <f t="shared" ref="X45:X50" si="60">IF(Y45="","",$AG$6)</f>
        <v/>
      </c>
      <c r="Y45" s="77" t="str">
        <f t="shared" si="49"/>
        <v/>
      </c>
      <c r="Z45" s="77" t="str">
        <f t="shared" ref="Z45:Z50" si="61">IF(AA45="","",$AI$6)</f>
        <v/>
      </c>
      <c r="AA45" s="77" t="str">
        <f t="shared" si="50"/>
        <v/>
      </c>
      <c r="AB45" s="79" t="str">
        <f t="shared" ref="AB45:AB50" si="62">IFERROR(INT(((AA45-Y45)*1440)+36),"")</f>
        <v/>
      </c>
      <c r="AC45" s="49"/>
      <c r="AD45" s="49"/>
      <c r="AE45" s="49"/>
    </row>
    <row r="46" spans="2:31" ht="28.5" hidden="1" x14ac:dyDescent="0.35">
      <c r="B46" s="76" t="str">
        <f t="shared" ref="B46:B50" si="63">IFERROR(INT((D46-F45)*1440-34),"")</f>
        <v/>
      </c>
      <c r="C46" s="77" t="str">
        <f t="shared" si="51"/>
        <v/>
      </c>
      <c r="D46" s="77" t="str">
        <f t="shared" si="43"/>
        <v/>
      </c>
      <c r="E46" s="77" t="str">
        <f t="shared" si="52"/>
        <v/>
      </c>
      <c r="F46" s="77" t="str">
        <f t="shared" si="44"/>
        <v/>
      </c>
      <c r="G46" s="79" t="str">
        <f t="shared" si="53"/>
        <v/>
      </c>
      <c r="H46" s="81"/>
      <c r="I46" s="76" t="str">
        <f t="shared" ref="I46:I50" si="64">IFERROR(INT((K46-M45)*1440-34),"")</f>
        <v/>
      </c>
      <c r="J46" s="77" t="str">
        <f t="shared" si="54"/>
        <v/>
      </c>
      <c r="K46" s="77" t="str">
        <f t="shared" si="45"/>
        <v/>
      </c>
      <c r="L46" s="77" t="str">
        <f t="shared" si="55"/>
        <v/>
      </c>
      <c r="M46" s="77" t="str">
        <f t="shared" si="46"/>
        <v/>
      </c>
      <c r="N46" s="79" t="str">
        <f t="shared" si="56"/>
        <v/>
      </c>
      <c r="O46" s="80"/>
      <c r="P46" s="76" t="str">
        <f t="shared" ref="P46:P50" si="65">IFERROR(INT((R46-T45)*1440-34),"")</f>
        <v/>
      </c>
      <c r="Q46" s="77" t="str">
        <f t="shared" si="57"/>
        <v/>
      </c>
      <c r="R46" s="77" t="str">
        <f t="shared" si="47"/>
        <v/>
      </c>
      <c r="S46" s="77" t="str">
        <f t="shared" si="58"/>
        <v/>
      </c>
      <c r="T46" s="77" t="str">
        <f t="shared" si="48"/>
        <v/>
      </c>
      <c r="U46" s="79" t="str">
        <f t="shared" si="59"/>
        <v/>
      </c>
      <c r="V46" s="85"/>
      <c r="W46" s="76" t="str">
        <f t="shared" ref="W46:W50" si="66">IFERROR(INT((Y46-AA45)*1440-34),"")</f>
        <v/>
      </c>
      <c r="X46" s="77" t="str">
        <f t="shared" si="60"/>
        <v/>
      </c>
      <c r="Y46" s="77" t="str">
        <f t="shared" si="49"/>
        <v/>
      </c>
      <c r="Z46" s="77" t="str">
        <f t="shared" si="61"/>
        <v/>
      </c>
      <c r="AA46" s="77" t="str">
        <f t="shared" si="50"/>
        <v/>
      </c>
      <c r="AB46" s="79" t="str">
        <f t="shared" si="62"/>
        <v/>
      </c>
      <c r="AC46" s="49"/>
      <c r="AD46" s="49"/>
      <c r="AE46" s="49"/>
    </row>
    <row r="47" spans="2:31" ht="28.5" hidden="1" customHeight="1" x14ac:dyDescent="0.35">
      <c r="B47" s="76" t="str">
        <f t="shared" si="63"/>
        <v/>
      </c>
      <c r="C47" s="77" t="str">
        <f t="shared" si="51"/>
        <v/>
      </c>
      <c r="D47" s="77" t="str">
        <f t="shared" si="43"/>
        <v/>
      </c>
      <c r="E47" s="77" t="str">
        <f t="shared" si="52"/>
        <v/>
      </c>
      <c r="F47" s="77" t="str">
        <f t="shared" si="44"/>
        <v/>
      </c>
      <c r="G47" s="79" t="str">
        <f t="shared" si="53"/>
        <v/>
      </c>
      <c r="H47" s="82"/>
      <c r="I47" s="76" t="str">
        <f t="shared" si="64"/>
        <v/>
      </c>
      <c r="J47" s="77" t="str">
        <f t="shared" si="54"/>
        <v/>
      </c>
      <c r="K47" s="77" t="str">
        <f t="shared" si="45"/>
        <v/>
      </c>
      <c r="L47" s="77" t="str">
        <f t="shared" si="55"/>
        <v/>
      </c>
      <c r="M47" s="77" t="str">
        <f t="shared" si="46"/>
        <v/>
      </c>
      <c r="N47" s="79" t="str">
        <f t="shared" si="56"/>
        <v/>
      </c>
      <c r="O47" s="80"/>
      <c r="P47" s="76" t="str">
        <f t="shared" si="65"/>
        <v/>
      </c>
      <c r="Q47" s="77" t="str">
        <f t="shared" si="57"/>
        <v/>
      </c>
      <c r="R47" s="77" t="str">
        <f t="shared" si="47"/>
        <v/>
      </c>
      <c r="S47" s="77" t="str">
        <f t="shared" si="58"/>
        <v/>
      </c>
      <c r="T47" s="77" t="str">
        <f t="shared" si="48"/>
        <v/>
      </c>
      <c r="U47" s="79" t="str">
        <f t="shared" si="59"/>
        <v/>
      </c>
      <c r="V47" s="85"/>
      <c r="W47" s="76" t="str">
        <f t="shared" si="66"/>
        <v/>
      </c>
      <c r="X47" s="77" t="str">
        <f t="shared" si="60"/>
        <v/>
      </c>
      <c r="Y47" s="77" t="str">
        <f t="shared" si="49"/>
        <v/>
      </c>
      <c r="Z47" s="77" t="str">
        <f t="shared" si="61"/>
        <v/>
      </c>
      <c r="AA47" s="77" t="str">
        <f t="shared" si="50"/>
        <v/>
      </c>
      <c r="AB47" s="79" t="str">
        <f t="shared" si="62"/>
        <v/>
      </c>
      <c r="AC47" s="49"/>
      <c r="AD47" s="49"/>
      <c r="AE47" s="49"/>
    </row>
    <row r="48" spans="2:31" ht="28.5" hidden="1" customHeight="1" x14ac:dyDescent="0.35">
      <c r="B48" s="76" t="str">
        <f t="shared" si="63"/>
        <v/>
      </c>
      <c r="C48" s="77" t="str">
        <f t="shared" si="51"/>
        <v/>
      </c>
      <c r="D48" s="77" t="str">
        <f t="shared" si="43"/>
        <v/>
      </c>
      <c r="E48" s="77" t="str">
        <f t="shared" si="52"/>
        <v/>
      </c>
      <c r="F48" s="77" t="str">
        <f t="shared" si="44"/>
        <v/>
      </c>
      <c r="G48" s="79" t="str">
        <f t="shared" si="53"/>
        <v/>
      </c>
      <c r="H48" s="82"/>
      <c r="I48" s="76" t="str">
        <f t="shared" si="64"/>
        <v/>
      </c>
      <c r="J48" s="77" t="str">
        <f t="shared" si="54"/>
        <v/>
      </c>
      <c r="K48" s="77" t="str">
        <f t="shared" si="45"/>
        <v/>
      </c>
      <c r="L48" s="77" t="str">
        <f t="shared" si="55"/>
        <v/>
      </c>
      <c r="M48" s="77" t="str">
        <f t="shared" si="46"/>
        <v/>
      </c>
      <c r="N48" s="79" t="str">
        <f t="shared" si="56"/>
        <v/>
      </c>
      <c r="O48" s="80"/>
      <c r="P48" s="76" t="str">
        <f t="shared" si="65"/>
        <v/>
      </c>
      <c r="Q48" s="77" t="str">
        <f t="shared" si="57"/>
        <v/>
      </c>
      <c r="R48" s="77" t="str">
        <f t="shared" si="47"/>
        <v/>
      </c>
      <c r="S48" s="77" t="str">
        <f t="shared" si="58"/>
        <v/>
      </c>
      <c r="T48" s="77" t="str">
        <f t="shared" si="48"/>
        <v/>
      </c>
      <c r="U48" s="79" t="str">
        <f t="shared" si="59"/>
        <v/>
      </c>
      <c r="V48" s="85"/>
      <c r="W48" s="76" t="str">
        <f t="shared" si="66"/>
        <v/>
      </c>
      <c r="X48" s="77" t="str">
        <f t="shared" si="60"/>
        <v/>
      </c>
      <c r="Y48" s="77" t="str">
        <f t="shared" si="49"/>
        <v/>
      </c>
      <c r="Z48" s="77" t="str">
        <f t="shared" si="61"/>
        <v/>
      </c>
      <c r="AA48" s="77" t="str">
        <f t="shared" si="50"/>
        <v/>
      </c>
      <c r="AB48" s="79" t="str">
        <f t="shared" si="62"/>
        <v/>
      </c>
      <c r="AC48" s="49"/>
      <c r="AD48" s="49"/>
      <c r="AE48" s="49"/>
    </row>
    <row r="49" spans="2:31" ht="28.5" hidden="1" customHeight="1" x14ac:dyDescent="0.35">
      <c r="B49" s="76" t="str">
        <f t="shared" si="63"/>
        <v/>
      </c>
      <c r="C49" s="77" t="str">
        <f t="shared" si="51"/>
        <v/>
      </c>
      <c r="D49" s="77" t="str">
        <f t="shared" si="43"/>
        <v/>
      </c>
      <c r="E49" s="77" t="str">
        <f t="shared" si="52"/>
        <v/>
      </c>
      <c r="F49" s="77" t="str">
        <f t="shared" si="44"/>
        <v/>
      </c>
      <c r="G49" s="79" t="str">
        <f t="shared" si="53"/>
        <v/>
      </c>
      <c r="H49" s="82"/>
      <c r="I49" s="76" t="str">
        <f t="shared" si="64"/>
        <v/>
      </c>
      <c r="J49" s="77" t="str">
        <f t="shared" si="54"/>
        <v/>
      </c>
      <c r="K49" s="77" t="str">
        <f t="shared" si="45"/>
        <v/>
      </c>
      <c r="L49" s="77" t="str">
        <f t="shared" si="55"/>
        <v/>
      </c>
      <c r="M49" s="77" t="str">
        <f t="shared" si="46"/>
        <v/>
      </c>
      <c r="N49" s="79" t="str">
        <f t="shared" si="56"/>
        <v/>
      </c>
      <c r="O49" s="80"/>
      <c r="P49" s="76" t="str">
        <f t="shared" si="65"/>
        <v/>
      </c>
      <c r="Q49" s="77" t="str">
        <f t="shared" si="57"/>
        <v/>
      </c>
      <c r="R49" s="77" t="str">
        <f t="shared" si="47"/>
        <v/>
      </c>
      <c r="S49" s="77" t="str">
        <f t="shared" si="58"/>
        <v/>
      </c>
      <c r="T49" s="77" t="str">
        <f t="shared" si="48"/>
        <v/>
      </c>
      <c r="U49" s="79" t="str">
        <f t="shared" si="59"/>
        <v/>
      </c>
      <c r="V49" s="85"/>
      <c r="W49" s="76" t="str">
        <f t="shared" si="66"/>
        <v/>
      </c>
      <c r="X49" s="77" t="str">
        <f t="shared" si="60"/>
        <v/>
      </c>
      <c r="Y49" s="77" t="str">
        <f t="shared" si="49"/>
        <v/>
      </c>
      <c r="Z49" s="77" t="str">
        <f t="shared" si="61"/>
        <v/>
      </c>
      <c r="AA49" s="77" t="str">
        <f t="shared" si="50"/>
        <v/>
      </c>
      <c r="AB49" s="79" t="str">
        <f t="shared" si="62"/>
        <v/>
      </c>
      <c r="AC49" s="49"/>
      <c r="AD49" s="49"/>
      <c r="AE49" s="49"/>
    </row>
    <row r="50" spans="2:31" ht="28.5" hidden="1" customHeight="1" x14ac:dyDescent="0.35">
      <c r="B50" s="76" t="str">
        <f t="shared" si="63"/>
        <v/>
      </c>
      <c r="C50" s="77" t="str">
        <f t="shared" si="51"/>
        <v/>
      </c>
      <c r="D50" s="77" t="str">
        <f t="shared" si="43"/>
        <v/>
      </c>
      <c r="E50" s="77" t="str">
        <f t="shared" si="52"/>
        <v/>
      </c>
      <c r="F50" s="77" t="str">
        <f t="shared" si="44"/>
        <v/>
      </c>
      <c r="G50" s="79" t="str">
        <f t="shared" si="53"/>
        <v/>
      </c>
      <c r="H50" s="84"/>
      <c r="I50" s="76" t="str">
        <f t="shared" si="64"/>
        <v/>
      </c>
      <c r="J50" s="77" t="str">
        <f t="shared" si="54"/>
        <v/>
      </c>
      <c r="K50" s="77" t="str">
        <f t="shared" si="45"/>
        <v/>
      </c>
      <c r="L50" s="77" t="str">
        <f t="shared" si="55"/>
        <v/>
      </c>
      <c r="M50" s="77" t="str">
        <f t="shared" si="46"/>
        <v/>
      </c>
      <c r="N50" s="79" t="str">
        <f t="shared" si="56"/>
        <v/>
      </c>
      <c r="O50" s="80"/>
      <c r="P50" s="76" t="str">
        <f t="shared" si="65"/>
        <v/>
      </c>
      <c r="Q50" s="77" t="str">
        <f t="shared" si="57"/>
        <v/>
      </c>
      <c r="R50" s="77" t="str">
        <f t="shared" si="47"/>
        <v/>
      </c>
      <c r="S50" s="77" t="str">
        <f t="shared" si="58"/>
        <v/>
      </c>
      <c r="T50" s="77" t="str">
        <f t="shared" si="48"/>
        <v/>
      </c>
      <c r="U50" s="79" t="str">
        <f t="shared" si="59"/>
        <v/>
      </c>
      <c r="V50" s="85"/>
      <c r="W50" s="76" t="str">
        <f t="shared" si="66"/>
        <v/>
      </c>
      <c r="X50" s="77" t="str">
        <f t="shared" si="60"/>
        <v/>
      </c>
      <c r="Y50" s="77" t="str">
        <f t="shared" si="49"/>
        <v/>
      </c>
      <c r="Z50" s="77" t="str">
        <f t="shared" si="61"/>
        <v/>
      </c>
      <c r="AA50" s="77" t="str">
        <f t="shared" si="50"/>
        <v/>
      </c>
      <c r="AB50" s="79" t="str">
        <f t="shared" si="62"/>
        <v/>
      </c>
      <c r="AC50" s="49"/>
      <c r="AD50" s="49"/>
      <c r="AE50" s="49"/>
    </row>
    <row r="51" spans="2:31" ht="29.25" hidden="1" thickBot="1" x14ac:dyDescent="0.4">
      <c r="B51" s="86"/>
      <c r="C51" s="87"/>
      <c r="D51" s="74" t="s">
        <v>4</v>
      </c>
      <c r="E51" s="88">
        <f>G51*100/600</f>
        <v>0</v>
      </c>
      <c r="F51" s="89" t="s">
        <v>5</v>
      </c>
      <c r="G51" s="90">
        <f>SUM(G44:G50)</f>
        <v>0</v>
      </c>
      <c r="H51" s="85"/>
      <c r="I51" s="86"/>
      <c r="J51" s="87"/>
      <c r="K51" s="74" t="s">
        <v>4</v>
      </c>
      <c r="L51" s="88">
        <f>N51*100/600</f>
        <v>0</v>
      </c>
      <c r="M51" s="89" t="s">
        <v>5</v>
      </c>
      <c r="N51" s="90">
        <f>SUM(N44:N50)</f>
        <v>0</v>
      </c>
      <c r="O51" s="85"/>
      <c r="P51" s="86"/>
      <c r="Q51" s="87"/>
      <c r="R51" s="74" t="s">
        <v>4</v>
      </c>
      <c r="S51" s="88">
        <f>U51*100/600</f>
        <v>0</v>
      </c>
      <c r="T51" s="89" t="s">
        <v>5</v>
      </c>
      <c r="U51" s="90">
        <f>SUM(U44:U50)</f>
        <v>0</v>
      </c>
      <c r="V51" s="85"/>
      <c r="W51" s="86"/>
      <c r="X51" s="87"/>
      <c r="Y51" s="74" t="s">
        <v>4</v>
      </c>
      <c r="Z51" s="88">
        <f>AB51*100/600</f>
        <v>0</v>
      </c>
      <c r="AA51" s="89" t="s">
        <v>5</v>
      </c>
      <c r="AB51" s="90">
        <f>SUM(AB44:AB50)</f>
        <v>0</v>
      </c>
      <c r="AC51" s="49"/>
      <c r="AD51" s="49"/>
      <c r="AE51" s="49"/>
    </row>
    <row r="52" spans="2:31" ht="29.25" thickBot="1" x14ac:dyDescent="0.25">
      <c r="B52" s="57"/>
      <c r="C52" s="58"/>
      <c r="D52" s="58"/>
      <c r="E52" s="58"/>
      <c r="F52" s="58"/>
      <c r="G52" s="58"/>
      <c r="H52" s="50"/>
      <c r="I52" s="58"/>
      <c r="J52" s="58"/>
      <c r="K52" s="58"/>
      <c r="L52" s="58"/>
      <c r="M52" s="58"/>
      <c r="N52" s="58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49"/>
      <c r="AD52" s="49"/>
      <c r="AE52" s="49"/>
    </row>
    <row r="53" spans="2:31" ht="31.5" customHeight="1" thickBot="1" x14ac:dyDescent="0.4">
      <c r="B53" s="217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9"/>
      <c r="AC53" s="49"/>
      <c r="AD53" s="49"/>
      <c r="AE53" s="49"/>
    </row>
    <row r="54" spans="2:31" ht="31.5" customHeight="1" thickBot="1" x14ac:dyDescent="0.4">
      <c r="B54" s="211"/>
      <c r="C54" s="212"/>
      <c r="D54" s="212"/>
      <c r="E54" s="212"/>
      <c r="F54" s="212"/>
      <c r="G54" s="212"/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2"/>
      <c r="AB54" s="213"/>
      <c r="AC54" s="49"/>
      <c r="AD54" s="49"/>
      <c r="AE54" s="49"/>
    </row>
    <row r="55" spans="2:31" ht="31.5" customHeight="1" thickBot="1" x14ac:dyDescent="0.4">
      <c r="B55" s="217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9"/>
      <c r="AC55" s="49"/>
      <c r="AD55" s="49"/>
      <c r="AE55" s="49"/>
    </row>
    <row r="56" spans="2:31" ht="31.5" customHeight="1" thickBot="1" x14ac:dyDescent="0.4">
      <c r="B56" s="211"/>
      <c r="C56" s="212"/>
      <c r="D56" s="212"/>
      <c r="E56" s="212"/>
      <c r="F56" s="212"/>
      <c r="G56" s="212"/>
      <c r="H56" s="212"/>
      <c r="I56" s="212"/>
      <c r="J56" s="212"/>
      <c r="K56" s="212"/>
      <c r="L56" s="212"/>
      <c r="M56" s="212"/>
      <c r="N56" s="212"/>
      <c r="O56" s="212"/>
      <c r="P56" s="212"/>
      <c r="Q56" s="212"/>
      <c r="R56" s="212"/>
      <c r="S56" s="212"/>
      <c r="T56" s="212"/>
      <c r="U56" s="212"/>
      <c r="V56" s="212"/>
      <c r="W56" s="212"/>
      <c r="X56" s="212"/>
      <c r="Y56" s="212"/>
      <c r="Z56" s="212"/>
      <c r="AA56" s="212"/>
      <c r="AB56" s="213"/>
      <c r="AC56" s="49"/>
      <c r="AD56" s="49"/>
      <c r="AE56" s="49"/>
    </row>
    <row r="57" spans="2:31" ht="24" customHeight="1" x14ac:dyDescent="0.2">
      <c r="D57" s="16"/>
      <c r="F57" s="16"/>
      <c r="K57" s="16"/>
      <c r="M57" s="16"/>
      <c r="R57" s="16"/>
      <c r="T57" s="16"/>
      <c r="Y57" s="16"/>
      <c r="AA57" s="16"/>
      <c r="AC57" s="49"/>
      <c r="AD57" s="49"/>
      <c r="AE57" s="49"/>
    </row>
    <row r="58" spans="2:31" ht="24" customHeight="1" x14ac:dyDescent="0.2">
      <c r="D58" s="16"/>
      <c r="F58" s="16"/>
      <c r="K58" s="16"/>
      <c r="M58" s="16"/>
      <c r="R58" s="16"/>
      <c r="T58" s="16"/>
      <c r="Y58" s="16"/>
      <c r="AA58" s="16"/>
      <c r="AC58" s="49"/>
      <c r="AD58" s="49"/>
      <c r="AE58" s="49"/>
    </row>
    <row r="59" spans="2:31" ht="28.5" x14ac:dyDescent="0.4">
      <c r="AB59" s="22"/>
      <c r="AC59" s="49"/>
      <c r="AD59" s="49"/>
      <c r="AE59" s="49"/>
    </row>
    <row r="60" spans="2:31" ht="28.5" x14ac:dyDescent="0.4">
      <c r="AB60" s="15"/>
      <c r="AC60" s="49"/>
      <c r="AD60" s="49"/>
      <c r="AE60" s="49"/>
    </row>
    <row r="61" spans="2:31" ht="28.5" x14ac:dyDescent="0.4">
      <c r="AB61" s="15"/>
      <c r="AC61" s="49"/>
      <c r="AD61" s="49"/>
      <c r="AE61" s="49"/>
    </row>
    <row r="62" spans="2:31" ht="28.5" x14ac:dyDescent="0.4">
      <c r="AB62" s="15"/>
      <c r="AC62" s="49"/>
      <c r="AD62" s="49"/>
      <c r="AE62" s="49"/>
    </row>
    <row r="63" spans="2:31" ht="28.5" x14ac:dyDescent="0.4">
      <c r="AB63" s="15"/>
      <c r="AC63" s="49"/>
      <c r="AD63" s="49"/>
      <c r="AE63" s="49"/>
    </row>
    <row r="64" spans="2:31" ht="28.5" x14ac:dyDescent="0.4">
      <c r="AB64" s="15"/>
      <c r="AC64" s="49"/>
      <c r="AD64" s="49"/>
      <c r="AE64" s="49"/>
    </row>
    <row r="65" spans="28:31" ht="28.5" x14ac:dyDescent="0.4">
      <c r="AB65" s="15"/>
      <c r="AC65" s="49"/>
      <c r="AD65" s="49"/>
      <c r="AE65" s="49"/>
    </row>
    <row r="66" spans="28:31" ht="28.5" x14ac:dyDescent="0.4">
      <c r="AB66" s="15"/>
      <c r="AC66" s="49"/>
      <c r="AD66" s="49"/>
      <c r="AE66" s="49"/>
    </row>
    <row r="67" spans="28:31" ht="28.5" x14ac:dyDescent="0.4">
      <c r="AB67" s="15"/>
      <c r="AC67" s="49"/>
      <c r="AD67" s="49"/>
      <c r="AE67" s="49"/>
    </row>
    <row r="68" spans="28:31" ht="28.5" x14ac:dyDescent="0.4">
      <c r="AB68" s="15"/>
      <c r="AC68" s="49"/>
      <c r="AD68" s="49"/>
      <c r="AE68" s="49"/>
    </row>
    <row r="69" spans="28:31" ht="28.5" x14ac:dyDescent="0.4">
      <c r="AB69" s="15"/>
      <c r="AC69" s="49"/>
      <c r="AD69" s="49"/>
      <c r="AE69" s="49"/>
    </row>
    <row r="70" spans="28:31" ht="28.5" x14ac:dyDescent="0.4">
      <c r="AB70" s="15"/>
      <c r="AC70" s="49"/>
      <c r="AD70" s="49"/>
      <c r="AE70" s="49"/>
    </row>
    <row r="71" spans="28:31" ht="28.5" x14ac:dyDescent="0.4">
      <c r="AB71" s="15"/>
      <c r="AC71" s="49"/>
      <c r="AD71" s="49"/>
      <c r="AE71" s="49"/>
    </row>
    <row r="72" spans="28:31" ht="28.5" x14ac:dyDescent="0.4">
      <c r="AB72" s="15"/>
      <c r="AC72" s="49"/>
      <c r="AD72" s="49"/>
      <c r="AE72" s="49"/>
    </row>
    <row r="73" spans="28:31" ht="28.5" x14ac:dyDescent="0.4">
      <c r="AB73" s="15"/>
      <c r="AC73" s="49"/>
      <c r="AD73" s="49"/>
      <c r="AE73" s="49"/>
    </row>
    <row r="74" spans="28:31" ht="28.5" x14ac:dyDescent="0.4">
      <c r="AB74" s="15"/>
      <c r="AC74" s="49"/>
      <c r="AD74" s="49"/>
      <c r="AE74" s="49"/>
    </row>
    <row r="75" spans="28:31" ht="28.5" x14ac:dyDescent="0.4">
      <c r="AB75" s="15"/>
      <c r="AC75" s="49"/>
      <c r="AD75" s="49"/>
      <c r="AE75" s="49"/>
    </row>
    <row r="76" spans="28:31" ht="28.5" x14ac:dyDescent="0.4">
      <c r="AB76" s="15"/>
      <c r="AC76" s="49"/>
      <c r="AD76" s="49"/>
      <c r="AE76" s="49"/>
    </row>
    <row r="77" spans="28:31" ht="28.5" x14ac:dyDescent="0.4">
      <c r="AB77" s="15"/>
      <c r="AC77" s="49"/>
      <c r="AD77" s="49"/>
      <c r="AE77" s="49"/>
    </row>
    <row r="78" spans="28:31" ht="28.5" x14ac:dyDescent="0.4">
      <c r="AB78" s="15"/>
      <c r="AC78" s="49"/>
      <c r="AD78" s="49"/>
      <c r="AE78" s="49"/>
    </row>
    <row r="79" spans="28:31" ht="28.5" x14ac:dyDescent="0.4">
      <c r="AB79" s="15"/>
      <c r="AC79" s="49"/>
      <c r="AD79" s="49"/>
      <c r="AE79" s="49"/>
    </row>
    <row r="80" spans="28:31" ht="28.5" x14ac:dyDescent="0.4">
      <c r="AB80" s="15"/>
      <c r="AC80" s="49"/>
      <c r="AD80" s="49"/>
      <c r="AE80" s="49"/>
    </row>
    <row r="81" spans="28:31" ht="28.5" x14ac:dyDescent="0.4">
      <c r="AB81" s="15"/>
      <c r="AC81" s="49"/>
      <c r="AD81" s="49"/>
      <c r="AE81" s="49"/>
    </row>
    <row r="82" spans="28:31" ht="28.5" x14ac:dyDescent="0.4">
      <c r="AB82" s="15"/>
      <c r="AC82" s="49"/>
      <c r="AD82" s="49"/>
      <c r="AE82" s="49"/>
    </row>
    <row r="83" spans="28:31" ht="28.5" x14ac:dyDescent="0.4">
      <c r="AB83" s="15"/>
      <c r="AC83" s="49"/>
      <c r="AD83" s="49"/>
      <c r="AE83" s="49"/>
    </row>
    <row r="84" spans="28:31" ht="28.5" x14ac:dyDescent="0.4">
      <c r="AB84" s="15"/>
      <c r="AC84" s="49"/>
      <c r="AD84" s="49"/>
      <c r="AE84" s="49"/>
    </row>
    <row r="85" spans="28:31" ht="28.5" x14ac:dyDescent="0.4">
      <c r="AB85" s="15"/>
      <c r="AC85" s="49"/>
      <c r="AD85" s="49"/>
      <c r="AE85" s="49"/>
    </row>
    <row r="86" spans="28:31" ht="28.5" x14ac:dyDescent="0.4">
      <c r="AB86" s="15"/>
      <c r="AC86" s="49"/>
      <c r="AD86" s="49"/>
      <c r="AE86" s="49"/>
    </row>
    <row r="87" spans="28:31" ht="28.5" x14ac:dyDescent="0.4">
      <c r="AB87" s="15"/>
      <c r="AC87" s="49"/>
      <c r="AD87" s="49"/>
      <c r="AE87" s="49"/>
    </row>
    <row r="88" spans="28:31" ht="28.5" x14ac:dyDescent="0.4">
      <c r="AB88" s="15"/>
      <c r="AC88" s="49"/>
      <c r="AD88" s="49"/>
      <c r="AE88" s="49"/>
    </row>
    <row r="89" spans="28:31" ht="28.5" x14ac:dyDescent="0.4">
      <c r="AB89" s="15"/>
      <c r="AC89" s="49"/>
      <c r="AD89" s="49"/>
      <c r="AE89" s="49"/>
    </row>
    <row r="90" spans="28:31" ht="28.5" x14ac:dyDescent="0.4">
      <c r="AB90" s="15"/>
      <c r="AC90" s="49"/>
      <c r="AD90" s="49"/>
      <c r="AE90" s="49"/>
    </row>
    <row r="91" spans="28:31" ht="28.5" x14ac:dyDescent="0.4">
      <c r="AB91" s="15"/>
      <c r="AC91" s="49"/>
      <c r="AD91" s="49"/>
      <c r="AE91" s="49"/>
    </row>
    <row r="92" spans="28:31" ht="28.5" x14ac:dyDescent="0.4">
      <c r="AB92" s="15"/>
      <c r="AC92" s="49"/>
      <c r="AD92" s="49"/>
      <c r="AE92" s="49"/>
    </row>
    <row r="93" spans="28:31" ht="28.5" x14ac:dyDescent="0.4">
      <c r="AB93" s="15"/>
      <c r="AC93" s="49"/>
      <c r="AD93" s="49"/>
      <c r="AE93" s="49"/>
    </row>
    <row r="94" spans="28:31" ht="28.5" x14ac:dyDescent="0.4">
      <c r="AB94" s="15"/>
      <c r="AC94" s="49"/>
      <c r="AD94" s="49"/>
      <c r="AE94" s="49"/>
    </row>
    <row r="95" spans="28:31" ht="28.5" x14ac:dyDescent="0.4">
      <c r="AB95" s="15"/>
      <c r="AC95" s="49"/>
      <c r="AD95" s="49"/>
      <c r="AE95" s="49"/>
    </row>
    <row r="96" spans="28:31" ht="28.5" x14ac:dyDescent="0.4">
      <c r="AB96" s="15"/>
      <c r="AC96" s="49"/>
      <c r="AD96" s="49"/>
      <c r="AE96" s="49"/>
    </row>
    <row r="97" spans="28:31" ht="28.5" x14ac:dyDescent="0.4">
      <c r="AB97" s="15"/>
      <c r="AC97" s="49"/>
      <c r="AD97" s="49"/>
      <c r="AE97" s="49"/>
    </row>
    <row r="98" spans="28:31" ht="28.5" x14ac:dyDescent="0.4">
      <c r="AB98" s="15"/>
      <c r="AC98" s="49"/>
      <c r="AD98" s="49"/>
      <c r="AE98" s="49"/>
    </row>
    <row r="99" spans="28:31" ht="28.5" x14ac:dyDescent="0.4">
      <c r="AB99" s="15"/>
      <c r="AC99" s="49"/>
      <c r="AD99" s="49"/>
      <c r="AE99" s="49"/>
    </row>
    <row r="100" spans="28:31" ht="28.5" x14ac:dyDescent="0.4">
      <c r="AB100" s="15"/>
      <c r="AC100" s="49"/>
      <c r="AD100" s="49"/>
      <c r="AE100" s="49"/>
    </row>
    <row r="101" spans="28:31" ht="28.5" x14ac:dyDescent="0.4">
      <c r="AB101" s="15"/>
      <c r="AC101" s="49"/>
      <c r="AD101" s="49"/>
      <c r="AE101" s="49"/>
    </row>
    <row r="102" spans="28:31" ht="28.5" x14ac:dyDescent="0.4">
      <c r="AB102" s="15"/>
      <c r="AC102" s="49"/>
      <c r="AD102" s="49"/>
      <c r="AE102" s="49"/>
    </row>
    <row r="103" spans="28:31" ht="28.5" x14ac:dyDescent="0.4">
      <c r="AB103" s="15"/>
      <c r="AC103" s="49"/>
      <c r="AD103" s="49"/>
      <c r="AE103" s="49"/>
    </row>
    <row r="104" spans="28:31" ht="28.5" x14ac:dyDescent="0.4">
      <c r="AB104" s="15"/>
      <c r="AC104" s="49"/>
      <c r="AD104" s="49"/>
      <c r="AE104" s="49"/>
    </row>
    <row r="105" spans="28:31" ht="28.5" x14ac:dyDescent="0.4">
      <c r="AB105" s="15"/>
      <c r="AC105" s="49"/>
      <c r="AD105" s="49"/>
      <c r="AE105" s="49"/>
    </row>
    <row r="106" spans="28:31" ht="28.5" x14ac:dyDescent="0.4">
      <c r="AB106" s="15"/>
      <c r="AC106" s="49"/>
      <c r="AD106" s="49"/>
      <c r="AE106" s="49"/>
    </row>
    <row r="107" spans="28:31" ht="28.5" x14ac:dyDescent="0.4">
      <c r="AB107" s="15"/>
      <c r="AC107" s="49"/>
      <c r="AD107" s="49"/>
      <c r="AE107" s="49"/>
    </row>
    <row r="108" spans="28:31" ht="28.5" x14ac:dyDescent="0.4">
      <c r="AB108" s="15"/>
      <c r="AC108" s="49"/>
      <c r="AD108" s="49"/>
      <c r="AE108" s="49"/>
    </row>
    <row r="109" spans="28:31" ht="28.5" x14ac:dyDescent="0.4">
      <c r="AB109" s="15"/>
      <c r="AC109" s="49"/>
      <c r="AD109" s="49"/>
      <c r="AE109" s="49"/>
    </row>
    <row r="110" spans="28:31" ht="28.5" x14ac:dyDescent="0.4">
      <c r="AB110" s="15"/>
      <c r="AC110" s="49"/>
      <c r="AD110" s="49"/>
      <c r="AE110" s="49"/>
    </row>
    <row r="111" spans="28:31" ht="28.5" x14ac:dyDescent="0.4">
      <c r="AB111" s="15"/>
      <c r="AC111" s="49"/>
      <c r="AD111" s="49"/>
      <c r="AE111" s="49"/>
    </row>
    <row r="112" spans="28:31" ht="28.5" x14ac:dyDescent="0.4">
      <c r="AB112" s="15"/>
      <c r="AC112" s="49"/>
      <c r="AD112" s="49"/>
      <c r="AE112" s="49"/>
    </row>
    <row r="113" spans="28:31" ht="28.5" x14ac:dyDescent="0.4">
      <c r="AB113" s="15"/>
      <c r="AC113" s="49"/>
      <c r="AD113" s="49"/>
      <c r="AE113" s="49"/>
    </row>
    <row r="114" spans="28:31" ht="28.5" x14ac:dyDescent="0.4">
      <c r="AB114" s="15"/>
      <c r="AC114" s="49"/>
      <c r="AD114" s="49"/>
      <c r="AE114" s="49"/>
    </row>
    <row r="115" spans="28:31" ht="28.5" x14ac:dyDescent="0.4">
      <c r="AB115" s="15"/>
      <c r="AC115" s="49"/>
      <c r="AD115" s="49"/>
      <c r="AE115" s="49"/>
    </row>
    <row r="116" spans="28:31" ht="28.5" x14ac:dyDescent="0.4">
      <c r="AB116" s="15"/>
      <c r="AC116" s="49"/>
      <c r="AD116" s="49"/>
      <c r="AE116" s="49"/>
    </row>
    <row r="117" spans="28:31" ht="28.5" x14ac:dyDescent="0.4">
      <c r="AB117" s="15"/>
      <c r="AC117" s="49"/>
      <c r="AD117" s="49"/>
      <c r="AE117" s="49"/>
    </row>
    <row r="118" spans="28:31" ht="28.5" x14ac:dyDescent="0.4">
      <c r="AB118" s="15"/>
      <c r="AC118" s="49"/>
      <c r="AD118" s="49"/>
      <c r="AE118" s="49"/>
    </row>
    <row r="119" spans="28:31" ht="28.5" x14ac:dyDescent="0.4">
      <c r="AB119" s="15"/>
      <c r="AC119" s="49"/>
      <c r="AD119" s="49"/>
      <c r="AE119" s="49"/>
    </row>
    <row r="120" spans="28:31" ht="28.5" x14ac:dyDescent="0.4">
      <c r="AB120" s="15"/>
      <c r="AC120" s="49"/>
      <c r="AD120" s="49"/>
      <c r="AE120" s="49"/>
    </row>
    <row r="121" spans="28:31" x14ac:dyDescent="0.4">
      <c r="AB121" s="15"/>
      <c r="AC121" s="15"/>
      <c r="AD121" s="15"/>
      <c r="AE121" s="15"/>
    </row>
    <row r="122" spans="28:31" x14ac:dyDescent="0.4">
      <c r="AB122" s="15"/>
      <c r="AC122" s="15"/>
      <c r="AD122" s="15"/>
      <c r="AE122" s="15"/>
    </row>
    <row r="123" spans="28:31" x14ac:dyDescent="0.4">
      <c r="AB123" s="15"/>
      <c r="AC123" s="15"/>
      <c r="AD123" s="15"/>
      <c r="AE123" s="15"/>
    </row>
    <row r="124" spans="28:31" x14ac:dyDescent="0.4">
      <c r="AB124" s="15"/>
      <c r="AC124" s="15"/>
      <c r="AD124" s="15"/>
      <c r="AE124" s="15"/>
    </row>
    <row r="125" spans="28:31" x14ac:dyDescent="0.4">
      <c r="AB125" s="15"/>
      <c r="AC125" s="15"/>
      <c r="AD125" s="15"/>
      <c r="AE125" s="15"/>
    </row>
    <row r="126" spans="28:31" x14ac:dyDescent="0.4">
      <c r="AB126" s="15"/>
      <c r="AC126" s="15"/>
      <c r="AD126" s="15"/>
      <c r="AE126" s="15"/>
    </row>
    <row r="127" spans="28:31" x14ac:dyDescent="0.4">
      <c r="AB127" s="15"/>
      <c r="AC127" s="15"/>
      <c r="AD127" s="15"/>
      <c r="AE127" s="15"/>
    </row>
    <row r="128" spans="28:31" x14ac:dyDescent="0.4">
      <c r="AB128" s="15"/>
      <c r="AC128" s="15"/>
      <c r="AD128" s="15"/>
      <c r="AE128" s="15"/>
    </row>
    <row r="129" spans="28:31" x14ac:dyDescent="0.4">
      <c r="AB129" s="15"/>
      <c r="AC129" s="15"/>
      <c r="AD129" s="15"/>
      <c r="AE129" s="15"/>
    </row>
    <row r="130" spans="28:31" x14ac:dyDescent="0.4">
      <c r="AB130" s="15"/>
      <c r="AC130" s="15"/>
      <c r="AD130" s="15"/>
      <c r="AE130" s="15"/>
    </row>
    <row r="131" spans="28:31" x14ac:dyDescent="0.4">
      <c r="AB131" s="15"/>
      <c r="AC131" s="15"/>
      <c r="AD131" s="15"/>
      <c r="AE131" s="15"/>
    </row>
    <row r="132" spans="28:31" x14ac:dyDescent="0.4">
      <c r="AB132" s="15"/>
      <c r="AC132" s="15"/>
      <c r="AD132" s="15"/>
      <c r="AE132" s="15"/>
    </row>
    <row r="133" spans="28:31" x14ac:dyDescent="0.4">
      <c r="AB133" s="15"/>
      <c r="AC133" s="15"/>
      <c r="AD133" s="15"/>
      <c r="AE133" s="15"/>
    </row>
    <row r="134" spans="28:31" x14ac:dyDescent="0.4">
      <c r="AB134" s="15"/>
      <c r="AC134" s="15"/>
      <c r="AD134" s="15"/>
      <c r="AE134" s="15"/>
    </row>
    <row r="135" spans="28:31" x14ac:dyDescent="0.4">
      <c r="AB135" s="15"/>
      <c r="AC135" s="15"/>
      <c r="AD135" s="15"/>
      <c r="AE135" s="15"/>
    </row>
    <row r="136" spans="28:31" x14ac:dyDescent="0.4">
      <c r="AB136" s="15"/>
      <c r="AC136" s="15"/>
      <c r="AD136" s="15"/>
      <c r="AE136" s="15"/>
    </row>
    <row r="137" spans="28:31" x14ac:dyDescent="0.4">
      <c r="AB137" s="15"/>
      <c r="AC137" s="15"/>
      <c r="AD137" s="15"/>
      <c r="AE137" s="15"/>
    </row>
    <row r="138" spans="28:31" x14ac:dyDescent="0.4">
      <c r="AB138" s="15"/>
      <c r="AC138" s="15"/>
      <c r="AD138" s="15"/>
      <c r="AE138" s="15"/>
    </row>
    <row r="139" spans="28:31" x14ac:dyDescent="0.4">
      <c r="AB139" s="15"/>
      <c r="AC139" s="15"/>
      <c r="AD139" s="15"/>
      <c r="AE139" s="15"/>
    </row>
    <row r="140" spans="28:31" x14ac:dyDescent="0.4">
      <c r="AB140" s="15"/>
      <c r="AC140" s="15"/>
      <c r="AD140" s="15"/>
      <c r="AE140" s="15"/>
    </row>
    <row r="141" spans="28:31" x14ac:dyDescent="0.4">
      <c r="AB141" s="15"/>
      <c r="AC141" s="15"/>
      <c r="AD141" s="15"/>
      <c r="AE141" s="15"/>
    </row>
    <row r="142" spans="28:31" x14ac:dyDescent="0.4">
      <c r="AB142" s="15"/>
      <c r="AC142" s="15"/>
      <c r="AD142" s="15"/>
      <c r="AE142" s="15"/>
    </row>
    <row r="143" spans="28:31" x14ac:dyDescent="0.4">
      <c r="AB143" s="15"/>
      <c r="AC143" s="15"/>
      <c r="AD143" s="15"/>
      <c r="AE143" s="15"/>
    </row>
    <row r="144" spans="28:31" x14ac:dyDescent="0.4">
      <c r="AB144" s="15"/>
      <c r="AC144" s="15"/>
      <c r="AD144" s="15"/>
      <c r="AE144" s="15"/>
    </row>
    <row r="145" spans="28:31" x14ac:dyDescent="0.4">
      <c r="AB145" s="15"/>
      <c r="AC145" s="15"/>
      <c r="AD145" s="15"/>
      <c r="AE145" s="15"/>
    </row>
    <row r="146" spans="28:31" x14ac:dyDescent="0.4">
      <c r="AB146" s="15"/>
      <c r="AC146" s="15"/>
      <c r="AD146" s="15"/>
      <c r="AE146" s="15"/>
    </row>
    <row r="147" spans="28:31" x14ac:dyDescent="0.4">
      <c r="AB147" s="15"/>
      <c r="AC147" s="15"/>
      <c r="AD147" s="15"/>
      <c r="AE147" s="15"/>
    </row>
    <row r="148" spans="28:31" x14ac:dyDescent="0.4">
      <c r="AB148" s="15"/>
      <c r="AC148" s="15"/>
      <c r="AD148" s="15"/>
      <c r="AE148" s="15"/>
    </row>
    <row r="149" spans="28:31" x14ac:dyDescent="0.4">
      <c r="AB149" s="15"/>
      <c r="AC149" s="15"/>
      <c r="AD149" s="15"/>
      <c r="AE149" s="15"/>
    </row>
    <row r="150" spans="28:31" x14ac:dyDescent="0.4">
      <c r="AB150" s="15"/>
      <c r="AC150" s="15"/>
      <c r="AD150" s="15"/>
      <c r="AE150" s="15"/>
    </row>
    <row r="151" spans="28:31" x14ac:dyDescent="0.4">
      <c r="AB151" s="15"/>
      <c r="AC151" s="15"/>
      <c r="AD151" s="15"/>
      <c r="AE151" s="15"/>
    </row>
    <row r="152" spans="28:31" x14ac:dyDescent="0.4">
      <c r="AB152" s="15"/>
      <c r="AC152" s="15"/>
      <c r="AD152" s="15"/>
      <c r="AE152" s="15"/>
    </row>
    <row r="153" spans="28:31" x14ac:dyDescent="0.4">
      <c r="AB153" s="15"/>
      <c r="AC153" s="15"/>
      <c r="AD153" s="15"/>
      <c r="AE153" s="15"/>
    </row>
    <row r="154" spans="28:31" x14ac:dyDescent="0.4">
      <c r="AB154" s="15"/>
      <c r="AC154" s="15"/>
      <c r="AD154" s="15"/>
      <c r="AE154" s="15"/>
    </row>
    <row r="155" spans="28:31" x14ac:dyDescent="0.4">
      <c r="AB155" s="15"/>
      <c r="AC155" s="15"/>
      <c r="AD155" s="15"/>
      <c r="AE155" s="15"/>
    </row>
    <row r="156" spans="28:31" x14ac:dyDescent="0.4">
      <c r="AB156" s="15"/>
      <c r="AC156" s="15"/>
      <c r="AD156" s="15"/>
      <c r="AE156" s="15"/>
    </row>
    <row r="157" spans="28:31" x14ac:dyDescent="0.4">
      <c r="AB157" s="15"/>
      <c r="AC157" s="15"/>
      <c r="AD157" s="15"/>
      <c r="AE157" s="15"/>
    </row>
    <row r="158" spans="28:31" x14ac:dyDescent="0.4">
      <c r="AB158" s="15"/>
      <c r="AC158" s="15"/>
      <c r="AD158" s="15"/>
      <c r="AE158" s="15"/>
    </row>
    <row r="159" spans="28:31" x14ac:dyDescent="0.4">
      <c r="AB159" s="15"/>
      <c r="AC159" s="15"/>
      <c r="AD159" s="15"/>
      <c r="AE159" s="15"/>
    </row>
    <row r="160" spans="28:31" x14ac:dyDescent="0.4">
      <c r="AB160" s="15"/>
      <c r="AC160" s="15"/>
      <c r="AD160" s="15"/>
      <c r="AE160" s="15"/>
    </row>
    <row r="161" spans="28:31" x14ac:dyDescent="0.4">
      <c r="AB161" s="15"/>
      <c r="AC161" s="15"/>
      <c r="AD161" s="15"/>
      <c r="AE161" s="15"/>
    </row>
    <row r="162" spans="28:31" x14ac:dyDescent="0.4">
      <c r="AB162" s="15"/>
      <c r="AC162" s="15"/>
      <c r="AD162" s="15"/>
      <c r="AE162" s="15"/>
    </row>
    <row r="163" spans="28:31" x14ac:dyDescent="0.4">
      <c r="AB163" s="15"/>
      <c r="AC163" s="15"/>
      <c r="AD163" s="15"/>
      <c r="AE163" s="15"/>
    </row>
    <row r="164" spans="28:31" x14ac:dyDescent="0.4">
      <c r="AB164" s="15"/>
      <c r="AC164" s="15"/>
      <c r="AD164" s="15"/>
      <c r="AE164" s="15"/>
    </row>
    <row r="165" spans="28:31" x14ac:dyDescent="0.4">
      <c r="AB165" s="15"/>
      <c r="AC165" s="15"/>
      <c r="AD165" s="15"/>
      <c r="AE165" s="15"/>
    </row>
    <row r="166" spans="28:31" x14ac:dyDescent="0.4">
      <c r="AB166" s="15"/>
      <c r="AC166" s="15"/>
      <c r="AD166" s="15"/>
      <c r="AE166" s="15"/>
    </row>
    <row r="167" spans="28:31" x14ac:dyDescent="0.4">
      <c r="AB167" s="15"/>
      <c r="AC167" s="15"/>
      <c r="AD167" s="15"/>
      <c r="AE167" s="15"/>
    </row>
    <row r="168" spans="28:31" x14ac:dyDescent="0.4">
      <c r="AB168" s="15"/>
      <c r="AC168" s="15"/>
      <c r="AD168" s="15"/>
      <c r="AE168" s="15"/>
    </row>
    <row r="169" spans="28:31" x14ac:dyDescent="0.4">
      <c r="AB169" s="15"/>
      <c r="AC169" s="15"/>
      <c r="AD169" s="15"/>
      <c r="AE169" s="15"/>
    </row>
    <row r="170" spans="28:31" x14ac:dyDescent="0.4">
      <c r="AB170" s="15"/>
      <c r="AC170" s="15"/>
      <c r="AD170" s="15"/>
      <c r="AE170" s="15"/>
    </row>
    <row r="171" spans="28:31" x14ac:dyDescent="0.4">
      <c r="AB171" s="15"/>
      <c r="AC171" s="15"/>
      <c r="AD171" s="15"/>
      <c r="AE171" s="15"/>
    </row>
    <row r="172" spans="28:31" x14ac:dyDescent="0.4">
      <c r="AB172" s="15"/>
      <c r="AC172" s="15"/>
      <c r="AD172" s="15"/>
      <c r="AE172" s="15"/>
    </row>
    <row r="173" spans="28:31" x14ac:dyDescent="0.4">
      <c r="AB173" s="15"/>
      <c r="AC173" s="15"/>
      <c r="AD173" s="15"/>
      <c r="AE173" s="15"/>
    </row>
    <row r="174" spans="28:31" x14ac:dyDescent="0.4">
      <c r="AB174" s="15"/>
      <c r="AC174" s="15"/>
      <c r="AD174" s="15"/>
      <c r="AE174" s="15"/>
    </row>
    <row r="175" spans="28:31" x14ac:dyDescent="0.4">
      <c r="AB175" s="15"/>
      <c r="AC175" s="15"/>
      <c r="AD175" s="15"/>
      <c r="AE175" s="15"/>
    </row>
    <row r="176" spans="28:31" x14ac:dyDescent="0.4">
      <c r="AB176" s="15"/>
      <c r="AC176" s="15"/>
      <c r="AD176" s="15"/>
      <c r="AE176" s="15"/>
    </row>
    <row r="177" spans="28:31" x14ac:dyDescent="0.4">
      <c r="AB177" s="15"/>
      <c r="AC177" s="15"/>
      <c r="AD177" s="15"/>
      <c r="AE177" s="15"/>
    </row>
    <row r="178" spans="28:31" x14ac:dyDescent="0.4">
      <c r="AB178" s="15"/>
      <c r="AC178" s="15"/>
      <c r="AD178" s="15"/>
      <c r="AE178" s="15"/>
    </row>
    <row r="179" spans="28:31" x14ac:dyDescent="0.4">
      <c r="AB179" s="15"/>
      <c r="AC179" s="15"/>
      <c r="AD179" s="15"/>
      <c r="AE179" s="15"/>
    </row>
    <row r="180" spans="28:31" x14ac:dyDescent="0.4">
      <c r="AB180" s="15"/>
      <c r="AC180" s="15"/>
      <c r="AD180" s="15"/>
      <c r="AE180" s="15"/>
    </row>
    <row r="181" spans="28:31" x14ac:dyDescent="0.4">
      <c r="AB181" s="15"/>
      <c r="AC181" s="15"/>
      <c r="AD181" s="15"/>
      <c r="AE181" s="15"/>
    </row>
    <row r="182" spans="28:31" x14ac:dyDescent="0.4">
      <c r="AB182" s="15"/>
      <c r="AC182" s="15"/>
      <c r="AD182" s="15"/>
      <c r="AE182" s="15"/>
    </row>
    <row r="183" spans="28:31" x14ac:dyDescent="0.4">
      <c r="AB183" s="15"/>
      <c r="AC183" s="15"/>
      <c r="AD183" s="15"/>
      <c r="AE183" s="15"/>
    </row>
    <row r="184" spans="28:31" x14ac:dyDescent="0.4">
      <c r="AB184" s="15"/>
      <c r="AC184" s="15"/>
      <c r="AD184" s="15"/>
      <c r="AE184" s="15"/>
    </row>
    <row r="185" spans="28:31" x14ac:dyDescent="0.4">
      <c r="AB185" s="15"/>
      <c r="AC185" s="15"/>
      <c r="AD185" s="15"/>
      <c r="AE185" s="15"/>
    </row>
    <row r="186" spans="28:31" x14ac:dyDescent="0.4">
      <c r="AB186" s="15"/>
      <c r="AC186" s="15"/>
      <c r="AD186" s="15"/>
      <c r="AE186" s="15"/>
    </row>
    <row r="187" spans="28:31" x14ac:dyDescent="0.4">
      <c r="AB187" s="15"/>
      <c r="AC187" s="15"/>
      <c r="AD187" s="15"/>
      <c r="AE187" s="15"/>
    </row>
    <row r="188" spans="28:31" x14ac:dyDescent="0.4">
      <c r="AB188" s="15"/>
      <c r="AC188" s="15"/>
      <c r="AD188" s="15"/>
      <c r="AE188" s="15"/>
    </row>
    <row r="189" spans="28:31" x14ac:dyDescent="0.4">
      <c r="AB189" s="15"/>
      <c r="AC189" s="15"/>
      <c r="AD189" s="15"/>
      <c r="AE189" s="15"/>
    </row>
    <row r="190" spans="28:31" x14ac:dyDescent="0.4">
      <c r="AB190" s="15"/>
      <c r="AC190" s="15"/>
      <c r="AD190" s="15"/>
      <c r="AE190" s="15"/>
    </row>
    <row r="191" spans="28:31" x14ac:dyDescent="0.4">
      <c r="AB191" s="15"/>
      <c r="AC191" s="15"/>
      <c r="AD191" s="15"/>
      <c r="AE191" s="15"/>
    </row>
    <row r="192" spans="28:31" x14ac:dyDescent="0.4">
      <c r="AB192" s="15"/>
      <c r="AC192" s="15"/>
      <c r="AD192" s="15"/>
      <c r="AE192" s="15"/>
    </row>
  </sheetData>
  <mergeCells count="57">
    <mergeCell ref="B33:C33"/>
    <mergeCell ref="D33:G33"/>
    <mergeCell ref="I33:J33"/>
    <mergeCell ref="AJ9:AK9"/>
    <mergeCell ref="AJ10:AK11"/>
    <mergeCell ref="B13:C13"/>
    <mergeCell ref="D13:G13"/>
    <mergeCell ref="I13:J13"/>
    <mergeCell ref="K13:N13"/>
    <mergeCell ref="P13:Q13"/>
    <mergeCell ref="AF9:AG9"/>
    <mergeCell ref="AH9:AI9"/>
    <mergeCell ref="B12:AB12"/>
    <mergeCell ref="H13:H21"/>
    <mergeCell ref="K33:N33"/>
    <mergeCell ref="P33:Q33"/>
    <mergeCell ref="R33:U33"/>
    <mergeCell ref="Y13:AB13"/>
    <mergeCell ref="AF20:AI20"/>
    <mergeCell ref="AF21:AG21"/>
    <mergeCell ref="AH21:AI21"/>
    <mergeCell ref="R13:U13"/>
    <mergeCell ref="Y23:AB23"/>
    <mergeCell ref="W23:X23"/>
    <mergeCell ref="Y33:AB33"/>
    <mergeCell ref="Y29:AA29"/>
    <mergeCell ref="R23:U23"/>
    <mergeCell ref="R29:T29"/>
    <mergeCell ref="B43:C43"/>
    <mergeCell ref="D43:G43"/>
    <mergeCell ref="I43:J43"/>
    <mergeCell ref="K43:N43"/>
    <mergeCell ref="P43:Q43"/>
    <mergeCell ref="R43:U43"/>
    <mergeCell ref="Y43:AB43"/>
    <mergeCell ref="B1:AB1"/>
    <mergeCell ref="AE1:AK3"/>
    <mergeCell ref="B3:C3"/>
    <mergeCell ref="D3:G3"/>
    <mergeCell ref="I3:J3"/>
    <mergeCell ref="K3:N3"/>
    <mergeCell ref="P3:Q3"/>
    <mergeCell ref="R3:U3"/>
    <mergeCell ref="W3:X3"/>
    <mergeCell ref="Y3:AB3"/>
    <mergeCell ref="H3:H11"/>
    <mergeCell ref="O3:O11"/>
    <mergeCell ref="V3:V11"/>
    <mergeCell ref="AG5:AI5"/>
    <mergeCell ref="AK6:AK8"/>
    <mergeCell ref="B23:C23"/>
    <mergeCell ref="D23:G23"/>
    <mergeCell ref="I23:J23"/>
    <mergeCell ref="K23:N23"/>
    <mergeCell ref="P23:Q23"/>
    <mergeCell ref="AJ6:AJ8"/>
    <mergeCell ref="AF8:AI8"/>
  </mergeCells>
  <conditionalFormatting sqref="D24:D25 K5:K9 R5:R9 K24:K28 Y4:Y8 K14:K18 R24:R28 Y24 D14:D18 D8:D9 D27:D28 Y26:Y28 D4:D6">
    <cfRule type="cellIs" dxfId="614" priority="1535" stopIfTrue="1" operator="equal">
      <formula>$AF$30</formula>
    </cfRule>
    <cfRule type="cellIs" dxfId="613" priority="1536" stopIfTrue="1" operator="equal">
      <formula>$AF$29</formula>
    </cfRule>
    <cfRule type="cellIs" dxfId="612" priority="1537" stopIfTrue="1" operator="equal">
      <formula>$AF$28</formula>
    </cfRule>
    <cfRule type="cellIs" dxfId="611" priority="1538" stopIfTrue="1" operator="equal">
      <formula>$AF$27</formula>
    </cfRule>
    <cfRule type="cellIs" dxfId="610" priority="1539" stopIfTrue="1" operator="equal">
      <formula>$AF$26</formula>
    </cfRule>
    <cfRule type="cellIs" dxfId="609" priority="1540" stopIfTrue="1" operator="equal">
      <formula>$AF$25</formula>
    </cfRule>
    <cfRule type="cellIs" dxfId="608" priority="1541" stopIfTrue="1" operator="equal">
      <formula>$AF$24</formula>
    </cfRule>
    <cfRule type="cellIs" dxfId="607" priority="1542" stopIfTrue="1" operator="equal">
      <formula>$AF$23</formula>
    </cfRule>
    <cfRule type="cellIs" dxfId="606" priority="1543" stopIfTrue="1" operator="equal">
      <formula>$AF$22</formula>
    </cfRule>
    <cfRule type="cellIs" dxfId="605" priority="1544" stopIfTrue="1" operator="equal">
      <formula>$AF$18</formula>
    </cfRule>
    <cfRule type="cellIs" dxfId="604" priority="1545" stopIfTrue="1" operator="equal">
      <formula>$AF$17</formula>
    </cfRule>
    <cfRule type="cellIs" dxfId="603" priority="1546" stopIfTrue="1" operator="equal">
      <formula>$AF$16</formula>
    </cfRule>
    <cfRule type="cellIs" dxfId="602" priority="1547" stopIfTrue="1" operator="equal">
      <formula>$AF$15</formula>
    </cfRule>
    <cfRule type="cellIs" dxfId="601" priority="1548" stopIfTrue="1" operator="equal">
      <formula>$AF$14</formula>
    </cfRule>
    <cfRule type="cellIs" dxfId="600" priority="1549" stopIfTrue="1" operator="equal">
      <formula>$AF$13</formula>
    </cfRule>
    <cfRule type="cellIs" dxfId="599" priority="1550" stopIfTrue="1" operator="equal">
      <formula>$AF$12</formula>
    </cfRule>
    <cfRule type="cellIs" dxfId="598" priority="1551" stopIfTrue="1" operator="equal">
      <formula>$AF$11</formula>
    </cfRule>
    <cfRule type="cellIs" dxfId="597" priority="1552" stopIfTrue="1" operator="equal">
      <formula>$AF$10</formula>
    </cfRule>
  </conditionalFormatting>
  <conditionalFormatting sqref="D24:D25 K5:K9 Y4:Y8 K24:K28 R5:R9 K14:K18 R24:R28 Y24 D14:D18 D8:D9 D27:D28 Y26:Y28 D4:D6">
    <cfRule type="cellIs" dxfId="596" priority="1517" stopIfTrue="1" operator="equal">
      <formula>$AG$30</formula>
    </cfRule>
    <cfRule type="cellIs" dxfId="595" priority="1518" stopIfTrue="1" operator="equal">
      <formula>$AG$29</formula>
    </cfRule>
    <cfRule type="cellIs" dxfId="594" priority="1519" stopIfTrue="1" operator="equal">
      <formula>$AG$28</formula>
    </cfRule>
    <cfRule type="cellIs" dxfId="593" priority="1520" stopIfTrue="1" operator="equal">
      <formula>$AG$27</formula>
    </cfRule>
    <cfRule type="cellIs" dxfId="592" priority="1521" stopIfTrue="1" operator="equal">
      <formula>$AG$26</formula>
    </cfRule>
    <cfRule type="cellIs" dxfId="591" priority="1522" stopIfTrue="1" operator="equal">
      <formula>$AG$25</formula>
    </cfRule>
    <cfRule type="cellIs" dxfId="590" priority="1523" stopIfTrue="1" operator="equal">
      <formula>$AG$24</formula>
    </cfRule>
    <cfRule type="cellIs" dxfId="589" priority="1524" stopIfTrue="1" operator="equal">
      <formula>$AG$23</formula>
    </cfRule>
    <cfRule type="cellIs" dxfId="588" priority="1525" stopIfTrue="1" operator="equal">
      <formula>$AG$22</formula>
    </cfRule>
    <cfRule type="cellIs" dxfId="587" priority="1526" stopIfTrue="1" operator="equal">
      <formula>$AG$18</formula>
    </cfRule>
    <cfRule type="cellIs" dxfId="586" priority="1527" stopIfTrue="1" operator="equal">
      <formula>$AG$17</formula>
    </cfRule>
    <cfRule type="cellIs" dxfId="585" priority="1528" stopIfTrue="1" operator="equal">
      <formula>$AG$16</formula>
    </cfRule>
    <cfRule type="cellIs" dxfId="584" priority="1529" stopIfTrue="1" operator="equal">
      <formula>$AG$15</formula>
    </cfRule>
    <cfRule type="cellIs" dxfId="583" priority="1530" stopIfTrue="1" operator="equal">
      <formula>$AG$14</formula>
    </cfRule>
    <cfRule type="cellIs" dxfId="582" priority="1531" stopIfTrue="1" operator="equal">
      <formula>$AG$13</formula>
    </cfRule>
    <cfRule type="cellIs" dxfId="581" priority="1532" stopIfTrue="1" operator="equal">
      <formula>$AG$12</formula>
    </cfRule>
    <cfRule type="cellIs" dxfId="580" priority="1533" stopIfTrue="1" operator="equal">
      <formula>$AG$11</formula>
    </cfRule>
    <cfRule type="cellIs" dxfId="579" priority="1534" stopIfTrue="1" operator="equal">
      <formula>$AG$10</formula>
    </cfRule>
  </conditionalFormatting>
  <conditionalFormatting sqref="M24:M27 F4:F9 F14:F16 M14:M18 F24:F28 M4:M6 T4:T8 F18 T24:T27 AA24 AA4:AA8 M8 AA26:AA28">
    <cfRule type="cellIs" dxfId="578" priority="1481" stopIfTrue="1" operator="equal">
      <formula>$AI$30</formula>
    </cfRule>
    <cfRule type="cellIs" dxfId="577" priority="1482" stopIfTrue="1" operator="equal">
      <formula>$AI$29</formula>
    </cfRule>
    <cfRule type="cellIs" dxfId="576" priority="1483" stopIfTrue="1" operator="equal">
      <formula>$AI$28</formula>
    </cfRule>
    <cfRule type="cellIs" dxfId="575" priority="1484" stopIfTrue="1" operator="equal">
      <formula>$AI$27</formula>
    </cfRule>
    <cfRule type="cellIs" dxfId="574" priority="1485" stopIfTrue="1" operator="equal">
      <formula>$AI$26</formula>
    </cfRule>
    <cfRule type="cellIs" dxfId="573" priority="1486" stopIfTrue="1" operator="equal">
      <formula>$AI$25</formula>
    </cfRule>
    <cfRule type="cellIs" dxfId="572" priority="1487" stopIfTrue="1" operator="equal">
      <formula>$AI$24</formula>
    </cfRule>
    <cfRule type="cellIs" dxfId="571" priority="1488" stopIfTrue="1" operator="equal">
      <formula>$AI$23</formula>
    </cfRule>
    <cfRule type="cellIs" dxfId="570" priority="1489" stopIfTrue="1" operator="equal">
      <formula>$AI$22</formula>
    </cfRule>
    <cfRule type="cellIs" dxfId="569" priority="1490" stopIfTrue="1" operator="equal">
      <formula>$AH$30</formula>
    </cfRule>
    <cfRule type="cellIs" dxfId="568" priority="1491" stopIfTrue="1" operator="equal">
      <formula>$AH$29</formula>
    </cfRule>
    <cfRule type="cellIs" dxfId="567" priority="1492" stopIfTrue="1" operator="equal">
      <formula>$AH$28</formula>
    </cfRule>
    <cfRule type="cellIs" dxfId="566" priority="1493" stopIfTrue="1" operator="equal">
      <formula>$AH$27</formula>
    </cfRule>
    <cfRule type="cellIs" dxfId="565" priority="1494" stopIfTrue="1" operator="equal">
      <formula>$AH$26</formula>
    </cfRule>
    <cfRule type="cellIs" dxfId="564" priority="1495" stopIfTrue="1" operator="equal">
      <formula>$AH$25</formula>
    </cfRule>
    <cfRule type="cellIs" dxfId="563" priority="1496" stopIfTrue="1" operator="equal">
      <formula>$AH$24</formula>
    </cfRule>
    <cfRule type="cellIs" dxfId="562" priority="1497" stopIfTrue="1" operator="equal">
      <formula>$AH$23</formula>
    </cfRule>
    <cfRule type="cellIs" dxfId="561" priority="1498" stopIfTrue="1" operator="equal">
      <formula>$AH$22</formula>
    </cfRule>
    <cfRule type="cellIs" dxfId="560" priority="1499" stopIfTrue="1" operator="equal">
      <formula>$AI$18</formula>
    </cfRule>
    <cfRule type="cellIs" dxfId="559" priority="1500" stopIfTrue="1" operator="equal">
      <formula>$AI$17</formula>
    </cfRule>
    <cfRule type="cellIs" dxfId="558" priority="1501" stopIfTrue="1" operator="equal">
      <formula>$AI$16</formula>
    </cfRule>
    <cfRule type="cellIs" dxfId="557" priority="1502" stopIfTrue="1" operator="equal">
      <formula>$AI$15</formula>
    </cfRule>
    <cfRule type="cellIs" dxfId="556" priority="1503" stopIfTrue="1" operator="equal">
      <formula>$AI$14</formula>
    </cfRule>
    <cfRule type="cellIs" dxfId="555" priority="1504" stopIfTrue="1" operator="equal">
      <formula>$AI$13</formula>
    </cfRule>
    <cfRule type="cellIs" dxfId="554" priority="1505" stopIfTrue="1" operator="equal">
      <formula>$AI$12</formula>
    </cfRule>
    <cfRule type="cellIs" dxfId="553" priority="1506" stopIfTrue="1" operator="equal">
      <formula>$AI$11</formula>
    </cfRule>
    <cfRule type="cellIs" dxfId="552" priority="1507" stopIfTrue="1" operator="equal">
      <formula>$AI$10</formula>
    </cfRule>
    <cfRule type="cellIs" dxfId="551" priority="1508" stopIfTrue="1" operator="equal">
      <formula>$AH$18</formula>
    </cfRule>
    <cfRule type="cellIs" dxfId="550" priority="1509" stopIfTrue="1" operator="equal">
      <formula>$AH$17</formula>
    </cfRule>
    <cfRule type="cellIs" dxfId="549" priority="1510" stopIfTrue="1" operator="equal">
      <formula>$AH$16</formula>
    </cfRule>
    <cfRule type="cellIs" dxfId="548" priority="1511" stopIfTrue="1" operator="equal">
      <formula>$AH$15</formula>
    </cfRule>
    <cfRule type="cellIs" dxfId="547" priority="1512" stopIfTrue="1" operator="equal">
      <formula>$AH$14</formula>
    </cfRule>
    <cfRule type="cellIs" dxfId="546" priority="1513" stopIfTrue="1" operator="equal">
      <formula>$AH$13</formula>
    </cfRule>
    <cfRule type="cellIs" dxfId="545" priority="1514" stopIfTrue="1" operator="equal">
      <formula>$AH$12</formula>
    </cfRule>
    <cfRule type="cellIs" dxfId="544" priority="1515" stopIfTrue="1" operator="equal">
      <formula>$AH$11</formula>
    </cfRule>
    <cfRule type="cellIs" dxfId="543" priority="1516" stopIfTrue="1" operator="equal">
      <formula>$AH$10</formula>
    </cfRule>
  </conditionalFormatting>
  <conditionalFormatting sqref="B3:C3 I3:J3 P3:Q3 W3:X3 P13:Q13 I13:J13 B13:C13 B23:C23 I23:J23 P23:Q23 P33:Q33 I33:J33 B33:C33 B43:C43 I43:J43 P43:Q43 W13:X13 W23 W33:X33 W43:X43">
    <cfRule type="cellIs" dxfId="542" priority="1480" operator="between">
      <formula>70</formula>
      <formula>90</formula>
    </cfRule>
  </conditionalFormatting>
  <conditionalFormatting sqref="B3:C3 I3:J3 P3:Q3 W3:X3 P23:Q23 P13:Q13 I13:J13 B13:C13 B23:C23 I23:J23 B33:C33 B43:C43 I43:J43 I33:J33 P33:Q33 P43:Q43 W13:X13 W23 W43:X43 W33:X33">
    <cfRule type="cellIs" dxfId="541" priority="1479" operator="between">
      <formula>50</formula>
      <formula>70</formula>
    </cfRule>
  </conditionalFormatting>
  <conditionalFormatting sqref="B3:C3 I3:J3 P3:Q3 W3:X3 B13:C13 I13:J13 P13:Q13 P23:Q23 I23:J23 B23:C23 P33:Q33 I33:J33 B33:C33 B43:C43 I43:J43 P43:Q43 W13:X13 W23 W33:X33 W43:X43">
    <cfRule type="containsBlanks" dxfId="540" priority="1553" stopIfTrue="1">
      <formula>LEN(TRIM(B3))=0</formula>
    </cfRule>
  </conditionalFormatting>
  <conditionalFormatting sqref="Y9">
    <cfRule type="cellIs" dxfId="539" priority="1243" stopIfTrue="1" operator="equal">
      <formula>$AF$30</formula>
    </cfRule>
    <cfRule type="cellIs" dxfId="538" priority="1244" stopIfTrue="1" operator="equal">
      <formula>$AF$29</formula>
    </cfRule>
    <cfRule type="cellIs" dxfId="537" priority="1245" stopIfTrue="1" operator="equal">
      <formula>$AF$28</formula>
    </cfRule>
    <cfRule type="cellIs" dxfId="536" priority="1246" stopIfTrue="1" operator="equal">
      <formula>$AF$27</formula>
    </cfRule>
    <cfRule type="cellIs" dxfId="535" priority="1247" stopIfTrue="1" operator="equal">
      <formula>$AF$26</formula>
    </cfRule>
    <cfRule type="cellIs" dxfId="534" priority="1248" stopIfTrue="1" operator="equal">
      <formula>$AF$25</formula>
    </cfRule>
    <cfRule type="cellIs" dxfId="533" priority="1249" stopIfTrue="1" operator="equal">
      <formula>$AF$24</formula>
    </cfRule>
    <cfRule type="cellIs" dxfId="532" priority="1250" stopIfTrue="1" operator="equal">
      <formula>$AF$23</formula>
    </cfRule>
    <cfRule type="cellIs" dxfId="531" priority="1251" stopIfTrue="1" operator="equal">
      <formula>$AF$22</formula>
    </cfRule>
    <cfRule type="cellIs" dxfId="530" priority="1252" stopIfTrue="1" operator="equal">
      <formula>$AF$18</formula>
    </cfRule>
    <cfRule type="cellIs" dxfId="529" priority="1253" stopIfTrue="1" operator="equal">
      <formula>$AF$17</formula>
    </cfRule>
    <cfRule type="cellIs" dxfId="528" priority="1254" stopIfTrue="1" operator="equal">
      <formula>$AF$16</formula>
    </cfRule>
    <cfRule type="cellIs" dxfId="527" priority="1255" stopIfTrue="1" operator="equal">
      <formula>$AF$15</formula>
    </cfRule>
    <cfRule type="cellIs" dxfId="526" priority="1256" stopIfTrue="1" operator="equal">
      <formula>$AF$14</formula>
    </cfRule>
    <cfRule type="cellIs" dxfId="525" priority="1257" stopIfTrue="1" operator="equal">
      <formula>$AF$13</formula>
    </cfRule>
    <cfRule type="cellIs" dxfId="524" priority="1258" stopIfTrue="1" operator="equal">
      <formula>$AF$12</formula>
    </cfRule>
    <cfRule type="cellIs" dxfId="523" priority="1259" stopIfTrue="1" operator="equal">
      <formula>$AF$11</formula>
    </cfRule>
    <cfRule type="cellIs" dxfId="522" priority="1260" stopIfTrue="1" operator="equal">
      <formula>$AF$10</formula>
    </cfRule>
  </conditionalFormatting>
  <conditionalFormatting sqref="Y9">
    <cfRule type="cellIs" dxfId="521" priority="1225" stopIfTrue="1" operator="equal">
      <formula>$AG$30</formula>
    </cfRule>
    <cfRule type="cellIs" dxfId="520" priority="1226" stopIfTrue="1" operator="equal">
      <formula>$AG$29</formula>
    </cfRule>
    <cfRule type="cellIs" dxfId="519" priority="1227" stopIfTrue="1" operator="equal">
      <formula>$AG$28</formula>
    </cfRule>
    <cfRule type="cellIs" dxfId="518" priority="1228" stopIfTrue="1" operator="equal">
      <formula>$AG$27</formula>
    </cfRule>
    <cfRule type="cellIs" dxfId="517" priority="1229" stopIfTrue="1" operator="equal">
      <formula>$AG$26</formula>
    </cfRule>
    <cfRule type="cellIs" dxfId="516" priority="1230" stopIfTrue="1" operator="equal">
      <formula>$AG$25</formula>
    </cfRule>
    <cfRule type="cellIs" dxfId="515" priority="1231" stopIfTrue="1" operator="equal">
      <formula>$AG$24</formula>
    </cfRule>
    <cfRule type="cellIs" dxfId="514" priority="1232" stopIfTrue="1" operator="equal">
      <formula>$AG$23</formula>
    </cfRule>
    <cfRule type="cellIs" dxfId="513" priority="1233" stopIfTrue="1" operator="equal">
      <formula>$AG$22</formula>
    </cfRule>
    <cfRule type="cellIs" dxfId="512" priority="1234" stopIfTrue="1" operator="equal">
      <formula>$AG$18</formula>
    </cfRule>
    <cfRule type="cellIs" dxfId="511" priority="1235" stopIfTrue="1" operator="equal">
      <formula>$AG$17</formula>
    </cfRule>
    <cfRule type="cellIs" dxfId="510" priority="1236" stopIfTrue="1" operator="equal">
      <formula>$AG$16</formula>
    </cfRule>
    <cfRule type="cellIs" dxfId="509" priority="1237" stopIfTrue="1" operator="equal">
      <formula>$AG$15</formula>
    </cfRule>
    <cfRule type="cellIs" dxfId="508" priority="1238" stopIfTrue="1" operator="equal">
      <formula>$AG$14</formula>
    </cfRule>
    <cfRule type="cellIs" dxfId="507" priority="1239" stopIfTrue="1" operator="equal">
      <formula>$AG$13</formula>
    </cfRule>
    <cfRule type="cellIs" dxfId="506" priority="1240" stopIfTrue="1" operator="equal">
      <formula>$AG$12</formula>
    </cfRule>
    <cfRule type="cellIs" dxfId="505" priority="1241" stopIfTrue="1" operator="equal">
      <formula>$AG$11</formula>
    </cfRule>
    <cfRule type="cellIs" dxfId="504" priority="1242" stopIfTrue="1" operator="equal">
      <formula>$AG$10</formula>
    </cfRule>
  </conditionalFormatting>
  <conditionalFormatting sqref="D26">
    <cfRule type="cellIs" dxfId="503" priority="703" stopIfTrue="1" operator="equal">
      <formula>$AF$30</formula>
    </cfRule>
    <cfRule type="cellIs" dxfId="502" priority="704" stopIfTrue="1" operator="equal">
      <formula>$AF$29</formula>
    </cfRule>
    <cfRule type="cellIs" dxfId="501" priority="705" stopIfTrue="1" operator="equal">
      <formula>$AF$28</formula>
    </cfRule>
    <cfRule type="cellIs" dxfId="500" priority="706" stopIfTrue="1" operator="equal">
      <formula>$AF$27</formula>
    </cfRule>
    <cfRule type="cellIs" dxfId="499" priority="707" stopIfTrue="1" operator="equal">
      <formula>$AF$26</formula>
    </cfRule>
    <cfRule type="cellIs" dxfId="498" priority="708" stopIfTrue="1" operator="equal">
      <formula>$AF$25</formula>
    </cfRule>
    <cfRule type="cellIs" dxfId="497" priority="709" stopIfTrue="1" operator="equal">
      <formula>$AF$24</formula>
    </cfRule>
    <cfRule type="cellIs" dxfId="496" priority="710" stopIfTrue="1" operator="equal">
      <formula>$AF$23</formula>
    </cfRule>
    <cfRule type="cellIs" dxfId="495" priority="711" stopIfTrue="1" operator="equal">
      <formula>$AF$22</formula>
    </cfRule>
    <cfRule type="cellIs" dxfId="494" priority="712" stopIfTrue="1" operator="equal">
      <formula>$AF$18</formula>
    </cfRule>
    <cfRule type="cellIs" dxfId="493" priority="713" stopIfTrue="1" operator="equal">
      <formula>$AF$17</formula>
    </cfRule>
    <cfRule type="cellIs" dxfId="492" priority="714" stopIfTrue="1" operator="equal">
      <formula>$AF$16</formula>
    </cfRule>
    <cfRule type="cellIs" dxfId="491" priority="715" stopIfTrue="1" operator="equal">
      <formula>$AF$15</formula>
    </cfRule>
    <cfRule type="cellIs" dxfId="490" priority="716" stopIfTrue="1" operator="equal">
      <formula>$AF$14</formula>
    </cfRule>
    <cfRule type="cellIs" dxfId="489" priority="717" stopIfTrue="1" operator="equal">
      <formula>$AF$13</formula>
    </cfRule>
    <cfRule type="cellIs" dxfId="488" priority="718" stopIfTrue="1" operator="equal">
      <formula>$AF$12</formula>
    </cfRule>
    <cfRule type="cellIs" dxfId="487" priority="719" stopIfTrue="1" operator="equal">
      <formula>$AF$11</formula>
    </cfRule>
    <cfRule type="cellIs" dxfId="486" priority="720" stopIfTrue="1" operator="equal">
      <formula>$AF$10</formula>
    </cfRule>
  </conditionalFormatting>
  <conditionalFormatting sqref="D26">
    <cfRule type="cellIs" dxfId="485" priority="685" stopIfTrue="1" operator="equal">
      <formula>$AG$30</formula>
    </cfRule>
    <cfRule type="cellIs" dxfId="484" priority="686" stopIfTrue="1" operator="equal">
      <formula>$AG$29</formula>
    </cfRule>
    <cfRule type="cellIs" dxfId="483" priority="687" stopIfTrue="1" operator="equal">
      <formula>$AG$28</formula>
    </cfRule>
    <cfRule type="cellIs" dxfId="482" priority="688" stopIfTrue="1" operator="equal">
      <formula>$AG$27</formula>
    </cfRule>
    <cfRule type="cellIs" dxfId="481" priority="689" stopIfTrue="1" operator="equal">
      <formula>$AG$26</formula>
    </cfRule>
    <cfRule type="cellIs" dxfId="480" priority="690" stopIfTrue="1" operator="equal">
      <formula>$AG$25</formula>
    </cfRule>
    <cfRule type="cellIs" dxfId="479" priority="691" stopIfTrue="1" operator="equal">
      <formula>$AG$24</formula>
    </cfRule>
    <cfRule type="cellIs" dxfId="478" priority="692" stopIfTrue="1" operator="equal">
      <formula>$AG$23</formula>
    </cfRule>
    <cfRule type="cellIs" dxfId="477" priority="693" stopIfTrue="1" operator="equal">
      <formula>$AG$22</formula>
    </cfRule>
    <cfRule type="cellIs" dxfId="476" priority="694" stopIfTrue="1" operator="equal">
      <formula>$AG$18</formula>
    </cfRule>
    <cfRule type="cellIs" dxfId="475" priority="695" stopIfTrue="1" operator="equal">
      <formula>$AG$17</formula>
    </cfRule>
    <cfRule type="cellIs" dxfId="474" priority="696" stopIfTrue="1" operator="equal">
      <formula>$AG$16</formula>
    </cfRule>
    <cfRule type="cellIs" dxfId="473" priority="697" stopIfTrue="1" operator="equal">
      <formula>$AG$15</formula>
    </cfRule>
    <cfRule type="cellIs" dxfId="472" priority="698" stopIfTrue="1" operator="equal">
      <formula>$AG$14</formula>
    </cfRule>
    <cfRule type="cellIs" dxfId="471" priority="699" stopIfTrue="1" operator="equal">
      <formula>$AG$13</formula>
    </cfRule>
    <cfRule type="cellIs" dxfId="470" priority="700" stopIfTrue="1" operator="equal">
      <formula>$AG$12</formula>
    </cfRule>
    <cfRule type="cellIs" dxfId="469" priority="701" stopIfTrue="1" operator="equal">
      <formula>$AG$11</formula>
    </cfRule>
    <cfRule type="cellIs" dxfId="468" priority="702" stopIfTrue="1" operator="equal">
      <formula>$AG$10</formula>
    </cfRule>
  </conditionalFormatting>
  <conditionalFormatting sqref="R4">
    <cfRule type="cellIs" dxfId="467" priority="667" stopIfTrue="1" operator="equal">
      <formula>$AF$30</formula>
    </cfRule>
    <cfRule type="cellIs" dxfId="466" priority="668" stopIfTrue="1" operator="equal">
      <formula>$AF$29</formula>
    </cfRule>
    <cfRule type="cellIs" dxfId="465" priority="669" stopIfTrue="1" operator="equal">
      <formula>$AF$28</formula>
    </cfRule>
    <cfRule type="cellIs" dxfId="464" priority="670" stopIfTrue="1" operator="equal">
      <formula>$AF$27</formula>
    </cfRule>
    <cfRule type="cellIs" dxfId="463" priority="671" stopIfTrue="1" operator="equal">
      <formula>$AF$26</formula>
    </cfRule>
    <cfRule type="cellIs" dxfId="462" priority="672" stopIfTrue="1" operator="equal">
      <formula>$AF$25</formula>
    </cfRule>
    <cfRule type="cellIs" dxfId="461" priority="673" stopIfTrue="1" operator="equal">
      <formula>$AF$24</formula>
    </cfRule>
    <cfRule type="cellIs" dxfId="460" priority="674" stopIfTrue="1" operator="equal">
      <formula>$AF$23</formula>
    </cfRule>
    <cfRule type="cellIs" dxfId="459" priority="675" stopIfTrue="1" operator="equal">
      <formula>$AF$22</formula>
    </cfRule>
    <cfRule type="cellIs" dxfId="458" priority="676" stopIfTrue="1" operator="equal">
      <formula>$AF$18</formula>
    </cfRule>
    <cfRule type="cellIs" dxfId="457" priority="677" stopIfTrue="1" operator="equal">
      <formula>$AF$17</formula>
    </cfRule>
    <cfRule type="cellIs" dxfId="456" priority="678" stopIfTrue="1" operator="equal">
      <formula>$AF$16</formula>
    </cfRule>
    <cfRule type="cellIs" dxfId="455" priority="679" stopIfTrue="1" operator="equal">
      <formula>$AF$15</formula>
    </cfRule>
    <cfRule type="cellIs" dxfId="454" priority="680" stopIfTrue="1" operator="equal">
      <formula>$AF$14</formula>
    </cfRule>
    <cfRule type="cellIs" dxfId="453" priority="681" stopIfTrue="1" operator="equal">
      <formula>$AF$13</formula>
    </cfRule>
    <cfRule type="cellIs" dxfId="452" priority="682" stopIfTrue="1" operator="equal">
      <formula>$AF$12</formula>
    </cfRule>
    <cfRule type="cellIs" dxfId="451" priority="683" stopIfTrue="1" operator="equal">
      <formula>$AF$11</formula>
    </cfRule>
    <cfRule type="cellIs" dxfId="450" priority="684" stopIfTrue="1" operator="equal">
      <formula>$AF$10</formula>
    </cfRule>
  </conditionalFormatting>
  <conditionalFormatting sqref="R4">
    <cfRule type="cellIs" dxfId="449" priority="649" stopIfTrue="1" operator="equal">
      <formula>$AG$30</formula>
    </cfRule>
    <cfRule type="cellIs" dxfId="448" priority="650" stopIfTrue="1" operator="equal">
      <formula>$AG$29</formula>
    </cfRule>
    <cfRule type="cellIs" dxfId="447" priority="651" stopIfTrue="1" operator="equal">
      <formula>$AG$28</formula>
    </cfRule>
    <cfRule type="cellIs" dxfId="446" priority="652" stopIfTrue="1" operator="equal">
      <formula>$AG$27</formula>
    </cfRule>
    <cfRule type="cellIs" dxfId="445" priority="653" stopIfTrue="1" operator="equal">
      <formula>$AG$26</formula>
    </cfRule>
    <cfRule type="cellIs" dxfId="444" priority="654" stopIfTrue="1" operator="equal">
      <formula>$AG$25</formula>
    </cfRule>
    <cfRule type="cellIs" dxfId="443" priority="655" stopIfTrue="1" operator="equal">
      <formula>$AG$24</formula>
    </cfRule>
    <cfRule type="cellIs" dxfId="442" priority="656" stopIfTrue="1" operator="equal">
      <formula>$AG$23</formula>
    </cfRule>
    <cfRule type="cellIs" dxfId="441" priority="657" stopIfTrue="1" operator="equal">
      <formula>$AG$22</formula>
    </cfRule>
    <cfRule type="cellIs" dxfId="440" priority="658" stopIfTrue="1" operator="equal">
      <formula>$AG$18</formula>
    </cfRule>
    <cfRule type="cellIs" dxfId="439" priority="659" stopIfTrue="1" operator="equal">
      <formula>$AG$17</formula>
    </cfRule>
    <cfRule type="cellIs" dxfId="438" priority="660" stopIfTrue="1" operator="equal">
      <formula>$AG$16</formula>
    </cfRule>
    <cfRule type="cellIs" dxfId="437" priority="661" stopIfTrue="1" operator="equal">
      <formula>$AG$15</formula>
    </cfRule>
    <cfRule type="cellIs" dxfId="436" priority="662" stopIfTrue="1" operator="equal">
      <formula>$AG$14</formula>
    </cfRule>
    <cfRule type="cellIs" dxfId="435" priority="663" stopIfTrue="1" operator="equal">
      <formula>$AG$13</formula>
    </cfRule>
    <cfRule type="cellIs" dxfId="434" priority="664" stopIfTrue="1" operator="equal">
      <formula>$AG$12</formula>
    </cfRule>
    <cfRule type="cellIs" dxfId="433" priority="665" stopIfTrue="1" operator="equal">
      <formula>$AG$11</formula>
    </cfRule>
    <cfRule type="cellIs" dxfId="432" priority="666" stopIfTrue="1" operator="equal">
      <formula>$AG$10</formula>
    </cfRule>
  </conditionalFormatting>
  <conditionalFormatting sqref="K4">
    <cfRule type="cellIs" dxfId="431" priority="631" stopIfTrue="1" operator="equal">
      <formula>$AF$30</formula>
    </cfRule>
    <cfRule type="cellIs" dxfId="430" priority="632" stopIfTrue="1" operator="equal">
      <formula>$AF$29</formula>
    </cfRule>
    <cfRule type="cellIs" dxfId="429" priority="633" stopIfTrue="1" operator="equal">
      <formula>$AF$28</formula>
    </cfRule>
    <cfRule type="cellIs" dxfId="428" priority="634" stopIfTrue="1" operator="equal">
      <formula>$AF$27</formula>
    </cfRule>
    <cfRule type="cellIs" dxfId="427" priority="635" stopIfTrue="1" operator="equal">
      <formula>$AF$26</formula>
    </cfRule>
    <cfRule type="cellIs" dxfId="426" priority="636" stopIfTrue="1" operator="equal">
      <formula>$AF$25</formula>
    </cfRule>
    <cfRule type="cellIs" dxfId="425" priority="637" stopIfTrue="1" operator="equal">
      <formula>$AF$24</formula>
    </cfRule>
    <cfRule type="cellIs" dxfId="424" priority="638" stopIfTrue="1" operator="equal">
      <formula>$AF$23</formula>
    </cfRule>
    <cfRule type="cellIs" dxfId="423" priority="639" stopIfTrue="1" operator="equal">
      <formula>$AF$22</formula>
    </cfRule>
    <cfRule type="cellIs" dxfId="422" priority="640" stopIfTrue="1" operator="equal">
      <formula>$AF$18</formula>
    </cfRule>
    <cfRule type="cellIs" dxfId="421" priority="641" stopIfTrue="1" operator="equal">
      <formula>$AF$17</formula>
    </cfRule>
    <cfRule type="cellIs" dxfId="420" priority="642" stopIfTrue="1" operator="equal">
      <formula>$AF$16</formula>
    </cfRule>
    <cfRule type="cellIs" dxfId="419" priority="643" stopIfTrue="1" operator="equal">
      <formula>$AF$15</formula>
    </cfRule>
    <cfRule type="cellIs" dxfId="418" priority="644" stopIfTrue="1" operator="equal">
      <formula>$AF$14</formula>
    </cfRule>
    <cfRule type="cellIs" dxfId="417" priority="645" stopIfTrue="1" operator="equal">
      <formula>$AF$13</formula>
    </cfRule>
    <cfRule type="cellIs" dxfId="416" priority="646" stopIfTrue="1" operator="equal">
      <formula>$AF$12</formula>
    </cfRule>
    <cfRule type="cellIs" dxfId="415" priority="647" stopIfTrue="1" operator="equal">
      <formula>$AF$11</formula>
    </cfRule>
    <cfRule type="cellIs" dxfId="414" priority="648" stopIfTrue="1" operator="equal">
      <formula>$AF$10</formula>
    </cfRule>
  </conditionalFormatting>
  <conditionalFormatting sqref="K4">
    <cfRule type="cellIs" dxfId="413" priority="613" stopIfTrue="1" operator="equal">
      <formula>$AG$30</formula>
    </cfRule>
    <cfRule type="cellIs" dxfId="412" priority="614" stopIfTrue="1" operator="equal">
      <formula>$AG$29</formula>
    </cfRule>
    <cfRule type="cellIs" dxfId="411" priority="615" stopIfTrue="1" operator="equal">
      <formula>$AG$28</formula>
    </cfRule>
    <cfRule type="cellIs" dxfId="410" priority="616" stopIfTrue="1" operator="equal">
      <formula>$AG$27</formula>
    </cfRule>
    <cfRule type="cellIs" dxfId="409" priority="617" stopIfTrue="1" operator="equal">
      <formula>$AG$26</formula>
    </cfRule>
    <cfRule type="cellIs" dxfId="408" priority="618" stopIfTrue="1" operator="equal">
      <formula>$AG$25</formula>
    </cfRule>
    <cfRule type="cellIs" dxfId="407" priority="619" stopIfTrue="1" operator="equal">
      <formula>$AG$24</formula>
    </cfRule>
    <cfRule type="cellIs" dxfId="406" priority="620" stopIfTrue="1" operator="equal">
      <formula>$AG$23</formula>
    </cfRule>
    <cfRule type="cellIs" dxfId="405" priority="621" stopIfTrue="1" operator="equal">
      <formula>$AG$22</formula>
    </cfRule>
    <cfRule type="cellIs" dxfId="404" priority="622" stopIfTrue="1" operator="equal">
      <formula>$AG$18</formula>
    </cfRule>
    <cfRule type="cellIs" dxfId="403" priority="623" stopIfTrue="1" operator="equal">
      <formula>$AG$17</formula>
    </cfRule>
    <cfRule type="cellIs" dxfId="402" priority="624" stopIfTrue="1" operator="equal">
      <formula>$AG$16</formula>
    </cfRule>
    <cfRule type="cellIs" dxfId="401" priority="625" stopIfTrue="1" operator="equal">
      <formula>$AG$15</formula>
    </cfRule>
    <cfRule type="cellIs" dxfId="400" priority="626" stopIfTrue="1" operator="equal">
      <formula>$AG$14</formula>
    </cfRule>
    <cfRule type="cellIs" dxfId="399" priority="627" stopIfTrue="1" operator="equal">
      <formula>$AG$13</formula>
    </cfRule>
    <cfRule type="cellIs" dxfId="398" priority="628" stopIfTrue="1" operator="equal">
      <formula>$AG$12</formula>
    </cfRule>
    <cfRule type="cellIs" dxfId="397" priority="629" stopIfTrue="1" operator="equal">
      <formula>$AG$11</formula>
    </cfRule>
    <cfRule type="cellIs" dxfId="396" priority="630" stopIfTrue="1" operator="equal">
      <formula>$AG$10</formula>
    </cfRule>
  </conditionalFormatting>
  <conditionalFormatting sqref="M28">
    <cfRule type="cellIs" dxfId="395" priority="577" stopIfTrue="1" operator="equal">
      <formula>$AI$30</formula>
    </cfRule>
    <cfRule type="cellIs" dxfId="394" priority="578" stopIfTrue="1" operator="equal">
      <formula>$AI$29</formula>
    </cfRule>
    <cfRule type="cellIs" dxfId="393" priority="579" stopIfTrue="1" operator="equal">
      <formula>$AI$28</formula>
    </cfRule>
    <cfRule type="cellIs" dxfId="392" priority="580" stopIfTrue="1" operator="equal">
      <formula>$AI$27</formula>
    </cfRule>
    <cfRule type="cellIs" dxfId="391" priority="581" stopIfTrue="1" operator="equal">
      <formula>$AI$26</formula>
    </cfRule>
    <cfRule type="cellIs" dxfId="390" priority="582" stopIfTrue="1" operator="equal">
      <formula>$AI$25</formula>
    </cfRule>
    <cfRule type="cellIs" dxfId="389" priority="583" stopIfTrue="1" operator="equal">
      <formula>$AI$24</formula>
    </cfRule>
    <cfRule type="cellIs" dxfId="388" priority="584" stopIfTrue="1" operator="equal">
      <formula>$AI$23</formula>
    </cfRule>
    <cfRule type="cellIs" dxfId="387" priority="585" stopIfTrue="1" operator="equal">
      <formula>$AI$22</formula>
    </cfRule>
    <cfRule type="cellIs" dxfId="386" priority="586" stopIfTrue="1" operator="equal">
      <formula>$AH$30</formula>
    </cfRule>
    <cfRule type="cellIs" dxfId="385" priority="587" stopIfTrue="1" operator="equal">
      <formula>$AH$29</formula>
    </cfRule>
    <cfRule type="cellIs" dxfId="384" priority="588" stopIfTrue="1" operator="equal">
      <formula>$AH$28</formula>
    </cfRule>
    <cfRule type="cellIs" dxfId="383" priority="589" stopIfTrue="1" operator="equal">
      <formula>$AH$27</formula>
    </cfRule>
    <cfRule type="cellIs" dxfId="382" priority="590" stopIfTrue="1" operator="equal">
      <formula>$AH$26</formula>
    </cfRule>
    <cfRule type="cellIs" dxfId="381" priority="591" stopIfTrue="1" operator="equal">
      <formula>$AH$25</formula>
    </cfRule>
    <cfRule type="cellIs" dxfId="380" priority="592" stopIfTrue="1" operator="equal">
      <formula>$AH$24</formula>
    </cfRule>
    <cfRule type="cellIs" dxfId="379" priority="593" stopIfTrue="1" operator="equal">
      <formula>$AH$23</formula>
    </cfRule>
    <cfRule type="cellIs" dxfId="378" priority="594" stopIfTrue="1" operator="equal">
      <formula>$AH$22</formula>
    </cfRule>
    <cfRule type="cellIs" dxfId="377" priority="595" stopIfTrue="1" operator="equal">
      <formula>$AI$18</formula>
    </cfRule>
    <cfRule type="cellIs" dxfId="376" priority="596" stopIfTrue="1" operator="equal">
      <formula>$AI$17</formula>
    </cfRule>
    <cfRule type="cellIs" dxfId="375" priority="597" stopIfTrue="1" operator="equal">
      <formula>$AI$16</formula>
    </cfRule>
    <cfRule type="cellIs" dxfId="374" priority="598" stopIfTrue="1" operator="equal">
      <formula>$AI$15</formula>
    </cfRule>
    <cfRule type="cellIs" dxfId="373" priority="599" stopIfTrue="1" operator="equal">
      <formula>$AI$14</formula>
    </cfRule>
    <cfRule type="cellIs" dxfId="372" priority="600" stopIfTrue="1" operator="equal">
      <formula>$AI$13</formula>
    </cfRule>
    <cfRule type="cellIs" dxfId="371" priority="601" stopIfTrue="1" operator="equal">
      <formula>$AI$12</formula>
    </cfRule>
    <cfRule type="cellIs" dxfId="370" priority="602" stopIfTrue="1" operator="equal">
      <formula>$AI$11</formula>
    </cfRule>
    <cfRule type="cellIs" dxfId="369" priority="603" stopIfTrue="1" operator="equal">
      <formula>$AI$10</formula>
    </cfRule>
    <cfRule type="cellIs" dxfId="368" priority="604" stopIfTrue="1" operator="equal">
      <formula>$AH$18</formula>
    </cfRule>
    <cfRule type="cellIs" dxfId="367" priority="605" stopIfTrue="1" operator="equal">
      <formula>$AH$17</formula>
    </cfRule>
    <cfRule type="cellIs" dxfId="366" priority="606" stopIfTrue="1" operator="equal">
      <formula>$AH$16</formula>
    </cfRule>
    <cfRule type="cellIs" dxfId="365" priority="607" stopIfTrue="1" operator="equal">
      <formula>$AH$15</formula>
    </cfRule>
    <cfRule type="cellIs" dxfId="364" priority="608" stopIfTrue="1" operator="equal">
      <formula>$AH$14</formula>
    </cfRule>
    <cfRule type="cellIs" dxfId="363" priority="609" stopIfTrue="1" operator="equal">
      <formula>$AH$13</formula>
    </cfRule>
    <cfRule type="cellIs" dxfId="362" priority="610" stopIfTrue="1" operator="equal">
      <formula>$AH$12</formula>
    </cfRule>
    <cfRule type="cellIs" dxfId="361" priority="611" stopIfTrue="1" operator="equal">
      <formula>$AH$11</formula>
    </cfRule>
    <cfRule type="cellIs" dxfId="360" priority="612" stopIfTrue="1" operator="equal">
      <formula>$AH$10</formula>
    </cfRule>
  </conditionalFormatting>
  <conditionalFormatting sqref="T28">
    <cfRule type="cellIs" dxfId="359" priority="541" stopIfTrue="1" operator="equal">
      <formula>$AI$30</formula>
    </cfRule>
    <cfRule type="cellIs" dxfId="358" priority="542" stopIfTrue="1" operator="equal">
      <formula>$AI$29</formula>
    </cfRule>
    <cfRule type="cellIs" dxfId="357" priority="543" stopIfTrue="1" operator="equal">
      <formula>$AI$28</formula>
    </cfRule>
    <cfRule type="cellIs" dxfId="356" priority="544" stopIfTrue="1" operator="equal">
      <formula>$AI$27</formula>
    </cfRule>
    <cfRule type="cellIs" dxfId="355" priority="545" stopIfTrue="1" operator="equal">
      <formula>$AI$26</formula>
    </cfRule>
    <cfRule type="cellIs" dxfId="354" priority="546" stopIfTrue="1" operator="equal">
      <formula>$AI$25</formula>
    </cfRule>
    <cfRule type="cellIs" dxfId="353" priority="547" stopIfTrue="1" operator="equal">
      <formula>$AI$24</formula>
    </cfRule>
    <cfRule type="cellIs" dxfId="352" priority="548" stopIfTrue="1" operator="equal">
      <formula>$AI$23</formula>
    </cfRule>
    <cfRule type="cellIs" dxfId="351" priority="549" stopIfTrue="1" operator="equal">
      <formula>$AI$22</formula>
    </cfRule>
    <cfRule type="cellIs" dxfId="350" priority="550" stopIfTrue="1" operator="equal">
      <formula>$AH$30</formula>
    </cfRule>
    <cfRule type="cellIs" dxfId="349" priority="551" stopIfTrue="1" operator="equal">
      <formula>$AH$29</formula>
    </cfRule>
    <cfRule type="cellIs" dxfId="348" priority="552" stopIfTrue="1" operator="equal">
      <formula>$AH$28</formula>
    </cfRule>
    <cfRule type="cellIs" dxfId="347" priority="553" stopIfTrue="1" operator="equal">
      <formula>$AH$27</formula>
    </cfRule>
    <cfRule type="cellIs" dxfId="346" priority="554" stopIfTrue="1" operator="equal">
      <formula>$AH$26</formula>
    </cfRule>
    <cfRule type="cellIs" dxfId="345" priority="555" stopIfTrue="1" operator="equal">
      <formula>$AH$25</formula>
    </cfRule>
    <cfRule type="cellIs" dxfId="344" priority="556" stopIfTrue="1" operator="equal">
      <formula>$AH$24</formula>
    </cfRule>
    <cfRule type="cellIs" dxfId="343" priority="557" stopIfTrue="1" operator="equal">
      <formula>$AH$23</formula>
    </cfRule>
    <cfRule type="cellIs" dxfId="342" priority="558" stopIfTrue="1" operator="equal">
      <formula>$AH$22</formula>
    </cfRule>
    <cfRule type="cellIs" dxfId="341" priority="559" stopIfTrue="1" operator="equal">
      <formula>$AI$18</formula>
    </cfRule>
    <cfRule type="cellIs" dxfId="340" priority="560" stopIfTrue="1" operator="equal">
      <formula>$AI$17</formula>
    </cfRule>
    <cfRule type="cellIs" dxfId="339" priority="561" stopIfTrue="1" operator="equal">
      <formula>$AI$16</formula>
    </cfRule>
    <cfRule type="cellIs" dxfId="338" priority="562" stopIfTrue="1" operator="equal">
      <formula>$AI$15</formula>
    </cfRule>
    <cfRule type="cellIs" dxfId="337" priority="563" stopIfTrue="1" operator="equal">
      <formula>$AI$14</formula>
    </cfRule>
    <cfRule type="cellIs" dxfId="336" priority="564" stopIfTrue="1" operator="equal">
      <formula>$AI$13</formula>
    </cfRule>
    <cfRule type="cellIs" dxfId="335" priority="565" stopIfTrue="1" operator="equal">
      <formula>$AI$12</formula>
    </cfRule>
    <cfRule type="cellIs" dxfId="334" priority="566" stopIfTrue="1" operator="equal">
      <formula>$AI$11</formula>
    </cfRule>
    <cfRule type="cellIs" dxfId="333" priority="567" stopIfTrue="1" operator="equal">
      <formula>$AI$10</formula>
    </cfRule>
    <cfRule type="cellIs" dxfId="332" priority="568" stopIfTrue="1" operator="equal">
      <formula>$AH$18</formula>
    </cfRule>
    <cfRule type="cellIs" dxfId="331" priority="569" stopIfTrue="1" operator="equal">
      <formula>$AH$17</formula>
    </cfRule>
    <cfRule type="cellIs" dxfId="330" priority="570" stopIfTrue="1" operator="equal">
      <formula>$AH$16</formula>
    </cfRule>
    <cfRule type="cellIs" dxfId="329" priority="571" stopIfTrue="1" operator="equal">
      <formula>$AH$15</formula>
    </cfRule>
    <cfRule type="cellIs" dxfId="328" priority="572" stopIfTrue="1" operator="equal">
      <formula>$AH$14</formula>
    </cfRule>
    <cfRule type="cellIs" dxfId="327" priority="573" stopIfTrue="1" operator="equal">
      <formula>$AH$13</formula>
    </cfRule>
    <cfRule type="cellIs" dxfId="326" priority="574" stopIfTrue="1" operator="equal">
      <formula>$AH$12</formula>
    </cfRule>
    <cfRule type="cellIs" dxfId="325" priority="575" stopIfTrue="1" operator="equal">
      <formula>$AH$11</formula>
    </cfRule>
    <cfRule type="cellIs" dxfId="324" priority="576" stopIfTrue="1" operator="equal">
      <formula>$AH$10</formula>
    </cfRule>
  </conditionalFormatting>
  <conditionalFormatting sqref="M7">
    <cfRule type="cellIs" dxfId="323" priority="505" stopIfTrue="1" operator="equal">
      <formula>$AI$30</formula>
    </cfRule>
    <cfRule type="cellIs" dxfId="322" priority="506" stopIfTrue="1" operator="equal">
      <formula>$AI$29</formula>
    </cfRule>
    <cfRule type="cellIs" dxfId="321" priority="507" stopIfTrue="1" operator="equal">
      <formula>$AI$28</formula>
    </cfRule>
    <cfRule type="cellIs" dxfId="320" priority="508" stopIfTrue="1" operator="equal">
      <formula>$AI$27</formula>
    </cfRule>
    <cfRule type="cellIs" dxfId="319" priority="509" stopIfTrue="1" operator="equal">
      <formula>$AI$26</formula>
    </cfRule>
    <cfRule type="cellIs" dxfId="318" priority="510" stopIfTrue="1" operator="equal">
      <formula>$AI$25</formula>
    </cfRule>
    <cfRule type="cellIs" dxfId="317" priority="511" stopIfTrue="1" operator="equal">
      <formula>$AI$24</formula>
    </cfRule>
    <cfRule type="cellIs" dxfId="316" priority="512" stopIfTrue="1" operator="equal">
      <formula>$AI$23</formula>
    </cfRule>
    <cfRule type="cellIs" dxfId="315" priority="513" stopIfTrue="1" operator="equal">
      <formula>$AI$22</formula>
    </cfRule>
    <cfRule type="cellIs" dxfId="314" priority="514" stopIfTrue="1" operator="equal">
      <formula>$AH$30</formula>
    </cfRule>
    <cfRule type="cellIs" dxfId="313" priority="515" stopIfTrue="1" operator="equal">
      <formula>$AH$29</formula>
    </cfRule>
    <cfRule type="cellIs" dxfId="312" priority="516" stopIfTrue="1" operator="equal">
      <formula>$AH$28</formula>
    </cfRule>
    <cfRule type="cellIs" dxfId="311" priority="517" stopIfTrue="1" operator="equal">
      <formula>$AH$27</formula>
    </cfRule>
    <cfRule type="cellIs" dxfId="310" priority="518" stopIfTrue="1" operator="equal">
      <formula>$AH$26</formula>
    </cfRule>
    <cfRule type="cellIs" dxfId="309" priority="519" stopIfTrue="1" operator="equal">
      <formula>$AH$25</formula>
    </cfRule>
    <cfRule type="cellIs" dxfId="308" priority="520" stopIfTrue="1" operator="equal">
      <formula>$AH$24</formula>
    </cfRule>
    <cfRule type="cellIs" dxfId="307" priority="521" stopIfTrue="1" operator="equal">
      <formula>$AH$23</formula>
    </cfRule>
    <cfRule type="cellIs" dxfId="306" priority="522" stopIfTrue="1" operator="equal">
      <formula>$AH$22</formula>
    </cfRule>
    <cfRule type="cellIs" dxfId="305" priority="523" stopIfTrue="1" operator="equal">
      <formula>$AI$18</formula>
    </cfRule>
    <cfRule type="cellIs" dxfId="304" priority="524" stopIfTrue="1" operator="equal">
      <formula>$AI$17</formula>
    </cfRule>
    <cfRule type="cellIs" dxfId="303" priority="525" stopIfTrue="1" operator="equal">
      <formula>$AI$16</formula>
    </cfRule>
    <cfRule type="cellIs" dxfId="302" priority="526" stopIfTrue="1" operator="equal">
      <formula>$AI$15</formula>
    </cfRule>
    <cfRule type="cellIs" dxfId="301" priority="527" stopIfTrue="1" operator="equal">
      <formula>$AI$14</formula>
    </cfRule>
    <cfRule type="cellIs" dxfId="300" priority="528" stopIfTrue="1" operator="equal">
      <formula>$AI$13</formula>
    </cfRule>
    <cfRule type="cellIs" dxfId="299" priority="529" stopIfTrue="1" operator="equal">
      <formula>$AI$12</formula>
    </cfRule>
    <cfRule type="cellIs" dxfId="298" priority="530" stopIfTrue="1" operator="equal">
      <formula>$AI$11</formula>
    </cfRule>
    <cfRule type="cellIs" dxfId="297" priority="531" stopIfTrue="1" operator="equal">
      <formula>$AI$10</formula>
    </cfRule>
    <cfRule type="cellIs" dxfId="296" priority="532" stopIfTrue="1" operator="equal">
      <formula>$AH$18</formula>
    </cfRule>
    <cfRule type="cellIs" dxfId="295" priority="533" stopIfTrue="1" operator="equal">
      <formula>$AH$17</formula>
    </cfRule>
    <cfRule type="cellIs" dxfId="294" priority="534" stopIfTrue="1" operator="equal">
      <formula>$AH$16</formula>
    </cfRule>
    <cfRule type="cellIs" dxfId="293" priority="535" stopIfTrue="1" operator="equal">
      <formula>$AH$15</formula>
    </cfRule>
    <cfRule type="cellIs" dxfId="292" priority="536" stopIfTrue="1" operator="equal">
      <formula>$AH$14</formula>
    </cfRule>
    <cfRule type="cellIs" dxfId="291" priority="537" stopIfTrue="1" operator="equal">
      <formula>$AH$13</formula>
    </cfRule>
    <cfRule type="cellIs" dxfId="290" priority="538" stopIfTrue="1" operator="equal">
      <formula>$AH$12</formula>
    </cfRule>
    <cfRule type="cellIs" dxfId="289" priority="539" stopIfTrue="1" operator="equal">
      <formula>$AH$11</formula>
    </cfRule>
    <cfRule type="cellIs" dxfId="288" priority="540" stopIfTrue="1" operator="equal">
      <formula>$AH$10</formula>
    </cfRule>
  </conditionalFormatting>
  <conditionalFormatting sqref="F17">
    <cfRule type="cellIs" dxfId="287" priority="433" stopIfTrue="1" operator="equal">
      <formula>$AI$30</formula>
    </cfRule>
    <cfRule type="cellIs" dxfId="286" priority="434" stopIfTrue="1" operator="equal">
      <formula>$AI$29</formula>
    </cfRule>
    <cfRule type="cellIs" dxfId="285" priority="435" stopIfTrue="1" operator="equal">
      <formula>$AI$28</formula>
    </cfRule>
    <cfRule type="cellIs" dxfId="284" priority="436" stopIfTrue="1" operator="equal">
      <formula>$AI$27</formula>
    </cfRule>
    <cfRule type="cellIs" dxfId="283" priority="437" stopIfTrue="1" operator="equal">
      <formula>$AI$26</formula>
    </cfRule>
    <cfRule type="cellIs" dxfId="282" priority="438" stopIfTrue="1" operator="equal">
      <formula>$AI$25</formula>
    </cfRule>
    <cfRule type="cellIs" dxfId="281" priority="439" stopIfTrue="1" operator="equal">
      <formula>$AI$24</formula>
    </cfRule>
    <cfRule type="cellIs" dxfId="280" priority="440" stopIfTrue="1" operator="equal">
      <formula>$AI$23</formula>
    </cfRule>
    <cfRule type="cellIs" dxfId="279" priority="441" stopIfTrue="1" operator="equal">
      <formula>$AI$22</formula>
    </cfRule>
    <cfRule type="cellIs" dxfId="278" priority="442" stopIfTrue="1" operator="equal">
      <formula>$AH$30</formula>
    </cfRule>
    <cfRule type="cellIs" dxfId="277" priority="443" stopIfTrue="1" operator="equal">
      <formula>$AH$29</formula>
    </cfRule>
    <cfRule type="cellIs" dxfId="276" priority="444" stopIfTrue="1" operator="equal">
      <formula>$AH$28</formula>
    </cfRule>
    <cfRule type="cellIs" dxfId="275" priority="445" stopIfTrue="1" operator="equal">
      <formula>$AH$27</formula>
    </cfRule>
    <cfRule type="cellIs" dxfId="274" priority="446" stopIfTrue="1" operator="equal">
      <formula>$AH$26</formula>
    </cfRule>
    <cfRule type="cellIs" dxfId="273" priority="447" stopIfTrue="1" operator="equal">
      <formula>$AH$25</formula>
    </cfRule>
    <cfRule type="cellIs" dxfId="272" priority="448" stopIfTrue="1" operator="equal">
      <formula>$AH$24</formula>
    </cfRule>
    <cfRule type="cellIs" dxfId="271" priority="449" stopIfTrue="1" operator="equal">
      <formula>$AH$23</formula>
    </cfRule>
    <cfRule type="cellIs" dxfId="270" priority="450" stopIfTrue="1" operator="equal">
      <formula>$AH$22</formula>
    </cfRule>
    <cfRule type="cellIs" dxfId="269" priority="451" stopIfTrue="1" operator="equal">
      <formula>$AI$18</formula>
    </cfRule>
    <cfRule type="cellIs" dxfId="268" priority="452" stopIfTrue="1" operator="equal">
      <formula>$AI$17</formula>
    </cfRule>
    <cfRule type="cellIs" dxfId="267" priority="453" stopIfTrue="1" operator="equal">
      <formula>$AI$16</formula>
    </cfRule>
    <cfRule type="cellIs" dxfId="266" priority="454" stopIfTrue="1" operator="equal">
      <formula>$AI$15</formula>
    </cfRule>
    <cfRule type="cellIs" dxfId="265" priority="455" stopIfTrue="1" operator="equal">
      <formula>$AI$14</formula>
    </cfRule>
    <cfRule type="cellIs" dxfId="264" priority="456" stopIfTrue="1" operator="equal">
      <formula>$AI$13</formula>
    </cfRule>
    <cfRule type="cellIs" dxfId="263" priority="457" stopIfTrue="1" operator="equal">
      <formula>$AI$12</formula>
    </cfRule>
    <cfRule type="cellIs" dxfId="262" priority="458" stopIfTrue="1" operator="equal">
      <formula>$AI$11</formula>
    </cfRule>
    <cfRule type="cellIs" dxfId="261" priority="459" stopIfTrue="1" operator="equal">
      <formula>$AI$10</formula>
    </cfRule>
    <cfRule type="cellIs" dxfId="260" priority="460" stopIfTrue="1" operator="equal">
      <formula>$AH$18</formula>
    </cfRule>
    <cfRule type="cellIs" dxfId="259" priority="461" stopIfTrue="1" operator="equal">
      <formula>$AH$17</formula>
    </cfRule>
    <cfRule type="cellIs" dxfId="258" priority="462" stopIfTrue="1" operator="equal">
      <formula>$AH$16</formula>
    </cfRule>
    <cfRule type="cellIs" dxfId="257" priority="463" stopIfTrue="1" operator="equal">
      <formula>$AH$15</formula>
    </cfRule>
    <cfRule type="cellIs" dxfId="256" priority="464" stopIfTrue="1" operator="equal">
      <formula>$AH$14</formula>
    </cfRule>
    <cfRule type="cellIs" dxfId="255" priority="465" stopIfTrue="1" operator="equal">
      <formula>$AH$13</formula>
    </cfRule>
    <cfRule type="cellIs" dxfId="254" priority="466" stopIfTrue="1" operator="equal">
      <formula>$AH$12</formula>
    </cfRule>
    <cfRule type="cellIs" dxfId="253" priority="467" stopIfTrue="1" operator="equal">
      <formula>$AH$11</formula>
    </cfRule>
    <cfRule type="cellIs" dxfId="252" priority="468" stopIfTrue="1" operator="equal">
      <formula>$AH$10</formula>
    </cfRule>
  </conditionalFormatting>
  <conditionalFormatting sqref="D19">
    <cfRule type="cellIs" dxfId="251" priority="415" stopIfTrue="1" operator="equal">
      <formula>$AF$30</formula>
    </cfRule>
    <cfRule type="cellIs" dxfId="250" priority="416" stopIfTrue="1" operator="equal">
      <formula>$AF$29</formula>
    </cfRule>
    <cfRule type="cellIs" dxfId="249" priority="417" stopIfTrue="1" operator="equal">
      <formula>$AF$28</formula>
    </cfRule>
    <cfRule type="cellIs" dxfId="248" priority="418" stopIfTrue="1" operator="equal">
      <formula>$AF$27</formula>
    </cfRule>
    <cfRule type="cellIs" dxfId="247" priority="419" stopIfTrue="1" operator="equal">
      <formula>$AF$26</formula>
    </cfRule>
    <cfRule type="cellIs" dxfId="246" priority="420" stopIfTrue="1" operator="equal">
      <formula>$AF$25</formula>
    </cfRule>
    <cfRule type="cellIs" dxfId="245" priority="421" stopIfTrue="1" operator="equal">
      <formula>$AF$24</formula>
    </cfRule>
    <cfRule type="cellIs" dxfId="244" priority="422" stopIfTrue="1" operator="equal">
      <formula>$AF$23</formula>
    </cfRule>
    <cfRule type="cellIs" dxfId="243" priority="423" stopIfTrue="1" operator="equal">
      <formula>$AF$22</formula>
    </cfRule>
    <cfRule type="cellIs" dxfId="242" priority="424" stopIfTrue="1" operator="equal">
      <formula>$AF$18</formula>
    </cfRule>
    <cfRule type="cellIs" dxfId="241" priority="425" stopIfTrue="1" operator="equal">
      <formula>$AF$17</formula>
    </cfRule>
    <cfRule type="cellIs" dxfId="240" priority="426" stopIfTrue="1" operator="equal">
      <formula>$AF$16</formula>
    </cfRule>
    <cfRule type="cellIs" dxfId="239" priority="427" stopIfTrue="1" operator="equal">
      <formula>$AF$15</formula>
    </cfRule>
    <cfRule type="cellIs" dxfId="238" priority="428" stopIfTrue="1" operator="equal">
      <formula>$AF$14</formula>
    </cfRule>
    <cfRule type="cellIs" dxfId="237" priority="429" stopIfTrue="1" operator="equal">
      <formula>$AF$13</formula>
    </cfRule>
    <cfRule type="cellIs" dxfId="236" priority="430" stopIfTrue="1" operator="equal">
      <formula>$AF$12</formula>
    </cfRule>
    <cfRule type="cellIs" dxfId="235" priority="431" stopIfTrue="1" operator="equal">
      <formula>$AF$11</formula>
    </cfRule>
    <cfRule type="cellIs" dxfId="234" priority="432" stopIfTrue="1" operator="equal">
      <formula>$AF$10</formula>
    </cfRule>
  </conditionalFormatting>
  <conditionalFormatting sqref="D19">
    <cfRule type="cellIs" dxfId="233" priority="397" stopIfTrue="1" operator="equal">
      <formula>$AG$30</formula>
    </cfRule>
    <cfRule type="cellIs" dxfId="232" priority="398" stopIfTrue="1" operator="equal">
      <formula>$AG$29</formula>
    </cfRule>
    <cfRule type="cellIs" dxfId="231" priority="399" stopIfTrue="1" operator="equal">
      <formula>$AG$28</formula>
    </cfRule>
    <cfRule type="cellIs" dxfId="230" priority="400" stopIfTrue="1" operator="equal">
      <formula>$AG$27</formula>
    </cfRule>
    <cfRule type="cellIs" dxfId="229" priority="401" stopIfTrue="1" operator="equal">
      <formula>$AG$26</formula>
    </cfRule>
    <cfRule type="cellIs" dxfId="228" priority="402" stopIfTrue="1" operator="equal">
      <formula>$AG$25</formula>
    </cfRule>
    <cfRule type="cellIs" dxfId="227" priority="403" stopIfTrue="1" operator="equal">
      <formula>$AG$24</formula>
    </cfRule>
    <cfRule type="cellIs" dxfId="226" priority="404" stopIfTrue="1" operator="equal">
      <formula>$AG$23</formula>
    </cfRule>
    <cfRule type="cellIs" dxfId="225" priority="405" stopIfTrue="1" operator="equal">
      <formula>$AG$22</formula>
    </cfRule>
    <cfRule type="cellIs" dxfId="224" priority="406" stopIfTrue="1" operator="equal">
      <formula>$AG$18</formula>
    </cfRule>
    <cfRule type="cellIs" dxfId="223" priority="407" stopIfTrue="1" operator="equal">
      <formula>$AG$17</formula>
    </cfRule>
    <cfRule type="cellIs" dxfId="222" priority="408" stopIfTrue="1" operator="equal">
      <formula>$AG$16</formula>
    </cfRule>
    <cfRule type="cellIs" dxfId="221" priority="409" stopIfTrue="1" operator="equal">
      <formula>$AG$15</formula>
    </cfRule>
    <cfRule type="cellIs" dxfId="220" priority="410" stopIfTrue="1" operator="equal">
      <formula>$AG$14</formula>
    </cfRule>
    <cfRule type="cellIs" dxfId="219" priority="411" stopIfTrue="1" operator="equal">
      <formula>$AG$13</formula>
    </cfRule>
    <cfRule type="cellIs" dxfId="218" priority="412" stopIfTrue="1" operator="equal">
      <formula>$AG$12</formula>
    </cfRule>
    <cfRule type="cellIs" dxfId="217" priority="413" stopIfTrue="1" operator="equal">
      <formula>$AG$11</formula>
    </cfRule>
    <cfRule type="cellIs" dxfId="216" priority="414" stopIfTrue="1" operator="equal">
      <formula>$AG$10</formula>
    </cfRule>
  </conditionalFormatting>
  <conditionalFormatting sqref="K29">
    <cfRule type="cellIs" dxfId="215" priority="271" stopIfTrue="1" operator="equal">
      <formula>$AF$30</formula>
    </cfRule>
    <cfRule type="cellIs" dxfId="214" priority="272" stopIfTrue="1" operator="equal">
      <formula>$AF$29</formula>
    </cfRule>
    <cfRule type="cellIs" dxfId="213" priority="273" stopIfTrue="1" operator="equal">
      <formula>$AF$28</formula>
    </cfRule>
    <cfRule type="cellIs" dxfId="212" priority="274" stopIfTrue="1" operator="equal">
      <formula>$AF$27</formula>
    </cfRule>
    <cfRule type="cellIs" dxfId="211" priority="275" stopIfTrue="1" operator="equal">
      <formula>$AF$26</formula>
    </cfRule>
    <cfRule type="cellIs" dxfId="210" priority="276" stopIfTrue="1" operator="equal">
      <formula>$AF$25</formula>
    </cfRule>
    <cfRule type="cellIs" dxfId="209" priority="277" stopIfTrue="1" operator="equal">
      <formula>$AF$24</formula>
    </cfRule>
    <cfRule type="cellIs" dxfId="208" priority="278" stopIfTrue="1" operator="equal">
      <formula>$AF$23</formula>
    </cfRule>
    <cfRule type="cellIs" dxfId="207" priority="279" stopIfTrue="1" operator="equal">
      <formula>$AF$22</formula>
    </cfRule>
    <cfRule type="cellIs" dxfId="206" priority="280" stopIfTrue="1" operator="equal">
      <formula>$AF$18</formula>
    </cfRule>
    <cfRule type="cellIs" dxfId="205" priority="281" stopIfTrue="1" operator="equal">
      <formula>$AF$17</formula>
    </cfRule>
    <cfRule type="cellIs" dxfId="204" priority="282" stopIfTrue="1" operator="equal">
      <formula>$AF$16</formula>
    </cfRule>
    <cfRule type="cellIs" dxfId="203" priority="283" stopIfTrue="1" operator="equal">
      <formula>$AF$15</formula>
    </cfRule>
    <cfRule type="cellIs" dxfId="202" priority="284" stopIfTrue="1" operator="equal">
      <formula>$AF$14</formula>
    </cfRule>
    <cfRule type="cellIs" dxfId="201" priority="285" stopIfTrue="1" operator="equal">
      <formula>$AF$13</formula>
    </cfRule>
    <cfRule type="cellIs" dxfId="200" priority="286" stopIfTrue="1" operator="equal">
      <formula>$AF$12</formula>
    </cfRule>
    <cfRule type="cellIs" dxfId="199" priority="287" stopIfTrue="1" operator="equal">
      <formula>$AF$11</formula>
    </cfRule>
    <cfRule type="cellIs" dxfId="198" priority="288" stopIfTrue="1" operator="equal">
      <formula>$AF$10</formula>
    </cfRule>
  </conditionalFormatting>
  <conditionalFormatting sqref="K29">
    <cfRule type="cellIs" dxfId="197" priority="253" stopIfTrue="1" operator="equal">
      <formula>$AG$30</formula>
    </cfRule>
    <cfRule type="cellIs" dxfId="196" priority="254" stopIfTrue="1" operator="equal">
      <formula>$AG$29</formula>
    </cfRule>
    <cfRule type="cellIs" dxfId="195" priority="255" stopIfTrue="1" operator="equal">
      <formula>$AG$28</formula>
    </cfRule>
    <cfRule type="cellIs" dxfId="194" priority="256" stopIfTrue="1" operator="equal">
      <formula>$AG$27</formula>
    </cfRule>
    <cfRule type="cellIs" dxfId="193" priority="257" stopIfTrue="1" operator="equal">
      <formula>$AG$26</formula>
    </cfRule>
    <cfRule type="cellIs" dxfId="192" priority="258" stopIfTrue="1" operator="equal">
      <formula>$AG$25</formula>
    </cfRule>
    <cfRule type="cellIs" dxfId="191" priority="259" stopIfTrue="1" operator="equal">
      <formula>$AG$24</formula>
    </cfRule>
    <cfRule type="cellIs" dxfId="190" priority="260" stopIfTrue="1" operator="equal">
      <formula>$AG$23</formula>
    </cfRule>
    <cfRule type="cellIs" dxfId="189" priority="261" stopIfTrue="1" operator="equal">
      <formula>$AG$22</formula>
    </cfRule>
    <cfRule type="cellIs" dxfId="188" priority="262" stopIfTrue="1" operator="equal">
      <formula>$AG$18</formula>
    </cfRule>
    <cfRule type="cellIs" dxfId="187" priority="263" stopIfTrue="1" operator="equal">
      <formula>$AG$17</formula>
    </cfRule>
    <cfRule type="cellIs" dxfId="186" priority="264" stopIfTrue="1" operator="equal">
      <formula>$AG$16</formula>
    </cfRule>
    <cfRule type="cellIs" dxfId="185" priority="265" stopIfTrue="1" operator="equal">
      <formula>$AG$15</formula>
    </cfRule>
    <cfRule type="cellIs" dxfId="184" priority="266" stopIfTrue="1" operator="equal">
      <formula>$AG$14</formula>
    </cfRule>
    <cfRule type="cellIs" dxfId="183" priority="267" stopIfTrue="1" operator="equal">
      <formula>$AG$13</formula>
    </cfRule>
    <cfRule type="cellIs" dxfId="182" priority="268" stopIfTrue="1" operator="equal">
      <formula>$AG$12</formula>
    </cfRule>
    <cfRule type="cellIs" dxfId="181" priority="269" stopIfTrue="1" operator="equal">
      <formula>$AG$11</formula>
    </cfRule>
    <cfRule type="cellIs" dxfId="180" priority="270" stopIfTrue="1" operator="equal">
      <formula>$AG$10</formula>
    </cfRule>
  </conditionalFormatting>
  <conditionalFormatting sqref="M29">
    <cfRule type="cellIs" dxfId="179" priority="217" stopIfTrue="1" operator="equal">
      <formula>$AI$30</formula>
    </cfRule>
    <cfRule type="cellIs" dxfId="178" priority="218" stopIfTrue="1" operator="equal">
      <formula>$AI$29</formula>
    </cfRule>
    <cfRule type="cellIs" dxfId="177" priority="219" stopIfTrue="1" operator="equal">
      <formula>$AI$28</formula>
    </cfRule>
    <cfRule type="cellIs" dxfId="176" priority="220" stopIfTrue="1" operator="equal">
      <formula>$AI$27</formula>
    </cfRule>
    <cfRule type="cellIs" dxfId="175" priority="221" stopIfTrue="1" operator="equal">
      <formula>$AI$26</formula>
    </cfRule>
    <cfRule type="cellIs" dxfId="174" priority="222" stopIfTrue="1" operator="equal">
      <formula>$AI$25</formula>
    </cfRule>
    <cfRule type="cellIs" dxfId="173" priority="223" stopIfTrue="1" operator="equal">
      <formula>$AI$24</formula>
    </cfRule>
    <cfRule type="cellIs" dxfId="172" priority="224" stopIfTrue="1" operator="equal">
      <formula>$AI$23</formula>
    </cfRule>
    <cfRule type="cellIs" dxfId="171" priority="225" stopIfTrue="1" operator="equal">
      <formula>$AI$22</formula>
    </cfRule>
    <cfRule type="cellIs" dxfId="170" priority="226" stopIfTrue="1" operator="equal">
      <formula>$AH$30</formula>
    </cfRule>
    <cfRule type="cellIs" dxfId="169" priority="227" stopIfTrue="1" operator="equal">
      <formula>$AH$29</formula>
    </cfRule>
    <cfRule type="cellIs" dxfId="168" priority="228" stopIfTrue="1" operator="equal">
      <formula>$AH$28</formula>
    </cfRule>
    <cfRule type="cellIs" dxfId="167" priority="229" stopIfTrue="1" operator="equal">
      <formula>$AH$27</formula>
    </cfRule>
    <cfRule type="cellIs" dxfId="166" priority="230" stopIfTrue="1" operator="equal">
      <formula>$AH$26</formula>
    </cfRule>
    <cfRule type="cellIs" dxfId="165" priority="231" stopIfTrue="1" operator="equal">
      <formula>$AH$25</formula>
    </cfRule>
    <cfRule type="cellIs" dxfId="164" priority="232" stopIfTrue="1" operator="equal">
      <formula>$AH$24</formula>
    </cfRule>
    <cfRule type="cellIs" dxfId="163" priority="233" stopIfTrue="1" operator="equal">
      <formula>$AH$23</formula>
    </cfRule>
    <cfRule type="cellIs" dxfId="162" priority="234" stopIfTrue="1" operator="equal">
      <formula>$AH$22</formula>
    </cfRule>
    <cfRule type="cellIs" dxfId="161" priority="235" stopIfTrue="1" operator="equal">
      <formula>$AI$18</formula>
    </cfRule>
    <cfRule type="cellIs" dxfId="160" priority="236" stopIfTrue="1" operator="equal">
      <formula>$AI$17</formula>
    </cfRule>
    <cfRule type="cellIs" dxfId="159" priority="237" stopIfTrue="1" operator="equal">
      <formula>$AI$16</formula>
    </cfRule>
    <cfRule type="cellIs" dxfId="158" priority="238" stopIfTrue="1" operator="equal">
      <formula>$AI$15</formula>
    </cfRule>
    <cfRule type="cellIs" dxfId="157" priority="239" stopIfTrue="1" operator="equal">
      <formula>$AI$14</formula>
    </cfRule>
    <cfRule type="cellIs" dxfId="156" priority="240" stopIfTrue="1" operator="equal">
      <formula>$AI$13</formula>
    </cfRule>
    <cfRule type="cellIs" dxfId="155" priority="241" stopIfTrue="1" operator="equal">
      <formula>$AI$12</formula>
    </cfRule>
    <cfRule type="cellIs" dxfId="154" priority="242" stopIfTrue="1" operator="equal">
      <formula>$AI$11</formula>
    </cfRule>
    <cfRule type="cellIs" dxfId="153" priority="243" stopIfTrue="1" operator="equal">
      <formula>$AI$10</formula>
    </cfRule>
    <cfRule type="cellIs" dxfId="152" priority="244" stopIfTrue="1" operator="equal">
      <formula>$AH$18</formula>
    </cfRule>
    <cfRule type="cellIs" dxfId="151" priority="245" stopIfTrue="1" operator="equal">
      <formula>$AH$17</formula>
    </cfRule>
    <cfRule type="cellIs" dxfId="150" priority="246" stopIfTrue="1" operator="equal">
      <formula>$AH$16</formula>
    </cfRule>
    <cfRule type="cellIs" dxfId="149" priority="247" stopIfTrue="1" operator="equal">
      <formula>$AH$15</formula>
    </cfRule>
    <cfRule type="cellIs" dxfId="148" priority="248" stopIfTrue="1" operator="equal">
      <formula>$AH$14</formula>
    </cfRule>
    <cfRule type="cellIs" dxfId="147" priority="249" stopIfTrue="1" operator="equal">
      <formula>$AH$13</formula>
    </cfRule>
    <cfRule type="cellIs" dxfId="146" priority="250" stopIfTrue="1" operator="equal">
      <formula>$AH$12</formula>
    </cfRule>
    <cfRule type="cellIs" dxfId="145" priority="251" stopIfTrue="1" operator="equal">
      <formula>$AH$11</formula>
    </cfRule>
    <cfRule type="cellIs" dxfId="144" priority="252" stopIfTrue="1" operator="equal">
      <formula>$AH$10</formula>
    </cfRule>
  </conditionalFormatting>
  <conditionalFormatting sqref="AA25">
    <cfRule type="cellIs" dxfId="143" priority="109" operator="equal">
      <formula>$AI$30</formula>
    </cfRule>
    <cfRule type="cellIs" dxfId="142" priority="110" operator="equal">
      <formula>$AI$29</formula>
    </cfRule>
    <cfRule type="cellIs" dxfId="141" priority="111" operator="equal">
      <formula>$AI$28</formula>
    </cfRule>
    <cfRule type="cellIs" dxfId="140" priority="112" operator="equal">
      <formula>$AI$27</formula>
    </cfRule>
    <cfRule type="cellIs" dxfId="139" priority="113" operator="equal">
      <formula>$AI$26</formula>
    </cfRule>
    <cfRule type="cellIs" dxfId="138" priority="114" operator="equal">
      <formula>$AI$25</formula>
    </cfRule>
    <cfRule type="cellIs" dxfId="137" priority="115" operator="equal">
      <formula>$AI$24</formula>
    </cfRule>
    <cfRule type="cellIs" dxfId="136" priority="116" operator="equal">
      <formula>$AI$23</formula>
    </cfRule>
    <cfRule type="cellIs" dxfId="135" priority="117" operator="equal">
      <formula>$AI$22</formula>
    </cfRule>
    <cfRule type="cellIs" dxfId="134" priority="118" operator="equal">
      <formula>$AH$30</formula>
    </cfRule>
    <cfRule type="cellIs" dxfId="133" priority="119" operator="equal">
      <formula>$AH$29</formula>
    </cfRule>
    <cfRule type="cellIs" dxfId="132" priority="120" operator="equal">
      <formula>$AH$28</formula>
    </cfRule>
    <cfRule type="cellIs" dxfId="131" priority="121" operator="equal">
      <formula>$AH$27</formula>
    </cfRule>
    <cfRule type="cellIs" dxfId="130" priority="122" operator="equal">
      <formula>$AH$26</formula>
    </cfRule>
    <cfRule type="cellIs" dxfId="129" priority="123" operator="equal">
      <formula>$AH$25</formula>
    </cfRule>
    <cfRule type="cellIs" dxfId="128" priority="124" operator="equal">
      <formula>$AH$24</formula>
    </cfRule>
    <cfRule type="cellIs" dxfId="127" priority="125" operator="equal">
      <formula>$AH$23</formula>
    </cfRule>
    <cfRule type="cellIs" dxfId="126" priority="126" operator="equal">
      <formula>$AH$22</formula>
    </cfRule>
    <cfRule type="cellIs" dxfId="125" priority="127" operator="equal">
      <formula>$AI$18</formula>
    </cfRule>
    <cfRule type="cellIs" dxfId="124" priority="128" operator="equal">
      <formula>$AI$17</formula>
    </cfRule>
    <cfRule type="cellIs" dxfId="123" priority="129" operator="equal">
      <formula>$AI$16</formula>
    </cfRule>
    <cfRule type="cellIs" dxfId="122" priority="130" operator="equal">
      <formula>$AI$15</formula>
    </cfRule>
    <cfRule type="cellIs" dxfId="121" priority="131" operator="equal">
      <formula>$AI$14</formula>
    </cfRule>
    <cfRule type="cellIs" dxfId="120" priority="132" operator="equal">
      <formula>$AI$13</formula>
    </cfRule>
    <cfRule type="cellIs" dxfId="119" priority="133" operator="equal">
      <formula>$AI$12</formula>
    </cfRule>
    <cfRule type="cellIs" dxfId="118" priority="134" operator="equal">
      <formula>$AI$11</formula>
    </cfRule>
    <cfRule type="cellIs" dxfId="117" priority="135" operator="equal">
      <formula>$AI$10</formula>
    </cfRule>
    <cfRule type="cellIs" dxfId="116" priority="136" operator="equal">
      <formula>$AH$18</formula>
    </cfRule>
    <cfRule type="cellIs" dxfId="115" priority="137" operator="equal">
      <formula>$AH$17</formula>
    </cfRule>
    <cfRule type="cellIs" dxfId="114" priority="138" operator="equal">
      <formula>$AH$16</formula>
    </cfRule>
    <cfRule type="cellIs" dxfId="113" priority="139" operator="equal">
      <formula>$AH$15</formula>
    </cfRule>
    <cfRule type="cellIs" dxfId="112" priority="140" operator="equal">
      <formula>$AH$14</formula>
    </cfRule>
    <cfRule type="cellIs" dxfId="111" priority="141" operator="equal">
      <formula>$AH$13</formula>
    </cfRule>
    <cfRule type="cellIs" dxfId="110" priority="142" operator="equal">
      <formula>$AH$12</formula>
    </cfRule>
    <cfRule type="cellIs" dxfId="109" priority="143" operator="equal">
      <formula>$AH$11</formula>
    </cfRule>
    <cfRule type="cellIs" dxfId="108" priority="144" operator="equal">
      <formula>$AH$10</formula>
    </cfRule>
  </conditionalFormatting>
  <conditionalFormatting sqref="Y25">
    <cfRule type="cellIs" dxfId="107" priority="91" operator="equal">
      <formula>$AF$30</formula>
    </cfRule>
    <cfRule type="cellIs" dxfId="106" priority="92" operator="equal">
      <formula>$AF$29</formula>
    </cfRule>
    <cfRule type="cellIs" dxfId="105" priority="93" operator="equal">
      <formula>$AF$28</formula>
    </cfRule>
    <cfRule type="cellIs" dxfId="104" priority="94" operator="equal">
      <formula>$AF$27</formula>
    </cfRule>
    <cfRule type="cellIs" dxfId="103" priority="95" operator="equal">
      <formula>$AF$26</formula>
    </cfRule>
    <cfRule type="cellIs" dxfId="102" priority="96" operator="equal">
      <formula>$AF$25</formula>
    </cfRule>
    <cfRule type="cellIs" dxfId="101" priority="97" operator="equal">
      <formula>$AF$24</formula>
    </cfRule>
    <cfRule type="cellIs" dxfId="100" priority="98" operator="equal">
      <formula>$AF$23</formula>
    </cfRule>
    <cfRule type="cellIs" dxfId="99" priority="99" operator="equal">
      <formula>$AF$22</formula>
    </cfRule>
    <cfRule type="cellIs" dxfId="98" priority="100" operator="equal">
      <formula>$AF$18</formula>
    </cfRule>
    <cfRule type="cellIs" dxfId="97" priority="101" operator="equal">
      <formula>$AF$17</formula>
    </cfRule>
    <cfRule type="cellIs" dxfId="96" priority="102" operator="equal">
      <formula>$AF$16</formula>
    </cfRule>
    <cfRule type="cellIs" dxfId="95" priority="103" operator="equal">
      <formula>$AF$15</formula>
    </cfRule>
    <cfRule type="cellIs" dxfId="94" priority="104" operator="equal">
      <formula>$AF$14</formula>
    </cfRule>
    <cfRule type="cellIs" dxfId="93" priority="105" operator="equal">
      <formula>$AF$13</formula>
    </cfRule>
    <cfRule type="cellIs" dxfId="92" priority="106" operator="equal">
      <formula>$AF$12</formula>
    </cfRule>
    <cfRule type="cellIs" dxfId="91" priority="107" operator="equal">
      <formula>$AF$11</formula>
    </cfRule>
    <cfRule type="cellIs" dxfId="90" priority="108" operator="equal">
      <formula>$AF$10</formula>
    </cfRule>
  </conditionalFormatting>
  <conditionalFormatting sqref="Y25">
    <cfRule type="cellIs" dxfId="89" priority="73" operator="equal">
      <formula>$AG$30</formula>
    </cfRule>
    <cfRule type="cellIs" dxfId="88" priority="74" operator="equal">
      <formula>$AG$29</formula>
    </cfRule>
    <cfRule type="cellIs" dxfId="87" priority="75" operator="equal">
      <formula>$AG$28</formula>
    </cfRule>
    <cfRule type="cellIs" dxfId="86" priority="76" operator="equal">
      <formula>$AG$27</formula>
    </cfRule>
    <cfRule type="cellIs" dxfId="85" priority="77" operator="equal">
      <formula>$AG$26</formula>
    </cfRule>
    <cfRule type="cellIs" dxfId="84" priority="78" operator="equal">
      <formula>$AG$25</formula>
    </cfRule>
    <cfRule type="cellIs" dxfId="83" priority="79" operator="equal">
      <formula>$AG$24</formula>
    </cfRule>
    <cfRule type="cellIs" dxfId="82" priority="80" operator="equal">
      <formula>$AG$23</formula>
    </cfRule>
    <cfRule type="cellIs" dxfId="81" priority="81" operator="equal">
      <formula>$AG$22</formula>
    </cfRule>
    <cfRule type="cellIs" dxfId="80" priority="82" operator="equal">
      <formula>$AG$18</formula>
    </cfRule>
    <cfRule type="cellIs" dxfId="79" priority="83" operator="equal">
      <formula>$AG$17</formula>
    </cfRule>
    <cfRule type="cellIs" dxfId="78" priority="84" operator="equal">
      <formula>$AG$16</formula>
    </cfRule>
    <cfRule type="cellIs" dxfId="77" priority="85" operator="equal">
      <formula>$AG$15</formula>
    </cfRule>
    <cfRule type="cellIs" dxfId="76" priority="86" operator="equal">
      <formula>$AG$14</formula>
    </cfRule>
    <cfRule type="cellIs" dxfId="75" priority="87" operator="equal">
      <formula>$AG$13</formula>
    </cfRule>
    <cfRule type="cellIs" dxfId="74" priority="88" operator="equal">
      <formula>$AG$12</formula>
    </cfRule>
    <cfRule type="cellIs" dxfId="73" priority="89" operator="equal">
      <formula>$AG$11</formula>
    </cfRule>
    <cfRule type="cellIs" dxfId="72" priority="90" operator="equal">
      <formula>$AG$10</formula>
    </cfRule>
  </conditionalFormatting>
  <conditionalFormatting sqref="D29">
    <cfRule type="cellIs" dxfId="71" priority="55" stopIfTrue="1" operator="equal">
      <formula>$AF$30</formula>
    </cfRule>
    <cfRule type="cellIs" dxfId="70" priority="56" stopIfTrue="1" operator="equal">
      <formula>$AF$29</formula>
    </cfRule>
    <cfRule type="cellIs" dxfId="69" priority="57" stopIfTrue="1" operator="equal">
      <formula>$AF$28</formula>
    </cfRule>
    <cfRule type="cellIs" dxfId="68" priority="58" stopIfTrue="1" operator="equal">
      <formula>$AF$27</formula>
    </cfRule>
    <cfRule type="cellIs" dxfId="67" priority="59" stopIfTrue="1" operator="equal">
      <formula>$AF$26</formula>
    </cfRule>
    <cfRule type="cellIs" dxfId="66" priority="60" stopIfTrue="1" operator="equal">
      <formula>$AF$25</formula>
    </cfRule>
    <cfRule type="cellIs" dxfId="65" priority="61" stopIfTrue="1" operator="equal">
      <formula>$AF$24</formula>
    </cfRule>
    <cfRule type="cellIs" dxfId="64" priority="62" stopIfTrue="1" operator="equal">
      <formula>$AF$23</formula>
    </cfRule>
    <cfRule type="cellIs" dxfId="63" priority="63" stopIfTrue="1" operator="equal">
      <formula>$AF$22</formula>
    </cfRule>
    <cfRule type="cellIs" dxfId="62" priority="64" stopIfTrue="1" operator="equal">
      <formula>$AF$18</formula>
    </cfRule>
    <cfRule type="cellIs" dxfId="61" priority="65" stopIfTrue="1" operator="equal">
      <formula>$AF$17</formula>
    </cfRule>
    <cfRule type="cellIs" dxfId="60" priority="66" stopIfTrue="1" operator="equal">
      <formula>$AF$16</formula>
    </cfRule>
    <cfRule type="cellIs" dxfId="59" priority="67" stopIfTrue="1" operator="equal">
      <formula>$AF$15</formula>
    </cfRule>
    <cfRule type="cellIs" dxfId="58" priority="68" stopIfTrue="1" operator="equal">
      <formula>$AF$14</formula>
    </cfRule>
    <cfRule type="cellIs" dxfId="57" priority="69" stopIfTrue="1" operator="equal">
      <formula>$AF$13</formula>
    </cfRule>
    <cfRule type="cellIs" dxfId="56" priority="70" stopIfTrue="1" operator="equal">
      <formula>$AF$12</formula>
    </cfRule>
    <cfRule type="cellIs" dxfId="55" priority="71" stopIfTrue="1" operator="equal">
      <formula>$AF$11</formula>
    </cfRule>
    <cfRule type="cellIs" dxfId="54" priority="72" stopIfTrue="1" operator="equal">
      <formula>$AF$10</formula>
    </cfRule>
  </conditionalFormatting>
  <conditionalFormatting sqref="D29">
    <cfRule type="cellIs" dxfId="53" priority="37" stopIfTrue="1" operator="equal">
      <formula>$AG$30</formula>
    </cfRule>
    <cfRule type="cellIs" dxfId="52" priority="38" stopIfTrue="1" operator="equal">
      <formula>$AG$29</formula>
    </cfRule>
    <cfRule type="cellIs" dxfId="51" priority="39" stopIfTrue="1" operator="equal">
      <formula>$AG$28</formula>
    </cfRule>
    <cfRule type="cellIs" dxfId="50" priority="40" stopIfTrue="1" operator="equal">
      <formula>$AG$27</formula>
    </cfRule>
    <cfRule type="cellIs" dxfId="49" priority="41" stopIfTrue="1" operator="equal">
      <formula>$AG$26</formula>
    </cfRule>
    <cfRule type="cellIs" dxfId="48" priority="42" stopIfTrue="1" operator="equal">
      <formula>$AG$25</formula>
    </cfRule>
    <cfRule type="cellIs" dxfId="47" priority="43" stopIfTrue="1" operator="equal">
      <formula>$AG$24</formula>
    </cfRule>
    <cfRule type="cellIs" dxfId="46" priority="44" stopIfTrue="1" operator="equal">
      <formula>$AG$23</formula>
    </cfRule>
    <cfRule type="cellIs" dxfId="45" priority="45" stopIfTrue="1" operator="equal">
      <formula>$AG$22</formula>
    </cfRule>
    <cfRule type="cellIs" dxfId="44" priority="46" stopIfTrue="1" operator="equal">
      <formula>$AG$18</formula>
    </cfRule>
    <cfRule type="cellIs" dxfId="43" priority="47" stopIfTrue="1" operator="equal">
      <formula>$AG$17</formula>
    </cfRule>
    <cfRule type="cellIs" dxfId="42" priority="48" stopIfTrue="1" operator="equal">
      <formula>$AG$16</formula>
    </cfRule>
    <cfRule type="cellIs" dxfId="41" priority="49" stopIfTrue="1" operator="equal">
      <formula>$AG$15</formula>
    </cfRule>
    <cfRule type="cellIs" dxfId="40" priority="50" stopIfTrue="1" operator="equal">
      <formula>$AG$14</formula>
    </cfRule>
    <cfRule type="cellIs" dxfId="39" priority="51" stopIfTrue="1" operator="equal">
      <formula>$AG$13</formula>
    </cfRule>
    <cfRule type="cellIs" dxfId="38" priority="52" stopIfTrue="1" operator="equal">
      <formula>$AG$12</formula>
    </cfRule>
    <cfRule type="cellIs" dxfId="37" priority="53" stopIfTrue="1" operator="equal">
      <formula>$AG$11</formula>
    </cfRule>
    <cfRule type="cellIs" dxfId="36" priority="54" stopIfTrue="1" operator="equal">
      <formula>$AG$10</formula>
    </cfRule>
  </conditionalFormatting>
  <conditionalFormatting sqref="F29">
    <cfRule type="cellIs" dxfId="35" priority="1" stopIfTrue="1" operator="equal">
      <formula>$AI$30</formula>
    </cfRule>
    <cfRule type="cellIs" dxfId="34" priority="2" stopIfTrue="1" operator="equal">
      <formula>$AI$29</formula>
    </cfRule>
    <cfRule type="cellIs" dxfId="33" priority="3" stopIfTrue="1" operator="equal">
      <formula>$AI$28</formula>
    </cfRule>
    <cfRule type="cellIs" dxfId="32" priority="4" stopIfTrue="1" operator="equal">
      <formula>$AI$27</formula>
    </cfRule>
    <cfRule type="cellIs" dxfId="31" priority="5" stopIfTrue="1" operator="equal">
      <formula>$AI$26</formula>
    </cfRule>
    <cfRule type="cellIs" dxfId="30" priority="6" stopIfTrue="1" operator="equal">
      <formula>$AI$25</formula>
    </cfRule>
    <cfRule type="cellIs" dxfId="29" priority="7" stopIfTrue="1" operator="equal">
      <formula>$AI$24</formula>
    </cfRule>
    <cfRule type="cellIs" dxfId="28" priority="8" stopIfTrue="1" operator="equal">
      <formula>$AI$23</formula>
    </cfRule>
    <cfRule type="cellIs" dxfId="27" priority="9" stopIfTrue="1" operator="equal">
      <formula>$AI$22</formula>
    </cfRule>
    <cfRule type="cellIs" dxfId="26" priority="10" stopIfTrue="1" operator="equal">
      <formula>$AH$30</formula>
    </cfRule>
    <cfRule type="cellIs" dxfId="25" priority="11" stopIfTrue="1" operator="equal">
      <formula>$AH$29</formula>
    </cfRule>
    <cfRule type="cellIs" dxfId="24" priority="12" stopIfTrue="1" operator="equal">
      <formula>$AH$28</formula>
    </cfRule>
    <cfRule type="cellIs" dxfId="23" priority="13" stopIfTrue="1" operator="equal">
      <formula>$AH$27</formula>
    </cfRule>
    <cfRule type="cellIs" dxfId="22" priority="14" stopIfTrue="1" operator="equal">
      <formula>$AH$26</formula>
    </cfRule>
    <cfRule type="cellIs" dxfId="21" priority="15" stopIfTrue="1" operator="equal">
      <formula>$AH$25</formula>
    </cfRule>
    <cfRule type="cellIs" dxfId="20" priority="16" stopIfTrue="1" operator="equal">
      <formula>$AH$24</formula>
    </cfRule>
    <cfRule type="cellIs" dxfId="19" priority="17" stopIfTrue="1" operator="equal">
      <formula>$AH$23</formula>
    </cfRule>
    <cfRule type="cellIs" dxfId="18" priority="18" stopIfTrue="1" operator="equal">
      <formula>$AH$22</formula>
    </cfRule>
    <cfRule type="cellIs" dxfId="17" priority="19" stopIfTrue="1" operator="equal">
      <formula>$AI$18</formula>
    </cfRule>
    <cfRule type="cellIs" dxfId="16" priority="20" stopIfTrue="1" operator="equal">
      <formula>$AI$17</formula>
    </cfRule>
    <cfRule type="cellIs" dxfId="15" priority="21" stopIfTrue="1" operator="equal">
      <formula>$AI$16</formula>
    </cfRule>
    <cfRule type="cellIs" dxfId="14" priority="22" stopIfTrue="1" operator="equal">
      <formula>$AI$15</formula>
    </cfRule>
    <cfRule type="cellIs" dxfId="13" priority="23" stopIfTrue="1" operator="equal">
      <formula>$AI$14</formula>
    </cfRule>
    <cfRule type="cellIs" dxfId="12" priority="24" stopIfTrue="1" operator="equal">
      <formula>$AI$13</formula>
    </cfRule>
    <cfRule type="cellIs" dxfId="11" priority="25" stopIfTrue="1" operator="equal">
      <formula>$AI$12</formula>
    </cfRule>
    <cfRule type="cellIs" dxfId="10" priority="26" stopIfTrue="1" operator="equal">
      <formula>$AI$11</formula>
    </cfRule>
    <cfRule type="cellIs" dxfId="9" priority="27" stopIfTrue="1" operator="equal">
      <formula>$AI$10</formula>
    </cfRule>
    <cfRule type="cellIs" dxfId="8" priority="28" stopIfTrue="1" operator="equal">
      <formula>$AH$18</formula>
    </cfRule>
    <cfRule type="cellIs" dxfId="7" priority="29" stopIfTrue="1" operator="equal">
      <formula>$AH$17</formula>
    </cfRule>
    <cfRule type="cellIs" dxfId="6" priority="30" stopIfTrue="1" operator="equal">
      <formula>$AH$16</formula>
    </cfRule>
    <cfRule type="cellIs" dxfId="5" priority="31" stopIfTrue="1" operator="equal">
      <formula>$AH$15</formula>
    </cfRule>
    <cfRule type="cellIs" dxfId="4" priority="32" stopIfTrue="1" operator="equal">
      <formula>$AH$14</formula>
    </cfRule>
    <cfRule type="cellIs" dxfId="3" priority="33" stopIfTrue="1" operator="equal">
      <formula>$AH$13</formula>
    </cfRule>
    <cfRule type="cellIs" dxfId="2" priority="34" stopIfTrue="1" operator="equal">
      <formula>$AH$12</formula>
    </cfRule>
    <cfRule type="cellIs" dxfId="1" priority="35" stopIfTrue="1" operator="equal">
      <formula>$AH$11</formula>
    </cfRule>
    <cfRule type="cellIs" dxfId="0" priority="36" stopIfTrue="1" operator="equal">
      <formula>$AH$10</formula>
    </cfRule>
  </conditionalFormatting>
  <printOptions horizontalCentered="1" verticalCentered="1"/>
  <pageMargins left="0" right="0" top="0" bottom="0" header="0" footer="0"/>
  <pageSetup paperSize="9" scale="36" orientation="landscape" r:id="rId1"/>
  <colBreaks count="1" manualBreakCount="1">
    <brk id="3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9">
    <pageSetUpPr fitToPage="1"/>
  </sheetPr>
  <dimension ref="A1:O60"/>
  <sheetViews>
    <sheetView view="pageBreakPreview" topLeftCell="A10" zoomScale="85" zoomScaleNormal="100" zoomScaleSheetLayoutView="85" workbookViewId="0">
      <selection activeCell="I39" sqref="I39"/>
    </sheetView>
  </sheetViews>
  <sheetFormatPr defaultColWidth="9.140625" defaultRowHeight="18" customHeight="1" x14ac:dyDescent="0.25"/>
  <cols>
    <col min="1" max="1" width="9.7109375" style="40" bestFit="1" customWidth="1"/>
    <col min="2" max="2" width="7.28515625" style="40" bestFit="1" customWidth="1"/>
    <col min="3" max="3" width="12.7109375" style="40" customWidth="1"/>
    <col min="4" max="4" width="1.42578125" style="40" customWidth="1"/>
    <col min="5" max="5" width="10.7109375" style="40" bestFit="1" customWidth="1"/>
    <col min="6" max="6" width="6.5703125" style="40" customWidth="1"/>
    <col min="7" max="7" width="12.85546875" style="40" customWidth="1"/>
    <col min="8" max="8" width="1.42578125" style="40" customWidth="1"/>
    <col min="9" max="9" width="10.7109375" style="40" bestFit="1" customWidth="1"/>
    <col min="10" max="10" width="6.5703125" style="40" customWidth="1"/>
    <col min="11" max="11" width="12.5703125" style="40" customWidth="1"/>
    <col min="12" max="12" width="14.7109375" style="40" customWidth="1"/>
    <col min="13" max="13" width="0.140625" style="40" customWidth="1"/>
    <col min="14" max="15" width="9.140625" style="40" hidden="1" customWidth="1"/>
    <col min="16" max="16384" width="9.140625" style="40"/>
  </cols>
  <sheetData>
    <row r="1" spans="1:15" ht="71.25" customHeight="1" thickBot="1" x14ac:dyDescent="0.3">
      <c r="A1" s="338"/>
      <c r="B1" s="339"/>
      <c r="C1" s="340"/>
      <c r="D1" s="141"/>
      <c r="E1" s="341" t="s">
        <v>308</v>
      </c>
      <c r="F1" s="339"/>
      <c r="G1" s="339"/>
      <c r="H1" s="339"/>
      <c r="I1" s="339"/>
      <c r="J1" s="339"/>
      <c r="K1" s="339"/>
      <c r="L1" s="142" t="s">
        <v>70</v>
      </c>
      <c r="M1" s="174"/>
      <c r="N1" s="174"/>
      <c r="O1" s="174"/>
    </row>
    <row r="2" spans="1:15" ht="18" customHeight="1" x14ac:dyDescent="0.25">
      <c r="A2" s="143" t="s">
        <v>71</v>
      </c>
      <c r="B2" s="144" t="s">
        <v>72</v>
      </c>
      <c r="C2" s="144" t="s">
        <v>73</v>
      </c>
      <c r="D2" s="342"/>
      <c r="E2" s="144" t="s">
        <v>71</v>
      </c>
      <c r="F2" s="144" t="s">
        <v>72</v>
      </c>
      <c r="G2" s="145" t="s">
        <v>73</v>
      </c>
      <c r="H2" s="345"/>
      <c r="I2" s="146" t="s">
        <v>71</v>
      </c>
      <c r="J2" s="147" t="s">
        <v>72</v>
      </c>
      <c r="K2" s="148" t="s">
        <v>73</v>
      </c>
      <c r="L2" s="149" t="s">
        <v>74</v>
      </c>
      <c r="M2" s="170"/>
      <c r="N2" s="169"/>
      <c r="O2" s="169"/>
    </row>
    <row r="3" spans="1:15" ht="18" customHeight="1" x14ac:dyDescent="0.25">
      <c r="A3" s="121">
        <v>0.25</v>
      </c>
      <c r="B3" s="228" t="s">
        <v>84</v>
      </c>
      <c r="C3" s="175"/>
      <c r="D3" s="343"/>
      <c r="E3" s="121">
        <v>0.48497685185185185</v>
      </c>
      <c r="F3" s="150"/>
      <c r="G3" s="151"/>
      <c r="H3" s="346"/>
      <c r="I3" s="121">
        <v>0.75462962962962965</v>
      </c>
      <c r="J3" s="172"/>
      <c r="K3" s="154"/>
      <c r="L3" s="348"/>
      <c r="M3" s="171"/>
      <c r="N3" s="171"/>
      <c r="O3" s="171"/>
    </row>
    <row r="4" spans="1:15" ht="18" customHeight="1" x14ac:dyDescent="0.25">
      <c r="A4" s="121">
        <v>0.25</v>
      </c>
      <c r="B4" s="228" t="s">
        <v>68</v>
      </c>
      <c r="C4" s="175"/>
      <c r="D4" s="343"/>
      <c r="E4" s="121">
        <v>0.49204861111111109</v>
      </c>
      <c r="F4" s="150"/>
      <c r="G4" s="151"/>
      <c r="H4" s="346"/>
      <c r="I4" s="121">
        <v>0.75967592592592592</v>
      </c>
      <c r="J4" s="172"/>
      <c r="K4" s="151"/>
      <c r="L4" s="349"/>
      <c r="M4" s="171"/>
      <c r="N4" s="171"/>
      <c r="O4" s="171"/>
    </row>
    <row r="5" spans="1:15" ht="18" customHeight="1" x14ac:dyDescent="0.25">
      <c r="A5" s="121">
        <v>0.25</v>
      </c>
      <c r="B5" s="228" t="s">
        <v>85</v>
      </c>
      <c r="C5" s="175"/>
      <c r="D5" s="343"/>
      <c r="E5" s="121">
        <v>0.49912037037037038</v>
      </c>
      <c r="F5" s="150"/>
      <c r="G5" s="151"/>
      <c r="H5" s="346"/>
      <c r="I5" s="121">
        <v>0.76472222222222219</v>
      </c>
      <c r="J5" s="172"/>
      <c r="K5" s="151"/>
      <c r="L5" s="349"/>
      <c r="M5" s="171"/>
      <c r="N5" s="171"/>
      <c r="O5" s="171"/>
    </row>
    <row r="6" spans="1:15" ht="18" customHeight="1" x14ac:dyDescent="0.25">
      <c r="A6" s="121">
        <v>0.25</v>
      </c>
      <c r="B6" s="228" t="s">
        <v>69</v>
      </c>
      <c r="C6" s="175"/>
      <c r="D6" s="343"/>
      <c r="E6" s="121">
        <v>0.50619212962962956</v>
      </c>
      <c r="F6" s="150"/>
      <c r="G6" s="151"/>
      <c r="H6" s="346"/>
      <c r="I6" s="121">
        <v>0.76976851851851846</v>
      </c>
      <c r="J6" s="172"/>
      <c r="K6" s="151"/>
      <c r="L6" s="349"/>
      <c r="M6" s="171"/>
      <c r="N6" s="171"/>
      <c r="O6" s="171"/>
    </row>
    <row r="7" spans="1:15" ht="18" customHeight="1" x14ac:dyDescent="0.25">
      <c r="A7" s="121">
        <v>0.25</v>
      </c>
      <c r="B7" s="229" t="s">
        <v>86</v>
      </c>
      <c r="C7" s="175"/>
      <c r="D7" s="344"/>
      <c r="E7" s="121">
        <v>0.51326388888888885</v>
      </c>
      <c r="F7" s="150"/>
      <c r="G7" s="151"/>
      <c r="H7" s="346"/>
      <c r="I7" s="121">
        <v>0.77481481481481485</v>
      </c>
      <c r="J7" s="172"/>
      <c r="K7" s="151"/>
      <c r="L7" s="349"/>
      <c r="M7" s="171"/>
      <c r="N7" s="171"/>
      <c r="O7" s="171"/>
    </row>
    <row r="8" spans="1:15" ht="18" customHeight="1" x14ac:dyDescent="0.25">
      <c r="A8" s="121">
        <v>0.25</v>
      </c>
      <c r="B8" s="229" t="s">
        <v>16</v>
      </c>
      <c r="C8" s="175"/>
      <c r="D8" s="344"/>
      <c r="E8" s="121">
        <v>0.52033564814814814</v>
      </c>
      <c r="F8" s="150"/>
      <c r="G8" s="151"/>
      <c r="H8" s="346"/>
      <c r="I8" s="121">
        <v>0.77986111111111101</v>
      </c>
      <c r="J8" s="172"/>
      <c r="K8" s="151"/>
      <c r="L8" s="349"/>
      <c r="M8" s="171"/>
      <c r="N8" s="171"/>
      <c r="O8" s="171"/>
    </row>
    <row r="9" spans="1:15" ht="18" customHeight="1" x14ac:dyDescent="0.25">
      <c r="A9" s="121">
        <v>0.25589120370370372</v>
      </c>
      <c r="B9" s="227" t="s">
        <v>75</v>
      </c>
      <c r="C9" s="151"/>
      <c r="D9" s="344"/>
      <c r="E9" s="121">
        <v>0.52740740740740744</v>
      </c>
      <c r="F9" s="150"/>
      <c r="G9" s="151"/>
      <c r="H9" s="346"/>
      <c r="I9" s="121">
        <v>0.78490740740740739</v>
      </c>
      <c r="J9" s="172"/>
      <c r="K9" s="151"/>
      <c r="L9" s="349"/>
      <c r="M9" s="171"/>
      <c r="N9" s="171"/>
      <c r="O9" s="171"/>
    </row>
    <row r="10" spans="1:15" ht="18" customHeight="1" x14ac:dyDescent="0.25">
      <c r="A10" s="121">
        <v>0.26178240740740738</v>
      </c>
      <c r="B10" s="227"/>
      <c r="C10" s="151"/>
      <c r="D10" s="344"/>
      <c r="E10" s="121">
        <v>0.53447916666666673</v>
      </c>
      <c r="F10" s="150"/>
      <c r="G10" s="151"/>
      <c r="H10" s="346"/>
      <c r="I10" s="121">
        <v>0.78995370370370377</v>
      </c>
      <c r="J10" s="172"/>
      <c r="K10" s="205"/>
      <c r="L10" s="349"/>
      <c r="M10" s="171"/>
      <c r="N10" s="171"/>
      <c r="O10" s="171"/>
    </row>
    <row r="11" spans="1:15" ht="18" customHeight="1" x14ac:dyDescent="0.25">
      <c r="A11" s="121">
        <v>0.2676736111111111</v>
      </c>
      <c r="B11" s="152"/>
      <c r="C11" s="151"/>
      <c r="D11" s="344"/>
      <c r="E11" s="121">
        <v>0.54155092592592591</v>
      </c>
      <c r="F11" s="150"/>
      <c r="G11" s="151"/>
      <c r="H11" s="346"/>
      <c r="I11" s="121">
        <v>0.79499999999999993</v>
      </c>
      <c r="J11" s="172"/>
      <c r="K11" s="151"/>
      <c r="L11" s="349"/>
      <c r="M11" s="171"/>
      <c r="N11" s="171"/>
      <c r="O11" s="171"/>
    </row>
    <row r="12" spans="1:15" ht="18" customHeight="1" x14ac:dyDescent="0.25">
      <c r="A12" s="121">
        <v>0.27356481481481482</v>
      </c>
      <c r="B12" s="152"/>
      <c r="C12" s="151"/>
      <c r="D12" s="344"/>
      <c r="E12" s="121">
        <v>0.5486226851851852</v>
      </c>
      <c r="F12" s="150"/>
      <c r="G12" s="151"/>
      <c r="H12" s="346"/>
      <c r="I12" s="121">
        <v>0.80004629629629631</v>
      </c>
      <c r="J12" s="172"/>
      <c r="K12" s="151"/>
      <c r="L12" s="153" t="s">
        <v>76</v>
      </c>
      <c r="M12" s="171"/>
      <c r="N12" s="171"/>
      <c r="O12" s="171"/>
    </row>
    <row r="13" spans="1:15" ht="18" customHeight="1" x14ac:dyDescent="0.25">
      <c r="A13" s="121">
        <v>0.27945601851851848</v>
      </c>
      <c r="B13" s="152"/>
      <c r="C13" s="151"/>
      <c r="D13" s="344"/>
      <c r="E13" s="121">
        <v>0.55569444444444438</v>
      </c>
      <c r="F13" s="150"/>
      <c r="G13" s="151"/>
      <c r="H13" s="346"/>
      <c r="I13" s="121">
        <v>0.80509259259259258</v>
      </c>
      <c r="J13" s="172"/>
      <c r="K13" s="151"/>
      <c r="L13" s="349"/>
      <c r="M13" s="171"/>
      <c r="N13" s="171"/>
      <c r="O13" s="171"/>
    </row>
    <row r="14" spans="1:15" ht="18" customHeight="1" x14ac:dyDescent="0.25">
      <c r="A14" s="121">
        <v>0.28534722222222225</v>
      </c>
      <c r="B14" s="152"/>
      <c r="C14" s="151"/>
      <c r="D14" s="344"/>
      <c r="E14" s="121">
        <v>0.56276620370370367</v>
      </c>
      <c r="F14" s="150"/>
      <c r="G14" s="151"/>
      <c r="H14" s="346"/>
      <c r="I14" s="121">
        <v>0.81013888888888896</v>
      </c>
      <c r="J14" s="172"/>
      <c r="K14" s="154"/>
      <c r="L14" s="349"/>
      <c r="M14" s="171"/>
      <c r="N14" s="171"/>
      <c r="O14" s="171"/>
    </row>
    <row r="15" spans="1:15" ht="18" customHeight="1" x14ac:dyDescent="0.25">
      <c r="A15" s="121">
        <v>0.29123842592592591</v>
      </c>
      <c r="B15" s="152"/>
      <c r="C15" s="151"/>
      <c r="D15" s="344"/>
      <c r="E15" s="121">
        <v>0.56983796296296296</v>
      </c>
      <c r="F15" s="150"/>
      <c r="G15" s="151"/>
      <c r="H15" s="346"/>
      <c r="I15" s="121">
        <v>0.81518518518518512</v>
      </c>
      <c r="J15" s="172"/>
      <c r="K15" s="151"/>
      <c r="L15" s="349"/>
      <c r="M15" s="171"/>
      <c r="N15" s="171"/>
      <c r="O15" s="171"/>
    </row>
    <row r="16" spans="1:15" ht="18" customHeight="1" x14ac:dyDescent="0.25">
      <c r="A16" s="121">
        <v>0.29712962962962963</v>
      </c>
      <c r="B16" s="152"/>
      <c r="C16" s="151"/>
      <c r="D16" s="344"/>
      <c r="E16" s="121">
        <v>0.57690972222222225</v>
      </c>
      <c r="F16" s="150"/>
      <c r="G16" s="151"/>
      <c r="H16" s="346"/>
      <c r="I16" s="121">
        <v>0.82023148148148151</v>
      </c>
      <c r="J16" s="172"/>
      <c r="K16" s="151"/>
      <c r="L16" s="349"/>
      <c r="M16" s="171"/>
      <c r="N16" s="171"/>
      <c r="O16" s="171"/>
    </row>
    <row r="17" spans="1:15" ht="18" customHeight="1" x14ac:dyDescent="0.25">
      <c r="A17" s="130">
        <v>0.30217592592592596</v>
      </c>
      <c r="B17" s="152"/>
      <c r="C17" s="151"/>
      <c r="D17" s="344"/>
      <c r="E17" s="121">
        <v>0.58398148148148155</v>
      </c>
      <c r="F17" s="150"/>
      <c r="G17" s="151"/>
      <c r="H17" s="346"/>
      <c r="I17" s="121">
        <v>0.8273032407407408</v>
      </c>
      <c r="J17" s="172"/>
      <c r="K17" s="151"/>
      <c r="L17" s="349"/>
      <c r="M17" s="171"/>
      <c r="N17" s="171"/>
      <c r="O17" s="171"/>
    </row>
    <row r="18" spans="1:15" ht="18" customHeight="1" x14ac:dyDescent="0.25">
      <c r="A18" s="121">
        <v>0.30722222222222223</v>
      </c>
      <c r="B18" s="152"/>
      <c r="C18" s="151"/>
      <c r="D18" s="344"/>
      <c r="E18" s="121">
        <v>0.59105324074074073</v>
      </c>
      <c r="F18" s="150"/>
      <c r="G18" s="151"/>
      <c r="H18" s="346"/>
      <c r="I18" s="121">
        <v>0.83437499999999998</v>
      </c>
      <c r="J18" s="172"/>
      <c r="K18" s="151"/>
      <c r="L18" s="349"/>
      <c r="M18" s="171"/>
      <c r="N18" s="171"/>
      <c r="O18" s="171"/>
    </row>
    <row r="19" spans="1:15" ht="18" customHeight="1" x14ac:dyDescent="0.25">
      <c r="A19" s="121">
        <v>0.3122685185185185</v>
      </c>
      <c r="B19" s="152"/>
      <c r="C19" s="151"/>
      <c r="D19" s="344"/>
      <c r="E19" s="121">
        <v>0.59812500000000002</v>
      </c>
      <c r="F19" s="150"/>
      <c r="G19" s="151"/>
      <c r="H19" s="346"/>
      <c r="I19" s="121">
        <v>0.84144675925925927</v>
      </c>
      <c r="J19" s="172"/>
      <c r="K19" s="151"/>
      <c r="L19" s="153" t="s">
        <v>77</v>
      </c>
      <c r="M19" s="171"/>
      <c r="N19" s="171"/>
      <c r="O19" s="171"/>
    </row>
    <row r="20" spans="1:15" ht="18" customHeight="1" x14ac:dyDescent="0.25">
      <c r="A20" s="121">
        <v>0.31731481481481483</v>
      </c>
      <c r="B20" s="152"/>
      <c r="C20" s="151"/>
      <c r="D20" s="344"/>
      <c r="E20" s="121">
        <v>0.6051967592592592</v>
      </c>
      <c r="F20" s="150"/>
      <c r="G20" s="151"/>
      <c r="H20" s="346"/>
      <c r="I20" s="121">
        <v>0.84851851851851856</v>
      </c>
      <c r="J20" s="172"/>
      <c r="K20" s="151"/>
      <c r="L20" s="349"/>
      <c r="M20" s="171"/>
      <c r="N20" s="171"/>
      <c r="O20" s="171"/>
    </row>
    <row r="21" spans="1:15" ht="18" customHeight="1" x14ac:dyDescent="0.25">
      <c r="A21" s="121">
        <v>0.3223611111111111</v>
      </c>
      <c r="B21" s="152"/>
      <c r="C21" s="151"/>
      <c r="D21" s="344"/>
      <c r="E21" s="121">
        <v>0.61226851851851849</v>
      </c>
      <c r="F21" s="150"/>
      <c r="G21" s="151"/>
      <c r="H21" s="346"/>
      <c r="I21" s="121">
        <v>0.85559027777777785</v>
      </c>
      <c r="J21" s="172"/>
      <c r="K21" s="205"/>
      <c r="L21" s="349"/>
      <c r="M21" s="171"/>
      <c r="N21" s="171"/>
      <c r="O21" s="171"/>
    </row>
    <row r="22" spans="1:15" ht="18" customHeight="1" x14ac:dyDescent="0.25">
      <c r="A22" s="121">
        <v>0.32740740740740742</v>
      </c>
      <c r="B22" s="152"/>
      <c r="C22" s="151"/>
      <c r="D22" s="344"/>
      <c r="E22" s="121">
        <v>0.61934027777777778</v>
      </c>
      <c r="F22" s="150"/>
      <c r="G22" s="151"/>
      <c r="H22" s="346"/>
      <c r="I22" s="121">
        <v>0.86266203703703714</v>
      </c>
      <c r="J22" s="172"/>
      <c r="K22" s="151"/>
      <c r="L22" s="349"/>
      <c r="M22" s="171"/>
      <c r="N22" s="171"/>
      <c r="O22" s="171"/>
    </row>
    <row r="23" spans="1:15" ht="18" customHeight="1" x14ac:dyDescent="0.25">
      <c r="A23" s="121">
        <v>0.3324537037037037</v>
      </c>
      <c r="B23" s="152"/>
      <c r="C23" s="151"/>
      <c r="D23" s="344"/>
      <c r="E23" s="121">
        <v>0.62641203703703707</v>
      </c>
      <c r="F23" s="150"/>
      <c r="G23" s="151"/>
      <c r="H23" s="346"/>
      <c r="I23" s="121">
        <v>0.86973379629629621</v>
      </c>
      <c r="J23" s="172"/>
      <c r="K23" s="151"/>
      <c r="L23" s="349"/>
      <c r="M23" s="171"/>
      <c r="N23" s="171"/>
      <c r="O23" s="171"/>
    </row>
    <row r="24" spans="1:15" ht="18" customHeight="1" x14ac:dyDescent="0.25">
      <c r="A24" s="121">
        <v>0.33749999999999997</v>
      </c>
      <c r="B24" s="152"/>
      <c r="C24" s="151"/>
      <c r="D24" s="344"/>
      <c r="E24" s="121">
        <v>0.63348379629629636</v>
      </c>
      <c r="F24" s="150"/>
      <c r="G24" s="151"/>
      <c r="H24" s="346"/>
      <c r="I24" s="121">
        <v>0.8768055555555555</v>
      </c>
      <c r="J24" s="172"/>
      <c r="K24" s="151"/>
      <c r="L24" s="349"/>
      <c r="M24" s="171"/>
      <c r="N24" s="171"/>
      <c r="O24" s="171"/>
    </row>
    <row r="25" spans="1:15" ht="18" customHeight="1" x14ac:dyDescent="0.25">
      <c r="A25" s="121">
        <v>0.34254629629629635</v>
      </c>
      <c r="B25" s="152"/>
      <c r="C25" s="151"/>
      <c r="D25" s="344"/>
      <c r="E25" s="121">
        <v>0.64055555555555554</v>
      </c>
      <c r="F25" s="150"/>
      <c r="G25" s="151"/>
      <c r="H25" s="346"/>
      <c r="I25" s="121">
        <v>0.8838773148148148</v>
      </c>
      <c r="J25" s="172"/>
      <c r="K25" s="154"/>
      <c r="L25" s="349"/>
      <c r="M25" s="171"/>
      <c r="N25" s="171"/>
      <c r="O25" s="171"/>
    </row>
    <row r="26" spans="1:15" ht="18" customHeight="1" x14ac:dyDescent="0.25">
      <c r="A26" s="121">
        <v>0.34759259259259262</v>
      </c>
      <c r="B26" s="152"/>
      <c r="C26" s="151"/>
      <c r="D26" s="344"/>
      <c r="E26" s="121">
        <v>0.64762731481481484</v>
      </c>
      <c r="F26" s="150"/>
      <c r="G26" s="151"/>
      <c r="H26" s="346"/>
      <c r="I26" s="121">
        <v>0.89094907407407409</v>
      </c>
      <c r="J26" s="172"/>
      <c r="K26" s="151"/>
      <c r="L26" s="153" t="s">
        <v>78</v>
      </c>
      <c r="M26" s="171"/>
      <c r="N26" s="171"/>
      <c r="O26" s="171"/>
    </row>
    <row r="27" spans="1:15" ht="18" customHeight="1" x14ac:dyDescent="0.25">
      <c r="A27" s="121">
        <v>0.35263888888888889</v>
      </c>
      <c r="B27" s="152"/>
      <c r="C27" s="151"/>
      <c r="D27" s="344"/>
      <c r="E27" s="121">
        <v>0.65469907407407402</v>
      </c>
      <c r="F27" s="150"/>
      <c r="G27" s="151"/>
      <c r="H27" s="346"/>
      <c r="I27" s="121">
        <v>0.89802083333333327</v>
      </c>
      <c r="J27" s="172"/>
      <c r="K27" s="151"/>
      <c r="L27" s="349"/>
      <c r="M27" s="171"/>
      <c r="N27" s="171"/>
      <c r="O27" s="171"/>
    </row>
    <row r="28" spans="1:15" ht="18" customHeight="1" x14ac:dyDescent="0.25">
      <c r="A28" s="121">
        <v>0.35768518518518522</v>
      </c>
      <c r="B28" s="152"/>
      <c r="C28" s="151"/>
      <c r="D28" s="344"/>
      <c r="E28" s="121">
        <v>0.66177083333333331</v>
      </c>
      <c r="F28" s="150"/>
      <c r="G28" s="151"/>
      <c r="H28" s="346"/>
      <c r="I28" s="121">
        <v>0.90509259259259256</v>
      </c>
      <c r="J28" s="172"/>
      <c r="K28" s="151"/>
      <c r="L28" s="349"/>
      <c r="M28" s="171"/>
      <c r="N28" s="171"/>
      <c r="O28" s="171"/>
    </row>
    <row r="29" spans="1:15" ht="18" customHeight="1" x14ac:dyDescent="0.25">
      <c r="A29" s="121">
        <v>0.36475694444444445</v>
      </c>
      <c r="B29" s="152"/>
      <c r="C29" s="151"/>
      <c r="D29" s="344"/>
      <c r="E29" s="121">
        <v>0.6688425925925926</v>
      </c>
      <c r="F29" s="150"/>
      <c r="G29" s="151"/>
      <c r="H29" s="346"/>
      <c r="I29" s="121">
        <v>0.91216435185185185</v>
      </c>
      <c r="J29" s="172"/>
      <c r="K29" s="151"/>
      <c r="L29" s="349"/>
      <c r="M29" s="171"/>
      <c r="N29" s="171"/>
      <c r="O29" s="171"/>
    </row>
    <row r="30" spans="1:15" ht="18" customHeight="1" x14ac:dyDescent="0.25">
      <c r="A30" s="121">
        <v>0.37182870370370374</v>
      </c>
      <c r="B30" s="152"/>
      <c r="C30" s="151"/>
      <c r="D30" s="344"/>
      <c r="E30" s="130">
        <v>0.67388888888888887</v>
      </c>
      <c r="F30" s="150"/>
      <c r="G30" s="151"/>
      <c r="H30" s="346"/>
      <c r="I30" s="121">
        <v>0.91923611111111114</v>
      </c>
      <c r="J30" s="172"/>
      <c r="K30" s="151"/>
      <c r="L30" s="349"/>
      <c r="M30" s="171"/>
      <c r="N30" s="171"/>
      <c r="O30" s="171"/>
    </row>
    <row r="31" spans="1:15" ht="18" customHeight="1" x14ac:dyDescent="0.25">
      <c r="A31" s="121">
        <v>0.37890046296296293</v>
      </c>
      <c r="B31" s="152"/>
      <c r="C31" s="151"/>
      <c r="D31" s="344"/>
      <c r="E31" s="121">
        <v>0.67893518518518514</v>
      </c>
      <c r="F31" s="150"/>
      <c r="G31" s="151"/>
      <c r="H31" s="346"/>
      <c r="I31" s="121">
        <v>0.92630787037037043</v>
      </c>
      <c r="J31" s="172"/>
      <c r="K31" s="205"/>
      <c r="L31" s="349"/>
      <c r="M31" s="171"/>
      <c r="N31" s="171"/>
      <c r="O31" s="171"/>
    </row>
    <row r="32" spans="1:15" ht="18" customHeight="1" x14ac:dyDescent="0.25">
      <c r="A32" s="121">
        <v>0.38597222222222222</v>
      </c>
      <c r="B32" s="155"/>
      <c r="C32" s="151"/>
      <c r="D32" s="344"/>
      <c r="E32" s="121">
        <v>0.68398148148148152</v>
      </c>
      <c r="F32" s="156"/>
      <c r="G32" s="151"/>
      <c r="H32" s="346"/>
      <c r="I32" s="121">
        <v>0.93337962962962961</v>
      </c>
      <c r="J32" s="172"/>
      <c r="K32" s="151"/>
      <c r="L32" s="349"/>
      <c r="M32" s="171"/>
      <c r="N32" s="171"/>
      <c r="O32" s="171"/>
    </row>
    <row r="33" spans="1:15" ht="18" customHeight="1" x14ac:dyDescent="0.25">
      <c r="A33" s="121">
        <v>0.39304398148148145</v>
      </c>
      <c r="B33" s="172"/>
      <c r="C33" s="151"/>
      <c r="D33" s="344"/>
      <c r="E33" s="130">
        <v>0.68902777777777768</v>
      </c>
      <c r="F33" s="157"/>
      <c r="G33" s="151"/>
      <c r="H33" s="346"/>
      <c r="I33" s="121">
        <v>0.94045138888888891</v>
      </c>
      <c r="J33" s="172"/>
      <c r="K33" s="151"/>
      <c r="L33" s="349"/>
      <c r="M33" s="171"/>
      <c r="N33" s="171"/>
      <c r="O33" s="171"/>
    </row>
    <row r="34" spans="1:15" ht="18" customHeight="1" x14ac:dyDescent="0.25">
      <c r="A34" s="121">
        <v>0.40011574074074074</v>
      </c>
      <c r="B34" s="172"/>
      <c r="C34" s="151"/>
      <c r="D34" s="344"/>
      <c r="E34" s="121">
        <v>0.69407407407407407</v>
      </c>
      <c r="F34" s="157"/>
      <c r="G34" s="151"/>
      <c r="H34" s="346"/>
      <c r="I34" s="121">
        <v>0.9475231481481482</v>
      </c>
      <c r="J34" s="172"/>
      <c r="K34" s="151"/>
      <c r="L34" s="349"/>
      <c r="M34" s="171"/>
      <c r="N34" s="171"/>
      <c r="O34" s="171"/>
    </row>
    <row r="35" spans="1:15" ht="18" customHeight="1" x14ac:dyDescent="0.25">
      <c r="A35" s="121">
        <v>0.40718750000000004</v>
      </c>
      <c r="B35" s="172"/>
      <c r="C35" s="151"/>
      <c r="D35" s="344"/>
      <c r="E35" s="121">
        <v>0.69912037037037045</v>
      </c>
      <c r="F35" s="157"/>
      <c r="G35" s="154"/>
      <c r="H35" s="346"/>
      <c r="I35" s="121">
        <v>0.95459490740740749</v>
      </c>
      <c r="J35" s="172"/>
      <c r="K35" s="154"/>
      <c r="L35" s="349"/>
      <c r="M35" s="171"/>
      <c r="N35" s="171"/>
      <c r="O35" s="171"/>
    </row>
    <row r="36" spans="1:15" ht="18" customHeight="1" x14ac:dyDescent="0.25">
      <c r="A36" s="121">
        <v>0.41425925925925927</v>
      </c>
      <c r="B36" s="172"/>
      <c r="C36" s="151"/>
      <c r="D36" s="344"/>
      <c r="E36" s="121">
        <v>0.70416666666666661</v>
      </c>
      <c r="F36" s="157"/>
      <c r="G36" s="151"/>
      <c r="H36" s="346"/>
      <c r="I36" s="121">
        <v>0.96166666666666656</v>
      </c>
      <c r="J36" s="172"/>
      <c r="K36" s="154"/>
      <c r="L36" s="349"/>
      <c r="M36" s="171"/>
      <c r="N36" s="171"/>
      <c r="O36" s="171"/>
    </row>
    <row r="37" spans="1:15" ht="18" customHeight="1" x14ac:dyDescent="0.25">
      <c r="A37" s="121">
        <v>0.42133101851851856</v>
      </c>
      <c r="B37" s="173"/>
      <c r="C37" s="151"/>
      <c r="D37" s="344"/>
      <c r="E37" s="121">
        <v>0.70921296296296299</v>
      </c>
      <c r="F37" s="158"/>
      <c r="G37" s="151"/>
      <c r="H37" s="347"/>
      <c r="I37" s="121">
        <v>0.96873842592592585</v>
      </c>
      <c r="J37" s="173"/>
      <c r="K37" s="151"/>
      <c r="L37" s="349"/>
      <c r="M37" s="171"/>
      <c r="N37" s="171"/>
      <c r="O37" s="171"/>
    </row>
    <row r="38" spans="1:15" ht="18" customHeight="1" x14ac:dyDescent="0.25">
      <c r="A38" s="121">
        <v>0.42840277777777774</v>
      </c>
      <c r="B38" s="173"/>
      <c r="C38" s="151"/>
      <c r="D38" s="344"/>
      <c r="E38" s="121">
        <v>0.71425925925925926</v>
      </c>
      <c r="F38" s="158"/>
      <c r="G38" s="151"/>
      <c r="H38" s="347"/>
      <c r="I38" s="121">
        <v>0.97581018518518514</v>
      </c>
      <c r="J38" s="173"/>
      <c r="K38" s="151"/>
      <c r="L38" s="349"/>
      <c r="M38" s="171"/>
      <c r="N38" s="171"/>
      <c r="O38" s="171"/>
    </row>
    <row r="39" spans="1:15" ht="18" customHeight="1" x14ac:dyDescent="0.25">
      <c r="A39" s="121">
        <v>0.43547453703703703</v>
      </c>
      <c r="B39" s="173"/>
      <c r="C39" s="151"/>
      <c r="D39" s="344"/>
      <c r="E39" s="121">
        <v>0.71930555555555553</v>
      </c>
      <c r="F39" s="158"/>
      <c r="G39" s="151"/>
      <c r="H39" s="347"/>
      <c r="I39" s="121">
        <v>0.98288194444444443</v>
      </c>
      <c r="J39" s="173"/>
      <c r="K39" s="151"/>
      <c r="L39" s="349"/>
      <c r="M39" s="171"/>
      <c r="N39" s="171"/>
      <c r="O39" s="171"/>
    </row>
    <row r="40" spans="1:15" ht="18" customHeight="1" x14ac:dyDescent="0.25">
      <c r="A40" s="121">
        <v>0.44254629629629627</v>
      </c>
      <c r="B40" s="173"/>
      <c r="C40" s="151"/>
      <c r="D40" s="344"/>
      <c r="E40" s="121">
        <v>0.7243518518518518</v>
      </c>
      <c r="F40" s="158"/>
      <c r="G40" s="151"/>
      <c r="H40" s="347"/>
      <c r="I40" s="128">
        <v>0.99001157407407403</v>
      </c>
      <c r="J40" s="173"/>
      <c r="K40" s="151"/>
      <c r="L40" s="349"/>
      <c r="M40" s="171"/>
      <c r="N40" s="171"/>
      <c r="O40" s="171"/>
    </row>
    <row r="41" spans="1:15" ht="18" customHeight="1" x14ac:dyDescent="0.25">
      <c r="A41" s="121">
        <v>0.44961805555555556</v>
      </c>
      <c r="B41" s="173"/>
      <c r="C41" s="151"/>
      <c r="D41" s="344"/>
      <c r="E41" s="121">
        <v>0.72939814814814818</v>
      </c>
      <c r="F41" s="158"/>
      <c r="G41" s="151"/>
      <c r="H41" s="347"/>
      <c r="I41" s="128">
        <v>0</v>
      </c>
      <c r="J41" s="173"/>
      <c r="K41" s="151"/>
      <c r="L41" s="349"/>
      <c r="M41" s="171"/>
      <c r="N41" s="171"/>
      <c r="O41" s="171"/>
    </row>
    <row r="42" spans="1:15" ht="18" customHeight="1" x14ac:dyDescent="0.25">
      <c r="A42" s="121">
        <v>0.4566898148148148</v>
      </c>
      <c r="B42" s="203"/>
      <c r="C42" s="151"/>
      <c r="D42" s="344"/>
      <c r="E42" s="121">
        <v>0.73444444444444434</v>
      </c>
      <c r="F42" s="206"/>
      <c r="G42" s="205"/>
      <c r="H42" s="347"/>
      <c r="I42" s="190"/>
      <c r="J42" s="203"/>
      <c r="K42" s="205"/>
      <c r="L42" s="349"/>
      <c r="M42" s="171"/>
      <c r="N42" s="171"/>
      <c r="O42" s="171"/>
    </row>
    <row r="43" spans="1:15" ht="18" customHeight="1" x14ac:dyDescent="0.25">
      <c r="A43" s="121">
        <v>0.46376157407407409</v>
      </c>
      <c r="B43" s="203"/>
      <c r="C43" s="151"/>
      <c r="D43" s="204"/>
      <c r="E43" s="121">
        <v>0.73949074074074073</v>
      </c>
      <c r="F43" s="206"/>
      <c r="G43" s="151"/>
      <c r="H43" s="204"/>
      <c r="I43" s="190"/>
      <c r="J43" s="203"/>
      <c r="K43" s="151"/>
      <c r="L43" s="349"/>
      <c r="M43" s="204"/>
      <c r="N43" s="204"/>
      <c r="O43" s="204"/>
    </row>
    <row r="44" spans="1:15" ht="18" customHeight="1" x14ac:dyDescent="0.25">
      <c r="A44" s="121">
        <v>0.47083333333333338</v>
      </c>
      <c r="B44" s="203"/>
      <c r="C44" s="151"/>
      <c r="D44" s="204"/>
      <c r="E44" s="121">
        <v>0.74453703703703711</v>
      </c>
      <c r="F44" s="206"/>
      <c r="G44" s="151"/>
      <c r="H44" s="204"/>
      <c r="I44" s="190"/>
      <c r="J44" s="203"/>
      <c r="K44" s="151"/>
      <c r="L44" s="349"/>
      <c r="M44" s="204"/>
      <c r="N44" s="204"/>
      <c r="O44" s="204"/>
    </row>
    <row r="45" spans="1:15" ht="18" customHeight="1" x14ac:dyDescent="0.25">
      <c r="A45" s="121">
        <v>0.47790509259259256</v>
      </c>
      <c r="B45" s="203"/>
      <c r="C45" s="151"/>
      <c r="D45" s="204"/>
      <c r="E45" s="121">
        <v>0.74958333333333327</v>
      </c>
      <c r="F45" s="206"/>
      <c r="G45" s="151"/>
      <c r="H45" s="204"/>
      <c r="I45" s="190"/>
      <c r="J45" s="203"/>
      <c r="K45" s="151"/>
      <c r="L45" s="349"/>
      <c r="M45" s="204"/>
      <c r="N45" s="204"/>
      <c r="O45" s="204"/>
    </row>
    <row r="46" spans="1:15" ht="18" customHeight="1" x14ac:dyDescent="0.25">
      <c r="A46" s="350" t="s">
        <v>79</v>
      </c>
      <c r="B46" s="351"/>
      <c r="C46" s="351"/>
      <c r="D46" s="351"/>
      <c r="E46" s="351"/>
      <c r="F46" s="352"/>
      <c r="G46" s="353"/>
      <c r="H46" s="354"/>
      <c r="I46" s="354"/>
      <c r="J46" s="354"/>
      <c r="K46" s="355"/>
      <c r="L46" s="349"/>
      <c r="M46" s="204"/>
      <c r="N46" s="204"/>
      <c r="O46" s="204"/>
    </row>
    <row r="47" spans="1:15" ht="18" customHeight="1" x14ac:dyDescent="0.25">
      <c r="A47" s="356"/>
      <c r="B47" s="357"/>
      <c r="C47" s="357"/>
      <c r="D47" s="159"/>
      <c r="E47" s="160"/>
      <c r="F47" s="159"/>
      <c r="G47" s="159"/>
      <c r="H47" s="159"/>
      <c r="I47" s="161"/>
      <c r="J47" s="162"/>
      <c r="K47" s="163"/>
      <c r="L47" s="164"/>
      <c r="M47" s="204"/>
      <c r="N47" s="204"/>
      <c r="O47" s="204"/>
    </row>
    <row r="48" spans="1:15" ht="18" customHeight="1" x14ac:dyDescent="0.25">
      <c r="A48" s="358" t="s">
        <v>80</v>
      </c>
      <c r="B48" s="359"/>
      <c r="C48" s="360"/>
      <c r="D48" s="159"/>
      <c r="E48" s="361" t="s">
        <v>81</v>
      </c>
      <c r="F48" s="362"/>
      <c r="G48" s="362"/>
      <c r="H48" s="362"/>
      <c r="I48" s="362"/>
      <c r="J48" s="362"/>
      <c r="K48" s="362"/>
      <c r="L48" s="363"/>
      <c r="M48" s="204"/>
      <c r="N48" s="204"/>
      <c r="O48" s="204"/>
    </row>
    <row r="49" spans="1:15" ht="18" customHeight="1" x14ac:dyDescent="0.25">
      <c r="A49" s="165" t="s">
        <v>82</v>
      </c>
      <c r="B49" s="370"/>
      <c r="C49" s="371"/>
      <c r="D49" s="159"/>
      <c r="E49" s="364"/>
      <c r="F49" s="365"/>
      <c r="G49" s="365"/>
      <c r="H49" s="365"/>
      <c r="I49" s="365"/>
      <c r="J49" s="365"/>
      <c r="K49" s="365"/>
      <c r="L49" s="366"/>
      <c r="M49" s="204"/>
      <c r="N49" s="204"/>
      <c r="O49" s="204"/>
    </row>
    <row r="50" spans="1:15" ht="18" customHeight="1" x14ac:dyDescent="0.25">
      <c r="A50" s="165" t="s">
        <v>76</v>
      </c>
      <c r="B50" s="370"/>
      <c r="C50" s="371"/>
      <c r="D50" s="159"/>
      <c r="E50" s="364"/>
      <c r="F50" s="365"/>
      <c r="G50" s="365"/>
      <c r="H50" s="365"/>
      <c r="I50" s="365"/>
      <c r="J50" s="365"/>
      <c r="K50" s="365"/>
      <c r="L50" s="366"/>
      <c r="M50" s="204"/>
      <c r="N50" s="204"/>
      <c r="O50" s="204"/>
    </row>
    <row r="51" spans="1:15" ht="18" customHeight="1" x14ac:dyDescent="0.25">
      <c r="A51" s="165" t="s">
        <v>77</v>
      </c>
      <c r="B51" s="370"/>
      <c r="C51" s="371"/>
      <c r="D51" s="159"/>
      <c r="E51" s="364"/>
      <c r="F51" s="365"/>
      <c r="G51" s="365"/>
      <c r="H51" s="365"/>
      <c r="I51" s="365"/>
      <c r="J51" s="365"/>
      <c r="K51" s="365"/>
      <c r="L51" s="366"/>
      <c r="M51" s="204"/>
      <c r="N51" s="204"/>
      <c r="O51" s="204"/>
    </row>
    <row r="52" spans="1:15" ht="18" customHeight="1" thickBot="1" x14ac:dyDescent="0.3">
      <c r="A52" s="166" t="s">
        <v>83</v>
      </c>
      <c r="B52" s="372"/>
      <c r="C52" s="372"/>
      <c r="D52" s="167"/>
      <c r="E52" s="367"/>
      <c r="F52" s="368"/>
      <c r="G52" s="368"/>
      <c r="H52" s="368"/>
      <c r="I52" s="368"/>
      <c r="J52" s="368"/>
      <c r="K52" s="368"/>
      <c r="L52" s="369"/>
      <c r="M52" s="176"/>
      <c r="N52" s="176"/>
      <c r="O52" s="176"/>
    </row>
    <row r="53" spans="1:15" ht="18" customHeight="1" x14ac:dyDescent="0.25">
      <c r="A53" s="159"/>
      <c r="B53" s="159"/>
      <c r="C53" s="159"/>
      <c r="D53" s="159"/>
      <c r="E53" s="159"/>
      <c r="F53" s="159"/>
      <c r="G53" s="159"/>
      <c r="H53" s="159"/>
      <c r="I53" s="177"/>
      <c r="J53" s="177"/>
      <c r="K53" s="178"/>
    </row>
    <row r="54" spans="1:15" ht="18" customHeight="1" x14ac:dyDescent="0.25">
      <c r="A54" s="159"/>
      <c r="B54" s="159"/>
      <c r="C54" s="159"/>
      <c r="D54" s="159"/>
      <c r="E54" s="159"/>
      <c r="F54" s="159"/>
      <c r="G54" s="159"/>
      <c r="H54" s="159"/>
      <c r="I54" s="177"/>
      <c r="J54" s="177"/>
      <c r="K54" s="178"/>
    </row>
    <row r="55" spans="1:15" ht="15" x14ac:dyDescent="0.25">
      <c r="A55" s="159"/>
      <c r="B55" s="159"/>
      <c r="C55" s="159"/>
      <c r="D55" s="159"/>
      <c r="E55" s="159"/>
      <c r="F55" s="159"/>
      <c r="G55" s="159"/>
      <c r="H55" s="159"/>
      <c r="I55" s="177"/>
      <c r="J55" s="177"/>
      <c r="K55" s="178"/>
    </row>
    <row r="56" spans="1:15" ht="15" x14ac:dyDescent="0.25">
      <c r="A56" s="159"/>
      <c r="B56" s="159"/>
      <c r="C56" s="159"/>
      <c r="D56" s="159"/>
      <c r="E56" s="159"/>
      <c r="F56" s="159"/>
      <c r="G56" s="159"/>
      <c r="H56" s="159"/>
      <c r="I56" s="177"/>
      <c r="J56" s="177"/>
      <c r="K56" s="177"/>
    </row>
    <row r="57" spans="1:15" ht="15" x14ac:dyDescent="0.25">
      <c r="A57" s="159"/>
      <c r="B57" s="159"/>
      <c r="C57" s="159"/>
      <c r="D57" s="159"/>
      <c r="E57" s="159"/>
      <c r="F57" s="159"/>
      <c r="G57" s="159"/>
      <c r="H57" s="159"/>
      <c r="I57" s="177"/>
      <c r="J57" s="177"/>
      <c r="K57" s="177"/>
    </row>
    <row r="58" spans="1:15" ht="15" x14ac:dyDescent="0.25">
      <c r="I58" s="179"/>
      <c r="J58" s="179"/>
      <c r="K58" s="179"/>
    </row>
    <row r="59" spans="1:15" ht="15" x14ac:dyDescent="0.25">
      <c r="I59" s="179"/>
      <c r="J59" s="179"/>
      <c r="K59" s="179"/>
    </row>
    <row r="60" spans="1:15" ht="15" x14ac:dyDescent="0.25">
      <c r="I60" s="179"/>
      <c r="J60" s="179"/>
      <c r="K60" s="179"/>
    </row>
  </sheetData>
  <mergeCells count="17">
    <mergeCell ref="A47:C47"/>
    <mergeCell ref="A48:C48"/>
    <mergeCell ref="E48:L52"/>
    <mergeCell ref="B49:C49"/>
    <mergeCell ref="B50:C50"/>
    <mergeCell ref="B51:C51"/>
    <mergeCell ref="B52:C52"/>
    <mergeCell ref="A1:C1"/>
    <mergeCell ref="E1:K1"/>
    <mergeCell ref="D2:D42"/>
    <mergeCell ref="H2:H42"/>
    <mergeCell ref="L3:L11"/>
    <mergeCell ref="L13:L18"/>
    <mergeCell ref="L20:L25"/>
    <mergeCell ref="L27:L46"/>
    <mergeCell ref="A46:F46"/>
    <mergeCell ref="G46:K46"/>
  </mergeCells>
  <pageMargins left="0.70866141732283472" right="0.31496062992125984" top="0.55118110236220474" bottom="0.35433070866141736" header="0.31496062992125984" footer="0.31496062992125984"/>
  <pageSetup paperSize="9" scale="8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4"/>
  <dimension ref="A1:K6389"/>
  <sheetViews>
    <sheetView topLeftCell="A456" zoomScaleNormal="100" workbookViewId="0">
      <selection activeCell="J260" sqref="J260"/>
    </sheetView>
  </sheetViews>
  <sheetFormatPr defaultRowHeight="15" x14ac:dyDescent="0.25"/>
  <cols>
    <col min="1" max="1" width="5.7109375" style="224" bestFit="1" customWidth="1"/>
    <col min="2" max="2" width="8.42578125" style="224" bestFit="1" customWidth="1"/>
    <col min="3" max="3" width="13.28515625" style="224" bestFit="1" customWidth="1"/>
    <col min="4" max="4" width="22.140625" style="224" bestFit="1" customWidth="1"/>
    <col min="5" max="5" width="18.140625" style="224" bestFit="1" customWidth="1"/>
    <col min="6" max="6" width="12.85546875" style="224" bestFit="1" customWidth="1"/>
    <col min="7" max="7" width="13.7109375" style="224" bestFit="1" customWidth="1"/>
    <col min="8" max="8" width="13.28515625" style="224" bestFit="1" customWidth="1"/>
    <col min="9" max="9" width="12.7109375" style="224" bestFit="1" customWidth="1"/>
    <col min="10" max="10" width="24.140625" style="224" bestFit="1" customWidth="1"/>
    <col min="11" max="11" width="24" style="224" bestFit="1" customWidth="1"/>
    <col min="12" max="16384" width="9.140625" style="224"/>
  </cols>
  <sheetData>
    <row r="1" spans="1:11" x14ac:dyDescent="0.25">
      <c r="A1" t="s">
        <v>25</v>
      </c>
      <c r="B1" t="s">
        <v>26</v>
      </c>
      <c r="C1" t="s">
        <v>94</v>
      </c>
      <c r="D1" t="s">
        <v>27</v>
      </c>
      <c r="E1" t="s">
        <v>28</v>
      </c>
      <c r="F1" t="s">
        <v>29</v>
      </c>
      <c r="G1" t="s">
        <v>95</v>
      </c>
      <c r="H1" t="s">
        <v>96</v>
      </c>
      <c r="I1" t="s">
        <v>30</v>
      </c>
      <c r="J1" t="s">
        <v>97</v>
      </c>
      <c r="K1" t="s">
        <v>98</v>
      </c>
    </row>
    <row r="2" spans="1:11" x14ac:dyDescent="0.25">
      <c r="A2">
        <v>3</v>
      </c>
      <c r="B2">
        <v>1</v>
      </c>
      <c r="C2"/>
      <c r="D2" t="s">
        <v>31</v>
      </c>
      <c r="E2" t="s">
        <v>32</v>
      </c>
      <c r="F2" t="s">
        <v>33</v>
      </c>
      <c r="G2" s="118">
        <v>0.24894675925925927</v>
      </c>
      <c r="H2"/>
      <c r="I2" s="118">
        <v>9.6064814814814808E-4</v>
      </c>
      <c r="J2"/>
      <c r="K2" s="118">
        <v>5.8912037037037032E-3</v>
      </c>
    </row>
    <row r="3" spans="1:11" x14ac:dyDescent="0.25">
      <c r="A3">
        <v>5</v>
      </c>
      <c r="B3">
        <v>1</v>
      </c>
      <c r="C3"/>
      <c r="D3" t="s">
        <v>31</v>
      </c>
      <c r="E3" t="s">
        <v>32</v>
      </c>
      <c r="F3" t="s">
        <v>39</v>
      </c>
      <c r="G3" s="118">
        <v>0.24989583333333334</v>
      </c>
      <c r="H3"/>
      <c r="I3" s="118">
        <v>1.8055555555555557E-3</v>
      </c>
      <c r="J3"/>
      <c r="K3" s="118">
        <v>5.8912037037037032E-3</v>
      </c>
    </row>
    <row r="4" spans="1:11" x14ac:dyDescent="0.25">
      <c r="A4">
        <v>3</v>
      </c>
      <c r="B4">
        <v>1</v>
      </c>
      <c r="C4"/>
      <c r="D4" t="s">
        <v>31</v>
      </c>
      <c r="E4" t="s">
        <v>35</v>
      </c>
      <c r="F4" t="s">
        <v>36</v>
      </c>
      <c r="G4" s="118">
        <v>0.24990740740740738</v>
      </c>
      <c r="H4" s="118">
        <v>9.6064814814814808E-4</v>
      </c>
      <c r="I4" s="118">
        <v>3.4722222222222224E-4</v>
      </c>
      <c r="J4"/>
      <c r="K4"/>
    </row>
    <row r="5" spans="1:11" x14ac:dyDescent="0.25">
      <c r="A5">
        <v>6</v>
      </c>
      <c r="B5">
        <v>1</v>
      </c>
      <c r="C5"/>
      <c r="D5" t="s">
        <v>31</v>
      </c>
      <c r="E5" t="s">
        <v>32</v>
      </c>
      <c r="F5" t="s">
        <v>38</v>
      </c>
      <c r="G5" s="118">
        <v>0.24995370370370371</v>
      </c>
      <c r="H5"/>
      <c r="I5" s="118">
        <v>1.2384259259259258E-3</v>
      </c>
      <c r="J5"/>
      <c r="K5" s="118">
        <v>6.4583333333333333E-3</v>
      </c>
    </row>
    <row r="6" spans="1:11" x14ac:dyDescent="0.25">
      <c r="A6">
        <v>1</v>
      </c>
      <c r="B6">
        <v>1</v>
      </c>
      <c r="C6"/>
      <c r="D6" t="s">
        <v>31</v>
      </c>
      <c r="E6" t="s">
        <v>32</v>
      </c>
      <c r="F6" t="s">
        <v>92</v>
      </c>
      <c r="G6" s="118">
        <v>0.25</v>
      </c>
      <c r="H6"/>
      <c r="I6" s="118">
        <v>1.0069444444444444E-3</v>
      </c>
      <c r="J6"/>
      <c r="K6" s="118">
        <v>5.8912037037037032E-3</v>
      </c>
    </row>
    <row r="7" spans="1:11" x14ac:dyDescent="0.25">
      <c r="A7">
        <v>2</v>
      </c>
      <c r="B7">
        <v>1</v>
      </c>
      <c r="C7"/>
      <c r="D7" t="s">
        <v>31</v>
      </c>
      <c r="E7" t="s">
        <v>32</v>
      </c>
      <c r="F7" t="s">
        <v>37</v>
      </c>
      <c r="G7" s="118">
        <v>0.2502199074074074</v>
      </c>
      <c r="H7"/>
      <c r="I7" s="118">
        <v>9.0277777777777784E-4</v>
      </c>
      <c r="J7"/>
      <c r="K7" s="118">
        <v>5.8912037037037032E-3</v>
      </c>
    </row>
    <row r="8" spans="1:11" x14ac:dyDescent="0.25">
      <c r="A8">
        <v>3</v>
      </c>
      <c r="B8">
        <v>1</v>
      </c>
      <c r="C8"/>
      <c r="D8" t="s">
        <v>31</v>
      </c>
      <c r="E8" t="s">
        <v>32</v>
      </c>
      <c r="F8" t="s">
        <v>36</v>
      </c>
      <c r="G8" s="118">
        <v>0.25025462962962963</v>
      </c>
      <c r="H8" s="118">
        <v>3.4722222222222224E-4</v>
      </c>
      <c r="I8" s="118">
        <v>1.0995370370370371E-3</v>
      </c>
      <c r="J8"/>
      <c r="K8" s="118">
        <v>5.8912037037037032E-3</v>
      </c>
    </row>
    <row r="9" spans="1:11" x14ac:dyDescent="0.25">
      <c r="A9">
        <v>4</v>
      </c>
      <c r="B9">
        <v>1</v>
      </c>
      <c r="C9"/>
      <c r="D9" t="s">
        <v>31</v>
      </c>
      <c r="E9" t="s">
        <v>32</v>
      </c>
      <c r="F9" t="s">
        <v>40</v>
      </c>
      <c r="G9" s="118">
        <v>0.25033564814814818</v>
      </c>
      <c r="H9"/>
      <c r="I9" s="118">
        <v>1.0069444444444444E-3</v>
      </c>
      <c r="J9"/>
      <c r="K9" s="118">
        <v>5.8912037037037032E-3</v>
      </c>
    </row>
    <row r="10" spans="1:11" x14ac:dyDescent="0.25">
      <c r="A10">
        <v>1</v>
      </c>
      <c r="B10">
        <v>1</v>
      </c>
      <c r="C10"/>
      <c r="D10" t="s">
        <v>31</v>
      </c>
      <c r="E10" t="s">
        <v>35</v>
      </c>
      <c r="F10" t="s">
        <v>41</v>
      </c>
      <c r="G10" s="118">
        <v>0.25100694444444444</v>
      </c>
      <c r="H10" s="118">
        <v>1.0069444444444444E-3</v>
      </c>
      <c r="I10" s="118">
        <v>3.4722222222222224E-4</v>
      </c>
      <c r="J10"/>
      <c r="K10"/>
    </row>
    <row r="11" spans="1:11" x14ac:dyDescent="0.25">
      <c r="A11">
        <v>2</v>
      </c>
      <c r="B11">
        <v>1</v>
      </c>
      <c r="C11"/>
      <c r="D11" t="s">
        <v>31</v>
      </c>
      <c r="E11" t="s">
        <v>35</v>
      </c>
      <c r="F11" t="s">
        <v>42</v>
      </c>
      <c r="G11" s="118">
        <v>0.25112268518518516</v>
      </c>
      <c r="H11" s="118">
        <v>9.0277777777777784E-4</v>
      </c>
      <c r="I11" s="118">
        <v>3.4722222222222224E-4</v>
      </c>
      <c r="J11"/>
      <c r="K11"/>
    </row>
    <row r="12" spans="1:11" x14ac:dyDescent="0.25">
      <c r="A12">
        <v>6</v>
      </c>
      <c r="B12">
        <v>1</v>
      </c>
      <c r="C12"/>
      <c r="D12" t="s">
        <v>31</v>
      </c>
      <c r="E12" t="s">
        <v>35</v>
      </c>
      <c r="F12" t="s">
        <v>45</v>
      </c>
      <c r="G12" s="118">
        <v>0.25119212962962961</v>
      </c>
      <c r="H12" s="118">
        <v>1.2384259259259258E-3</v>
      </c>
      <c r="I12" s="118">
        <v>3.4722222222222224E-4</v>
      </c>
      <c r="J12"/>
      <c r="K12"/>
    </row>
    <row r="13" spans="1:11" x14ac:dyDescent="0.25">
      <c r="A13">
        <v>4</v>
      </c>
      <c r="B13">
        <v>1</v>
      </c>
      <c r="C13"/>
      <c r="D13" t="s">
        <v>31</v>
      </c>
      <c r="E13" t="s">
        <v>35</v>
      </c>
      <c r="F13" t="s">
        <v>44</v>
      </c>
      <c r="G13" s="118">
        <v>0.25134259259259256</v>
      </c>
      <c r="H13" s="118">
        <v>1.0069444444444444E-3</v>
      </c>
      <c r="I13" s="118">
        <v>3.4722222222222224E-4</v>
      </c>
      <c r="J13"/>
      <c r="K13"/>
    </row>
    <row r="14" spans="1:11" x14ac:dyDescent="0.25">
      <c r="A14">
        <v>1</v>
      </c>
      <c r="B14">
        <v>1</v>
      </c>
      <c r="C14"/>
      <c r="D14" t="s">
        <v>31</v>
      </c>
      <c r="E14" t="s">
        <v>32</v>
      </c>
      <c r="F14" t="s">
        <v>41</v>
      </c>
      <c r="G14" s="118">
        <v>0.25135416666666666</v>
      </c>
      <c r="H14" s="118">
        <v>3.4722222222222224E-4</v>
      </c>
      <c r="I14" s="118">
        <v>8.564814814814815E-4</v>
      </c>
      <c r="J14"/>
      <c r="K14" s="118">
        <v>5.8912037037037032E-3</v>
      </c>
    </row>
    <row r="15" spans="1:11" x14ac:dyDescent="0.25">
      <c r="A15">
        <v>3</v>
      </c>
      <c r="B15">
        <v>1</v>
      </c>
      <c r="C15"/>
      <c r="D15" t="s">
        <v>31</v>
      </c>
      <c r="E15" t="s">
        <v>35</v>
      </c>
      <c r="F15" t="s">
        <v>43</v>
      </c>
      <c r="G15" s="118">
        <v>0.25135416666666666</v>
      </c>
      <c r="H15" s="118">
        <v>1.0995370370370371E-3</v>
      </c>
      <c r="I15" s="118">
        <v>3.4722222222222224E-4</v>
      </c>
      <c r="J15"/>
      <c r="K15"/>
    </row>
    <row r="16" spans="1:11" x14ac:dyDescent="0.25">
      <c r="A16">
        <v>2</v>
      </c>
      <c r="B16">
        <v>1</v>
      </c>
      <c r="C16"/>
      <c r="D16" t="s">
        <v>31</v>
      </c>
      <c r="E16" t="s">
        <v>32</v>
      </c>
      <c r="F16" t="s">
        <v>42</v>
      </c>
      <c r="G16" s="118">
        <v>0.25146990740740743</v>
      </c>
      <c r="H16" s="118">
        <v>3.4722222222222224E-4</v>
      </c>
      <c r="I16" s="118">
        <v>9.1435185185185185E-4</v>
      </c>
      <c r="J16"/>
      <c r="K16" s="118">
        <v>5.8912037037037032E-3</v>
      </c>
    </row>
    <row r="17" spans="1:11" x14ac:dyDescent="0.25">
      <c r="A17">
        <v>6</v>
      </c>
      <c r="B17">
        <v>1</v>
      </c>
      <c r="C17"/>
      <c r="D17" t="s">
        <v>31</v>
      </c>
      <c r="E17" t="s">
        <v>32</v>
      </c>
      <c r="F17" t="s">
        <v>45</v>
      </c>
      <c r="G17" s="118">
        <v>0.25153935185185183</v>
      </c>
      <c r="H17" s="118">
        <v>3.4722222222222224E-4</v>
      </c>
      <c r="I17" s="118">
        <v>1.0416666666666667E-3</v>
      </c>
      <c r="J17"/>
      <c r="K17" s="118">
        <v>6.4583333333333333E-3</v>
      </c>
    </row>
    <row r="18" spans="1:11" x14ac:dyDescent="0.25">
      <c r="A18">
        <v>4</v>
      </c>
      <c r="B18">
        <v>1</v>
      </c>
      <c r="C18"/>
      <c r="D18" t="s">
        <v>31</v>
      </c>
      <c r="E18" t="s">
        <v>32</v>
      </c>
      <c r="F18" t="s">
        <v>44</v>
      </c>
      <c r="G18" s="118">
        <v>0.25168981481481484</v>
      </c>
      <c r="H18" s="118">
        <v>3.4722222222222224E-4</v>
      </c>
      <c r="I18" s="118">
        <v>9.2592592592592585E-4</v>
      </c>
      <c r="J18"/>
      <c r="K18" s="118">
        <v>5.8912037037037032E-3</v>
      </c>
    </row>
    <row r="19" spans="1:11" x14ac:dyDescent="0.25">
      <c r="A19">
        <v>3</v>
      </c>
      <c r="B19">
        <v>1</v>
      </c>
      <c r="C19"/>
      <c r="D19" t="s">
        <v>31</v>
      </c>
      <c r="E19" t="s">
        <v>32</v>
      </c>
      <c r="F19" t="s">
        <v>43</v>
      </c>
      <c r="G19" s="118">
        <v>0.25170138888888888</v>
      </c>
      <c r="H19" s="118">
        <v>3.4722222222222224E-4</v>
      </c>
      <c r="I19" s="118">
        <v>1.1458333333333333E-3</v>
      </c>
      <c r="J19"/>
      <c r="K19" s="118">
        <v>5.8912037037037032E-3</v>
      </c>
    </row>
    <row r="20" spans="1:11" x14ac:dyDescent="0.25">
      <c r="A20">
        <v>5</v>
      </c>
      <c r="B20">
        <v>1</v>
      </c>
      <c r="C20"/>
      <c r="D20" t="s">
        <v>31</v>
      </c>
      <c r="E20" t="s">
        <v>35</v>
      </c>
      <c r="F20" t="s">
        <v>46</v>
      </c>
      <c r="G20" s="118">
        <v>0.25170138888888888</v>
      </c>
      <c r="H20" s="118">
        <v>1.8055555555555557E-3</v>
      </c>
      <c r="I20" s="118">
        <v>3.4722222222222224E-4</v>
      </c>
      <c r="J20"/>
      <c r="K20"/>
    </row>
    <row r="21" spans="1:11" x14ac:dyDescent="0.25">
      <c r="A21">
        <v>5</v>
      </c>
      <c r="B21">
        <v>1</v>
      </c>
      <c r="C21"/>
      <c r="D21" t="s">
        <v>31</v>
      </c>
      <c r="E21" t="s">
        <v>32</v>
      </c>
      <c r="F21" t="s">
        <v>46</v>
      </c>
      <c r="G21" s="118">
        <v>0.2520486111111111</v>
      </c>
      <c r="H21" s="118">
        <v>3.4722222222222224E-4</v>
      </c>
      <c r="I21" s="118">
        <v>9.1435185185185185E-4</v>
      </c>
      <c r="J21"/>
      <c r="K21" s="118">
        <v>5.8912037037037032E-3</v>
      </c>
    </row>
    <row r="22" spans="1:11" x14ac:dyDescent="0.25">
      <c r="A22">
        <v>1</v>
      </c>
      <c r="B22">
        <v>1</v>
      </c>
      <c r="C22"/>
      <c r="D22" t="s">
        <v>31</v>
      </c>
      <c r="E22" t="s">
        <v>35</v>
      </c>
      <c r="F22" t="s">
        <v>47</v>
      </c>
      <c r="G22" s="118">
        <v>0.25221064814814814</v>
      </c>
      <c r="H22" s="118">
        <v>8.564814814814815E-4</v>
      </c>
      <c r="I22" s="118">
        <v>5.2083333333333333E-4</v>
      </c>
      <c r="J22"/>
      <c r="K22"/>
    </row>
    <row r="23" spans="1:11" x14ac:dyDescent="0.25">
      <c r="A23">
        <v>2</v>
      </c>
      <c r="B23">
        <v>1</v>
      </c>
      <c r="C23"/>
      <c r="D23" t="s">
        <v>31</v>
      </c>
      <c r="E23" t="s">
        <v>35</v>
      </c>
      <c r="F23" t="s">
        <v>48</v>
      </c>
      <c r="G23" s="118">
        <v>0.25238425925925928</v>
      </c>
      <c r="H23" s="118">
        <v>9.1435185185185185E-4</v>
      </c>
      <c r="I23" s="118">
        <v>5.2083333333333333E-4</v>
      </c>
      <c r="J23"/>
      <c r="K23"/>
    </row>
    <row r="24" spans="1:11" x14ac:dyDescent="0.25">
      <c r="A24">
        <v>6</v>
      </c>
      <c r="B24">
        <v>1</v>
      </c>
      <c r="C24"/>
      <c r="D24" t="s">
        <v>31</v>
      </c>
      <c r="E24" t="s">
        <v>35</v>
      </c>
      <c r="F24" t="s">
        <v>52</v>
      </c>
      <c r="G24" s="118">
        <v>0.2525810185185185</v>
      </c>
      <c r="H24" s="118">
        <v>1.0416666666666667E-3</v>
      </c>
      <c r="I24" s="118">
        <v>3.4722222222222224E-4</v>
      </c>
      <c r="J24"/>
      <c r="K24"/>
    </row>
    <row r="25" spans="1:11" x14ac:dyDescent="0.25">
      <c r="A25">
        <v>4</v>
      </c>
      <c r="B25">
        <v>1</v>
      </c>
      <c r="C25"/>
      <c r="D25" t="s">
        <v>31</v>
      </c>
      <c r="E25" t="s">
        <v>35</v>
      </c>
      <c r="F25" t="s">
        <v>49</v>
      </c>
      <c r="G25" s="118">
        <v>0.25261574074074072</v>
      </c>
      <c r="H25" s="118">
        <v>9.2592592592592585E-4</v>
      </c>
      <c r="I25" s="118">
        <v>3.4722222222222224E-4</v>
      </c>
      <c r="J25"/>
      <c r="K25"/>
    </row>
    <row r="26" spans="1:11" x14ac:dyDescent="0.25">
      <c r="A26">
        <v>1</v>
      </c>
      <c r="B26">
        <v>1</v>
      </c>
      <c r="C26"/>
      <c r="D26" t="s">
        <v>31</v>
      </c>
      <c r="E26" t="s">
        <v>32</v>
      </c>
      <c r="F26" t="s">
        <v>47</v>
      </c>
      <c r="G26" s="118">
        <v>0.25273148148148145</v>
      </c>
      <c r="H26" s="118">
        <v>5.2083333333333333E-4</v>
      </c>
      <c r="I26" s="118">
        <v>8.7962962962962962E-4</v>
      </c>
      <c r="J26"/>
      <c r="K26" s="118">
        <v>5.8912037037037032E-3</v>
      </c>
    </row>
    <row r="27" spans="1:11" x14ac:dyDescent="0.25">
      <c r="A27">
        <v>3</v>
      </c>
      <c r="B27">
        <v>1</v>
      </c>
      <c r="C27"/>
      <c r="D27" t="s">
        <v>31</v>
      </c>
      <c r="E27" t="s">
        <v>35</v>
      </c>
      <c r="F27" t="s">
        <v>50</v>
      </c>
      <c r="G27" s="118">
        <v>0.25284722222222222</v>
      </c>
      <c r="H27" s="118">
        <v>1.1458333333333333E-3</v>
      </c>
      <c r="I27" s="118">
        <v>3.4722222222222224E-4</v>
      </c>
      <c r="J27"/>
      <c r="K27"/>
    </row>
    <row r="28" spans="1:11" x14ac:dyDescent="0.25">
      <c r="A28">
        <v>2</v>
      </c>
      <c r="B28">
        <v>1</v>
      </c>
      <c r="C28"/>
      <c r="D28" t="s">
        <v>31</v>
      </c>
      <c r="E28" t="s">
        <v>32</v>
      </c>
      <c r="F28" t="s">
        <v>48</v>
      </c>
      <c r="G28" s="118">
        <v>0.25290509259259258</v>
      </c>
      <c r="H28" s="118">
        <v>5.2083333333333333E-4</v>
      </c>
      <c r="I28" s="118">
        <v>8.6805555555555551E-4</v>
      </c>
      <c r="J28"/>
      <c r="K28" s="118">
        <v>5.8912037037037032E-3</v>
      </c>
    </row>
    <row r="29" spans="1:11" x14ac:dyDescent="0.25">
      <c r="A29">
        <v>6</v>
      </c>
      <c r="B29">
        <v>1</v>
      </c>
      <c r="C29"/>
      <c r="D29" t="s">
        <v>31</v>
      </c>
      <c r="E29" t="s">
        <v>32</v>
      </c>
      <c r="F29" t="s">
        <v>52</v>
      </c>
      <c r="G29" s="118">
        <v>0.25292824074074077</v>
      </c>
      <c r="H29" s="118">
        <v>3.4722222222222224E-4</v>
      </c>
      <c r="I29" s="118">
        <v>1.0532407407407407E-3</v>
      </c>
      <c r="J29"/>
      <c r="K29" s="118">
        <v>6.4583333333333333E-3</v>
      </c>
    </row>
    <row r="30" spans="1:11" x14ac:dyDescent="0.25">
      <c r="A30">
        <v>4</v>
      </c>
      <c r="B30">
        <v>1</v>
      </c>
      <c r="C30"/>
      <c r="D30" t="s">
        <v>31</v>
      </c>
      <c r="E30" t="s">
        <v>32</v>
      </c>
      <c r="F30" t="s">
        <v>49</v>
      </c>
      <c r="G30" s="118">
        <v>0.25296296296296295</v>
      </c>
      <c r="H30" s="118">
        <v>3.4722222222222224E-4</v>
      </c>
      <c r="I30" s="118">
        <v>1.3541666666666667E-3</v>
      </c>
      <c r="J30"/>
      <c r="K30" s="118">
        <v>5.8912037037037032E-3</v>
      </c>
    </row>
    <row r="31" spans="1:11" x14ac:dyDescent="0.25">
      <c r="A31">
        <v>5</v>
      </c>
      <c r="B31">
        <v>1</v>
      </c>
      <c r="C31"/>
      <c r="D31" t="s">
        <v>31</v>
      </c>
      <c r="E31" t="s">
        <v>35</v>
      </c>
      <c r="F31" t="s">
        <v>51</v>
      </c>
      <c r="G31" s="118">
        <v>0.25296296296296295</v>
      </c>
      <c r="H31" s="118">
        <v>9.1435185185185185E-4</v>
      </c>
      <c r="I31" s="118">
        <v>3.4722222222222224E-4</v>
      </c>
      <c r="J31"/>
      <c r="K31"/>
    </row>
    <row r="32" spans="1:11" x14ac:dyDescent="0.25">
      <c r="A32">
        <v>3</v>
      </c>
      <c r="B32">
        <v>1</v>
      </c>
      <c r="C32"/>
      <c r="D32" t="s">
        <v>31</v>
      </c>
      <c r="E32" t="s">
        <v>32</v>
      </c>
      <c r="F32" t="s">
        <v>50</v>
      </c>
      <c r="G32" s="118">
        <v>0.25319444444444444</v>
      </c>
      <c r="H32" s="118">
        <v>3.4722222222222224E-4</v>
      </c>
      <c r="I32" s="118">
        <v>1.261574074074074E-3</v>
      </c>
      <c r="J32"/>
      <c r="K32" s="118">
        <v>5.8912037037037032E-3</v>
      </c>
    </row>
    <row r="33" spans="1:11" x14ac:dyDescent="0.25">
      <c r="A33">
        <v>5</v>
      </c>
      <c r="B33">
        <v>1</v>
      </c>
      <c r="C33"/>
      <c r="D33" t="s">
        <v>31</v>
      </c>
      <c r="E33" t="s">
        <v>32</v>
      </c>
      <c r="F33" t="s">
        <v>51</v>
      </c>
      <c r="G33" s="118">
        <v>0.25331018518518517</v>
      </c>
      <c r="H33" s="118">
        <v>3.4722222222222224E-4</v>
      </c>
      <c r="I33" s="118">
        <v>1.0069444444444444E-3</v>
      </c>
      <c r="J33"/>
      <c r="K33" s="118">
        <v>5.8912037037037032E-3</v>
      </c>
    </row>
    <row r="34" spans="1:11" x14ac:dyDescent="0.25">
      <c r="A34">
        <v>1</v>
      </c>
      <c r="B34">
        <v>1</v>
      </c>
      <c r="C34"/>
      <c r="D34" t="s">
        <v>31</v>
      </c>
      <c r="E34" t="s">
        <v>35</v>
      </c>
      <c r="F34" t="s">
        <v>53</v>
      </c>
      <c r="G34" s="118">
        <v>0.25361111111111112</v>
      </c>
      <c r="H34" s="118">
        <v>8.7962962962962962E-4</v>
      </c>
      <c r="I34" s="118">
        <v>3.4722222222222224E-4</v>
      </c>
      <c r="J34"/>
      <c r="K34"/>
    </row>
    <row r="35" spans="1:11" x14ac:dyDescent="0.25">
      <c r="A35">
        <v>2</v>
      </c>
      <c r="B35">
        <v>1</v>
      </c>
      <c r="C35"/>
      <c r="D35" t="s">
        <v>31</v>
      </c>
      <c r="E35" t="s">
        <v>35</v>
      </c>
      <c r="F35" t="s">
        <v>54</v>
      </c>
      <c r="G35" s="118">
        <v>0.25377314814814816</v>
      </c>
      <c r="H35" s="118">
        <v>8.6805555555555551E-4</v>
      </c>
      <c r="I35" s="118">
        <v>3.4722222222222224E-4</v>
      </c>
      <c r="J35"/>
      <c r="K35"/>
    </row>
    <row r="36" spans="1:11" x14ac:dyDescent="0.25">
      <c r="A36">
        <v>1</v>
      </c>
      <c r="B36">
        <v>1</v>
      </c>
      <c r="C36"/>
      <c r="D36" t="s">
        <v>31</v>
      </c>
      <c r="E36" t="s">
        <v>32</v>
      </c>
      <c r="F36" t="s">
        <v>53</v>
      </c>
      <c r="G36" s="118">
        <v>0.25395833333333334</v>
      </c>
      <c r="H36" s="118">
        <v>3.4722222222222224E-4</v>
      </c>
      <c r="I36" s="118">
        <v>8.449074074074075E-4</v>
      </c>
      <c r="J36"/>
      <c r="K36" s="118">
        <v>5.8912037037037032E-3</v>
      </c>
    </row>
    <row r="37" spans="1:11" x14ac:dyDescent="0.25">
      <c r="A37">
        <v>6</v>
      </c>
      <c r="B37">
        <v>1</v>
      </c>
      <c r="C37"/>
      <c r="D37" t="s">
        <v>31</v>
      </c>
      <c r="E37" t="s">
        <v>35</v>
      </c>
      <c r="F37" t="s">
        <v>57</v>
      </c>
      <c r="G37" s="118">
        <v>0.25398148148148147</v>
      </c>
      <c r="H37" s="118">
        <v>1.0532407407407407E-3</v>
      </c>
      <c r="I37" s="118">
        <v>3.4722222222222224E-4</v>
      </c>
      <c r="J37"/>
      <c r="K37"/>
    </row>
    <row r="38" spans="1:11" x14ac:dyDescent="0.25">
      <c r="A38">
        <v>2</v>
      </c>
      <c r="B38">
        <v>1</v>
      </c>
      <c r="C38"/>
      <c r="D38" t="s">
        <v>31</v>
      </c>
      <c r="E38" t="s">
        <v>32</v>
      </c>
      <c r="F38" t="s">
        <v>54</v>
      </c>
      <c r="G38" s="118">
        <v>0.25412037037037039</v>
      </c>
      <c r="H38" s="118">
        <v>3.4722222222222224E-4</v>
      </c>
      <c r="I38" s="118">
        <v>1.1921296296296296E-3</v>
      </c>
      <c r="J38"/>
      <c r="K38" s="118">
        <v>5.8912037037037032E-3</v>
      </c>
    </row>
    <row r="39" spans="1:11" x14ac:dyDescent="0.25">
      <c r="A39">
        <v>4</v>
      </c>
      <c r="B39">
        <v>1</v>
      </c>
      <c r="C39"/>
      <c r="D39" t="s">
        <v>31</v>
      </c>
      <c r="E39" t="s">
        <v>35</v>
      </c>
      <c r="F39" t="s">
        <v>33</v>
      </c>
      <c r="G39" s="118">
        <v>0.25431712962962966</v>
      </c>
      <c r="H39" s="118">
        <v>1.3541666666666667E-3</v>
      </c>
      <c r="I39" s="118">
        <v>5.2083333333333333E-4</v>
      </c>
      <c r="J39"/>
      <c r="K39"/>
    </row>
    <row r="40" spans="1:11" x14ac:dyDescent="0.25">
      <c r="A40">
        <v>5</v>
      </c>
      <c r="B40">
        <v>1</v>
      </c>
      <c r="C40"/>
      <c r="D40" t="s">
        <v>31</v>
      </c>
      <c r="E40" t="s">
        <v>35</v>
      </c>
      <c r="F40" t="s">
        <v>55</v>
      </c>
      <c r="G40" s="118">
        <v>0.25431712962962966</v>
      </c>
      <c r="H40" s="118">
        <v>1.0069444444444444E-3</v>
      </c>
      <c r="I40" s="118">
        <v>4.6296296296296293E-4</v>
      </c>
      <c r="J40"/>
      <c r="K40"/>
    </row>
    <row r="41" spans="1:11" x14ac:dyDescent="0.25">
      <c r="A41">
        <v>6</v>
      </c>
      <c r="B41">
        <v>1</v>
      </c>
      <c r="C41"/>
      <c r="D41" t="s">
        <v>31</v>
      </c>
      <c r="E41" t="s">
        <v>32</v>
      </c>
      <c r="F41" t="s">
        <v>57</v>
      </c>
      <c r="G41" s="118">
        <v>0.2543287037037037</v>
      </c>
      <c r="H41" s="118">
        <v>3.4722222222222224E-4</v>
      </c>
      <c r="I41" s="118">
        <v>9.3750000000000007E-4</v>
      </c>
      <c r="J41"/>
      <c r="K41" s="118">
        <v>6.4583333333333333E-3</v>
      </c>
    </row>
    <row r="42" spans="1:11" x14ac:dyDescent="0.25">
      <c r="A42">
        <v>3</v>
      </c>
      <c r="B42">
        <v>1</v>
      </c>
      <c r="C42"/>
      <c r="D42" t="s">
        <v>31</v>
      </c>
      <c r="E42" t="s">
        <v>35</v>
      </c>
      <c r="F42" t="s">
        <v>56</v>
      </c>
      <c r="G42" s="118">
        <v>0.25445601851851851</v>
      </c>
      <c r="H42" s="118">
        <v>1.261574074074074E-3</v>
      </c>
      <c r="I42" s="118">
        <v>3.4722222222222224E-4</v>
      </c>
      <c r="J42"/>
      <c r="K42"/>
    </row>
    <row r="43" spans="1:11" x14ac:dyDescent="0.25">
      <c r="A43">
        <v>5</v>
      </c>
      <c r="B43">
        <v>1</v>
      </c>
      <c r="C43"/>
      <c r="D43" t="s">
        <v>31</v>
      </c>
      <c r="E43" t="s">
        <v>32</v>
      </c>
      <c r="F43" t="s">
        <v>55</v>
      </c>
      <c r="G43" s="118">
        <v>0.2547800925925926</v>
      </c>
      <c r="H43" s="118">
        <v>4.6296296296296293E-4</v>
      </c>
      <c r="I43" s="118">
        <v>4.3981481481481481E-4</v>
      </c>
      <c r="J43"/>
      <c r="K43" s="118">
        <v>5.8912037037037032E-3</v>
      </c>
    </row>
    <row r="44" spans="1:11" x14ac:dyDescent="0.25">
      <c r="A44">
        <v>1</v>
      </c>
      <c r="B44">
        <v>1</v>
      </c>
      <c r="C44"/>
      <c r="D44" t="s">
        <v>31</v>
      </c>
      <c r="E44" t="s">
        <v>35</v>
      </c>
      <c r="F44" t="s">
        <v>34</v>
      </c>
      <c r="G44" s="118">
        <v>0.25480324074074073</v>
      </c>
      <c r="H44" s="118">
        <v>8.449074074074075E-4</v>
      </c>
      <c r="I44" s="118">
        <v>3.4722222222222224E-4</v>
      </c>
      <c r="J44"/>
      <c r="K44"/>
    </row>
    <row r="45" spans="1:11" x14ac:dyDescent="0.25">
      <c r="A45">
        <v>3</v>
      </c>
      <c r="B45">
        <v>1</v>
      </c>
      <c r="C45"/>
      <c r="D45" t="s">
        <v>31</v>
      </c>
      <c r="E45" t="s">
        <v>32</v>
      </c>
      <c r="F45" t="s">
        <v>56</v>
      </c>
      <c r="G45" s="118">
        <v>0.25480324074074073</v>
      </c>
      <c r="H45" s="118">
        <v>3.4722222222222224E-4</v>
      </c>
      <c r="I45" s="118">
        <v>9.6064814814814808E-4</v>
      </c>
      <c r="J45"/>
      <c r="K45" s="118">
        <v>5.8912037037037032E-3</v>
      </c>
    </row>
    <row r="46" spans="1:11" x14ac:dyDescent="0.25">
      <c r="A46">
        <v>4</v>
      </c>
      <c r="B46">
        <v>1</v>
      </c>
      <c r="C46"/>
      <c r="D46" t="s">
        <v>31</v>
      </c>
      <c r="E46" t="s">
        <v>32</v>
      </c>
      <c r="F46" t="s">
        <v>33</v>
      </c>
      <c r="G46" s="118">
        <v>0.25483796296296296</v>
      </c>
      <c r="H46" s="118">
        <v>5.2083333333333333E-4</v>
      </c>
      <c r="I46" s="118">
        <v>9.6064814814814808E-4</v>
      </c>
      <c r="J46" s="118">
        <v>5.8912037037037032E-3</v>
      </c>
      <c r="K46" s="118">
        <v>5.8912037037037032E-3</v>
      </c>
    </row>
    <row r="47" spans="1:11" x14ac:dyDescent="0.25">
      <c r="A47">
        <v>1</v>
      </c>
      <c r="B47">
        <v>1</v>
      </c>
      <c r="C47"/>
      <c r="D47" t="s">
        <v>31</v>
      </c>
      <c r="E47" t="s">
        <v>32</v>
      </c>
      <c r="F47" t="s">
        <v>34</v>
      </c>
      <c r="G47" s="118">
        <v>0.25515046296296295</v>
      </c>
      <c r="H47" s="118">
        <v>3.4722222222222224E-4</v>
      </c>
      <c r="I47" s="118">
        <v>9.1435185185185185E-4</v>
      </c>
      <c r="J47"/>
      <c r="K47" s="118">
        <v>5.8912037037037032E-3</v>
      </c>
    </row>
    <row r="48" spans="1:11" x14ac:dyDescent="0.25">
      <c r="A48">
        <v>5</v>
      </c>
      <c r="B48">
        <v>1</v>
      </c>
      <c r="C48"/>
      <c r="D48" t="s">
        <v>31</v>
      </c>
      <c r="E48" t="s">
        <v>35</v>
      </c>
      <c r="F48" t="s">
        <v>58</v>
      </c>
      <c r="G48" s="118">
        <v>0.25521990740740741</v>
      </c>
      <c r="H48" s="118">
        <v>4.3981481481481481E-4</v>
      </c>
      <c r="I48" s="118">
        <v>5.7870370370370366E-5</v>
      </c>
      <c r="J48"/>
      <c r="K48"/>
    </row>
    <row r="49" spans="1:11" x14ac:dyDescent="0.25">
      <c r="A49">
        <v>6</v>
      </c>
      <c r="B49">
        <v>1</v>
      </c>
      <c r="C49"/>
      <c r="D49" t="s">
        <v>31</v>
      </c>
      <c r="E49" t="s">
        <v>35</v>
      </c>
      <c r="F49" t="s">
        <v>39</v>
      </c>
      <c r="G49" s="118">
        <v>0.25526620370370373</v>
      </c>
      <c r="H49" s="118">
        <v>9.3750000000000007E-4</v>
      </c>
      <c r="I49" s="118">
        <v>5.2083333333333333E-4</v>
      </c>
      <c r="J49"/>
      <c r="K49"/>
    </row>
    <row r="50" spans="1:11" x14ac:dyDescent="0.25">
      <c r="A50">
        <v>5</v>
      </c>
      <c r="B50">
        <v>1</v>
      </c>
      <c r="C50"/>
      <c r="D50" t="s">
        <v>31</v>
      </c>
      <c r="E50" t="s">
        <v>32</v>
      </c>
      <c r="F50" t="s">
        <v>58</v>
      </c>
      <c r="G50" s="118">
        <v>0.25527777777777777</v>
      </c>
      <c r="H50" s="118">
        <v>5.7870370370370366E-5</v>
      </c>
      <c r="I50" s="118">
        <v>4.8611111111111104E-4</v>
      </c>
      <c r="J50"/>
      <c r="K50" s="118">
        <v>5.8912037037037032E-3</v>
      </c>
    </row>
    <row r="51" spans="1:11" x14ac:dyDescent="0.25">
      <c r="A51">
        <v>2</v>
      </c>
      <c r="B51">
        <v>1</v>
      </c>
      <c r="C51"/>
      <c r="D51" t="s">
        <v>31</v>
      </c>
      <c r="E51" t="s">
        <v>35</v>
      </c>
      <c r="F51" t="s">
        <v>92</v>
      </c>
      <c r="G51" s="118">
        <v>0.2553125</v>
      </c>
      <c r="H51" s="118">
        <v>1.1921296296296296E-3</v>
      </c>
      <c r="I51" s="118">
        <v>5.7870370370370378E-4</v>
      </c>
      <c r="J51"/>
      <c r="K51"/>
    </row>
    <row r="52" spans="1:11" x14ac:dyDescent="0.25">
      <c r="A52">
        <v>3</v>
      </c>
      <c r="B52">
        <v>1</v>
      </c>
      <c r="C52"/>
      <c r="D52" t="s">
        <v>31</v>
      </c>
      <c r="E52" t="s">
        <v>35</v>
      </c>
      <c r="F52" t="s">
        <v>37</v>
      </c>
      <c r="G52" s="118">
        <v>0.2557638888888889</v>
      </c>
      <c r="H52" s="118">
        <v>9.6064814814814808E-4</v>
      </c>
      <c r="I52" s="118">
        <v>3.4722222222222224E-4</v>
      </c>
      <c r="J52"/>
      <c r="K52"/>
    </row>
    <row r="53" spans="1:11" x14ac:dyDescent="0.25">
      <c r="A53">
        <v>5</v>
      </c>
      <c r="B53">
        <v>1</v>
      </c>
      <c r="C53"/>
      <c r="D53" t="s">
        <v>31</v>
      </c>
      <c r="E53" t="s">
        <v>35</v>
      </c>
      <c r="F53" t="s">
        <v>40</v>
      </c>
      <c r="G53" s="118">
        <v>0.2557638888888889</v>
      </c>
      <c r="H53" s="118">
        <v>4.8611111111111104E-4</v>
      </c>
      <c r="I53" s="118">
        <v>4.6296296296296293E-4</v>
      </c>
      <c r="J53"/>
      <c r="K53"/>
    </row>
    <row r="54" spans="1:11" x14ac:dyDescent="0.25">
      <c r="A54">
        <v>6</v>
      </c>
      <c r="B54">
        <v>1</v>
      </c>
      <c r="C54"/>
      <c r="D54" t="s">
        <v>31</v>
      </c>
      <c r="E54" t="s">
        <v>32</v>
      </c>
      <c r="F54" t="s">
        <v>39</v>
      </c>
      <c r="G54" s="118">
        <v>0.25578703703703703</v>
      </c>
      <c r="H54" s="118">
        <v>5.2083333333333333E-4</v>
      </c>
      <c r="I54" s="118">
        <v>1.8055555555555557E-3</v>
      </c>
      <c r="J54" s="118">
        <v>5.8912037037037032E-3</v>
      </c>
      <c r="K54" s="118">
        <v>6.4583333333333333E-3</v>
      </c>
    </row>
    <row r="55" spans="1:11" x14ac:dyDescent="0.25">
      <c r="A55">
        <v>4</v>
      </c>
      <c r="B55">
        <v>1</v>
      </c>
      <c r="C55"/>
      <c r="D55" t="s">
        <v>31</v>
      </c>
      <c r="E55" t="s">
        <v>35</v>
      </c>
      <c r="F55" t="s">
        <v>36</v>
      </c>
      <c r="G55" s="118">
        <v>0.25579861111111107</v>
      </c>
      <c r="H55" s="118">
        <v>9.6064814814814808E-4</v>
      </c>
      <c r="I55" s="118">
        <v>3.4722222222222224E-4</v>
      </c>
      <c r="J55"/>
      <c r="K55"/>
    </row>
    <row r="56" spans="1:11" x14ac:dyDescent="0.25">
      <c r="A56">
        <v>2</v>
      </c>
      <c r="B56">
        <v>2</v>
      </c>
      <c r="C56"/>
      <c r="D56" t="s">
        <v>31</v>
      </c>
      <c r="E56" t="s">
        <v>32</v>
      </c>
      <c r="F56" t="s">
        <v>92</v>
      </c>
      <c r="G56" s="118">
        <v>0.25589120370370372</v>
      </c>
      <c r="H56" s="118">
        <v>5.7870370370370378E-4</v>
      </c>
      <c r="I56" s="118">
        <v>1.0069444444444444E-3</v>
      </c>
      <c r="J56" s="118">
        <v>5.8912037037037032E-3</v>
      </c>
      <c r="K56" s="118">
        <v>5.8912037037037032E-3</v>
      </c>
    </row>
    <row r="57" spans="1:11" x14ac:dyDescent="0.25">
      <c r="A57">
        <v>1</v>
      </c>
      <c r="B57">
        <v>1</v>
      </c>
      <c r="C57"/>
      <c r="D57" t="s">
        <v>31</v>
      </c>
      <c r="E57" t="s">
        <v>35</v>
      </c>
      <c r="F57" t="s">
        <v>38</v>
      </c>
      <c r="G57" s="118">
        <v>0.2560648148148148</v>
      </c>
      <c r="H57" s="118">
        <v>9.1435185185185185E-4</v>
      </c>
      <c r="I57" s="118">
        <v>3.4722222222222224E-4</v>
      </c>
      <c r="J57"/>
      <c r="K57"/>
    </row>
    <row r="58" spans="1:11" x14ac:dyDescent="0.25">
      <c r="A58">
        <v>3</v>
      </c>
      <c r="B58">
        <v>1</v>
      </c>
      <c r="C58"/>
      <c r="D58" t="s">
        <v>31</v>
      </c>
      <c r="E58" t="s">
        <v>32</v>
      </c>
      <c r="F58" t="s">
        <v>37</v>
      </c>
      <c r="G58" s="118">
        <v>0.25611111111111112</v>
      </c>
      <c r="H58" s="118">
        <v>3.4722222222222224E-4</v>
      </c>
      <c r="I58" s="118">
        <v>9.0277777777777784E-4</v>
      </c>
      <c r="J58" s="118">
        <v>5.8912037037037032E-3</v>
      </c>
      <c r="K58" s="118">
        <v>5.8912037037037032E-3</v>
      </c>
    </row>
    <row r="59" spans="1:11" x14ac:dyDescent="0.25">
      <c r="A59">
        <v>4</v>
      </c>
      <c r="B59">
        <v>1</v>
      </c>
      <c r="C59"/>
      <c r="D59" t="s">
        <v>31</v>
      </c>
      <c r="E59" t="s">
        <v>32</v>
      </c>
      <c r="F59" t="s">
        <v>36</v>
      </c>
      <c r="G59" s="118">
        <v>0.25614583333333335</v>
      </c>
      <c r="H59" s="118">
        <v>3.4722222222222224E-4</v>
      </c>
      <c r="I59" s="118">
        <v>1.0995370370370371E-3</v>
      </c>
      <c r="J59" s="118">
        <v>5.8912037037037032E-3</v>
      </c>
      <c r="K59" s="118">
        <v>5.8912037037037032E-3</v>
      </c>
    </row>
    <row r="60" spans="1:11" x14ac:dyDescent="0.25">
      <c r="A60">
        <v>5</v>
      </c>
      <c r="B60">
        <v>2</v>
      </c>
      <c r="C60"/>
      <c r="D60" t="s">
        <v>31</v>
      </c>
      <c r="E60" t="s">
        <v>32</v>
      </c>
      <c r="F60" t="s">
        <v>40</v>
      </c>
      <c r="G60" s="118">
        <v>0.25622685185185184</v>
      </c>
      <c r="H60" s="118">
        <v>4.6296296296296293E-4</v>
      </c>
      <c r="I60" s="118">
        <v>1.0069444444444444E-3</v>
      </c>
      <c r="J60" s="118">
        <v>5.8912037037037032E-3</v>
      </c>
      <c r="K60" s="118">
        <v>5.8912037037037032E-3</v>
      </c>
    </row>
    <row r="61" spans="1:11" x14ac:dyDescent="0.25">
      <c r="A61">
        <v>1</v>
      </c>
      <c r="B61">
        <v>1</v>
      </c>
      <c r="C61"/>
      <c r="D61" t="s">
        <v>31</v>
      </c>
      <c r="E61" t="s">
        <v>32</v>
      </c>
      <c r="F61" t="s">
        <v>38</v>
      </c>
      <c r="G61" s="118">
        <v>0.25641203703703702</v>
      </c>
      <c r="H61" s="118">
        <v>3.4722222222222224E-4</v>
      </c>
      <c r="I61" s="118">
        <v>1.2384259259259258E-3</v>
      </c>
      <c r="J61" s="118">
        <v>6.4583333333333333E-3</v>
      </c>
      <c r="K61" s="118">
        <v>5.8912037037037032E-3</v>
      </c>
    </row>
    <row r="62" spans="1:11" x14ac:dyDescent="0.25">
      <c r="A62">
        <v>2</v>
      </c>
      <c r="B62">
        <v>2</v>
      </c>
      <c r="C62"/>
      <c r="D62" t="s">
        <v>31</v>
      </c>
      <c r="E62" t="s">
        <v>35</v>
      </c>
      <c r="F62" t="s">
        <v>41</v>
      </c>
      <c r="G62" s="118">
        <v>0.25689814814814815</v>
      </c>
      <c r="H62" s="118">
        <v>1.0069444444444444E-3</v>
      </c>
      <c r="I62" s="118">
        <v>3.4722222222222224E-4</v>
      </c>
      <c r="J62"/>
      <c r="K62"/>
    </row>
    <row r="63" spans="1:11" x14ac:dyDescent="0.25">
      <c r="A63">
        <v>3</v>
      </c>
      <c r="B63">
        <v>1</v>
      </c>
      <c r="C63"/>
      <c r="D63" t="s">
        <v>31</v>
      </c>
      <c r="E63" t="s">
        <v>35</v>
      </c>
      <c r="F63" t="s">
        <v>42</v>
      </c>
      <c r="G63" s="118">
        <v>0.25701388888888888</v>
      </c>
      <c r="H63" s="118">
        <v>9.0277777777777784E-4</v>
      </c>
      <c r="I63" s="118">
        <v>3.4722222222222224E-4</v>
      </c>
      <c r="J63"/>
      <c r="K63"/>
    </row>
    <row r="64" spans="1:11" x14ac:dyDescent="0.25">
      <c r="A64">
        <v>5</v>
      </c>
      <c r="B64">
        <v>2</v>
      </c>
      <c r="C64"/>
      <c r="D64" t="s">
        <v>31</v>
      </c>
      <c r="E64" t="s">
        <v>35</v>
      </c>
      <c r="F64" t="s">
        <v>44</v>
      </c>
      <c r="G64" s="118">
        <v>0.25723379629629628</v>
      </c>
      <c r="H64" s="118">
        <v>1.0069444444444444E-3</v>
      </c>
      <c r="I64" s="118">
        <v>3.4722222222222224E-4</v>
      </c>
      <c r="J64"/>
      <c r="K64"/>
    </row>
    <row r="65" spans="1:11" x14ac:dyDescent="0.25">
      <c r="A65">
        <v>2</v>
      </c>
      <c r="B65">
        <v>2</v>
      </c>
      <c r="C65"/>
      <c r="D65" t="s">
        <v>31</v>
      </c>
      <c r="E65" t="s">
        <v>32</v>
      </c>
      <c r="F65" t="s">
        <v>41</v>
      </c>
      <c r="G65" s="118">
        <v>0.25724537037037037</v>
      </c>
      <c r="H65" s="118">
        <v>3.4722222222222224E-4</v>
      </c>
      <c r="I65" s="118">
        <v>8.564814814814815E-4</v>
      </c>
      <c r="J65" s="118">
        <v>5.8912037037037032E-3</v>
      </c>
      <c r="K65" s="118">
        <v>5.8912037037037032E-3</v>
      </c>
    </row>
    <row r="66" spans="1:11" x14ac:dyDescent="0.25">
      <c r="A66">
        <v>4</v>
      </c>
      <c r="B66">
        <v>1</v>
      </c>
      <c r="C66"/>
      <c r="D66" t="s">
        <v>31</v>
      </c>
      <c r="E66" t="s">
        <v>35</v>
      </c>
      <c r="F66" t="s">
        <v>43</v>
      </c>
      <c r="G66" s="118">
        <v>0.25724537037037037</v>
      </c>
      <c r="H66" s="118">
        <v>1.0995370370370371E-3</v>
      </c>
      <c r="I66" s="118">
        <v>3.4722222222222224E-4</v>
      </c>
      <c r="J66"/>
      <c r="K66"/>
    </row>
    <row r="67" spans="1:11" x14ac:dyDescent="0.25">
      <c r="A67">
        <v>3</v>
      </c>
      <c r="B67">
        <v>1</v>
      </c>
      <c r="C67"/>
      <c r="D67" t="s">
        <v>31</v>
      </c>
      <c r="E67" t="s">
        <v>32</v>
      </c>
      <c r="F67" t="s">
        <v>42</v>
      </c>
      <c r="G67" s="118">
        <v>0.2573611111111111</v>
      </c>
      <c r="H67" s="118">
        <v>3.4722222222222224E-4</v>
      </c>
      <c r="I67" s="118">
        <v>9.1435185185185185E-4</v>
      </c>
      <c r="J67" s="118">
        <v>5.8912037037037032E-3</v>
      </c>
      <c r="K67" s="118">
        <v>5.8912037037037032E-3</v>
      </c>
    </row>
    <row r="68" spans="1:11" x14ac:dyDescent="0.25">
      <c r="A68">
        <v>5</v>
      </c>
      <c r="B68">
        <v>2</v>
      </c>
      <c r="C68"/>
      <c r="D68" t="s">
        <v>31</v>
      </c>
      <c r="E68" t="s">
        <v>32</v>
      </c>
      <c r="F68" t="s">
        <v>44</v>
      </c>
      <c r="G68" s="118">
        <v>0.2575810185185185</v>
      </c>
      <c r="H68" s="118">
        <v>3.4722222222222224E-4</v>
      </c>
      <c r="I68" s="118">
        <v>9.2592592592592585E-4</v>
      </c>
      <c r="J68" s="118">
        <v>5.8912037037037032E-3</v>
      </c>
      <c r="K68" s="118">
        <v>5.8912037037037032E-3</v>
      </c>
    </row>
    <row r="69" spans="1:11" x14ac:dyDescent="0.25">
      <c r="A69">
        <v>4</v>
      </c>
      <c r="B69">
        <v>1</v>
      </c>
      <c r="C69"/>
      <c r="D69" t="s">
        <v>31</v>
      </c>
      <c r="E69" t="s">
        <v>32</v>
      </c>
      <c r="F69" t="s">
        <v>43</v>
      </c>
      <c r="G69" s="118">
        <v>0.2575925925925926</v>
      </c>
      <c r="H69" s="118">
        <v>3.4722222222222224E-4</v>
      </c>
      <c r="I69" s="118">
        <v>1.1458333333333333E-3</v>
      </c>
      <c r="J69" s="118">
        <v>5.8912037037037032E-3</v>
      </c>
      <c r="K69" s="118">
        <v>5.8912037037037032E-3</v>
      </c>
    </row>
    <row r="70" spans="1:11" x14ac:dyDescent="0.25">
      <c r="A70">
        <v>6</v>
      </c>
      <c r="B70">
        <v>1</v>
      </c>
      <c r="C70"/>
      <c r="D70" t="s">
        <v>31</v>
      </c>
      <c r="E70" t="s">
        <v>35</v>
      </c>
      <c r="F70" t="s">
        <v>46</v>
      </c>
      <c r="G70" s="118">
        <v>0.2575925925925926</v>
      </c>
      <c r="H70" s="118">
        <v>1.8055555555555557E-3</v>
      </c>
      <c r="I70" s="118">
        <v>3.4722222222222224E-4</v>
      </c>
      <c r="J70"/>
      <c r="K70"/>
    </row>
    <row r="71" spans="1:11" x14ac:dyDescent="0.25">
      <c r="A71">
        <v>1</v>
      </c>
      <c r="B71">
        <v>1</v>
      </c>
      <c r="C71"/>
      <c r="D71" t="s">
        <v>31</v>
      </c>
      <c r="E71" t="s">
        <v>35</v>
      </c>
      <c r="F71" t="s">
        <v>45</v>
      </c>
      <c r="G71" s="118">
        <v>0.25765046296296296</v>
      </c>
      <c r="H71" s="118">
        <v>1.2384259259259258E-3</v>
      </c>
      <c r="I71" s="118">
        <v>3.4722222222222224E-4</v>
      </c>
      <c r="J71"/>
      <c r="K71"/>
    </row>
    <row r="72" spans="1:11" x14ac:dyDescent="0.25">
      <c r="A72">
        <v>6</v>
      </c>
      <c r="B72">
        <v>1</v>
      </c>
      <c r="C72"/>
      <c r="D72" t="s">
        <v>31</v>
      </c>
      <c r="E72" t="s">
        <v>32</v>
      </c>
      <c r="F72" t="s">
        <v>46</v>
      </c>
      <c r="G72" s="118">
        <v>0.25793981481481482</v>
      </c>
      <c r="H72" s="118">
        <v>3.4722222222222224E-4</v>
      </c>
      <c r="I72" s="118">
        <v>9.1435185185185185E-4</v>
      </c>
      <c r="J72" s="118">
        <v>5.8912037037037032E-3</v>
      </c>
      <c r="K72" s="118">
        <v>6.4583333333333333E-3</v>
      </c>
    </row>
    <row r="73" spans="1:11" x14ac:dyDescent="0.25">
      <c r="A73">
        <v>1</v>
      </c>
      <c r="B73">
        <v>1</v>
      </c>
      <c r="C73"/>
      <c r="D73" t="s">
        <v>31</v>
      </c>
      <c r="E73" t="s">
        <v>32</v>
      </c>
      <c r="F73" t="s">
        <v>45</v>
      </c>
      <c r="G73" s="118">
        <v>0.25799768518518518</v>
      </c>
      <c r="H73" s="118">
        <v>3.4722222222222224E-4</v>
      </c>
      <c r="I73" s="118">
        <v>1.0416666666666667E-3</v>
      </c>
      <c r="J73" s="118">
        <v>6.4583333333333333E-3</v>
      </c>
      <c r="K73" s="118">
        <v>5.8912037037037032E-3</v>
      </c>
    </row>
    <row r="74" spans="1:11" x14ac:dyDescent="0.25">
      <c r="A74">
        <v>2</v>
      </c>
      <c r="B74">
        <v>2</v>
      </c>
      <c r="C74"/>
      <c r="D74" t="s">
        <v>31</v>
      </c>
      <c r="E74" t="s">
        <v>35</v>
      </c>
      <c r="F74" t="s">
        <v>47</v>
      </c>
      <c r="G74" s="118">
        <v>0.25810185185185186</v>
      </c>
      <c r="H74" s="118">
        <v>8.564814814814815E-4</v>
      </c>
      <c r="I74" s="118">
        <v>5.2083333333333333E-4</v>
      </c>
      <c r="J74"/>
      <c r="K74"/>
    </row>
    <row r="75" spans="1:11" x14ac:dyDescent="0.25">
      <c r="A75">
        <v>3</v>
      </c>
      <c r="B75">
        <v>1</v>
      </c>
      <c r="C75"/>
      <c r="D75" t="s">
        <v>31</v>
      </c>
      <c r="E75" t="s">
        <v>35</v>
      </c>
      <c r="F75" t="s">
        <v>48</v>
      </c>
      <c r="G75" s="118">
        <v>0.25827546296296294</v>
      </c>
      <c r="H75" s="118">
        <v>9.1435185185185185E-4</v>
      </c>
      <c r="I75" s="118">
        <v>5.2083333333333333E-4</v>
      </c>
      <c r="J75"/>
      <c r="K75"/>
    </row>
    <row r="76" spans="1:11" x14ac:dyDescent="0.25">
      <c r="A76">
        <v>5</v>
      </c>
      <c r="B76">
        <v>2</v>
      </c>
      <c r="C76"/>
      <c r="D76" t="s">
        <v>31</v>
      </c>
      <c r="E76" t="s">
        <v>35</v>
      </c>
      <c r="F76" t="s">
        <v>49</v>
      </c>
      <c r="G76" s="118">
        <v>0.25850694444444444</v>
      </c>
      <c r="H76" s="118">
        <v>9.2592592592592585E-4</v>
      </c>
      <c r="I76" s="118">
        <v>3.4722222222222224E-4</v>
      </c>
      <c r="J76"/>
      <c r="K76"/>
    </row>
    <row r="77" spans="1:11" x14ac:dyDescent="0.25">
      <c r="A77">
        <v>2</v>
      </c>
      <c r="B77">
        <v>2</v>
      </c>
      <c r="C77"/>
      <c r="D77" t="s">
        <v>31</v>
      </c>
      <c r="E77" t="s">
        <v>32</v>
      </c>
      <c r="F77" t="s">
        <v>47</v>
      </c>
      <c r="G77" s="118">
        <v>0.25862268518518522</v>
      </c>
      <c r="H77" s="118">
        <v>5.2083333333333333E-4</v>
      </c>
      <c r="I77" s="118">
        <v>8.7962962962962962E-4</v>
      </c>
      <c r="J77" s="118">
        <v>5.8912037037037032E-3</v>
      </c>
      <c r="K77" s="118">
        <v>5.8912037037037032E-3</v>
      </c>
    </row>
    <row r="78" spans="1:11" x14ac:dyDescent="0.25">
      <c r="A78">
        <v>4</v>
      </c>
      <c r="B78">
        <v>1</v>
      </c>
      <c r="C78"/>
      <c r="D78" t="s">
        <v>31</v>
      </c>
      <c r="E78" t="s">
        <v>35</v>
      </c>
      <c r="F78" t="s">
        <v>50</v>
      </c>
      <c r="G78" s="118">
        <v>0.25873842592592594</v>
      </c>
      <c r="H78" s="118">
        <v>1.1458333333333333E-3</v>
      </c>
      <c r="I78" s="118">
        <v>3.4722222222222224E-4</v>
      </c>
      <c r="J78"/>
      <c r="K78"/>
    </row>
    <row r="79" spans="1:11" x14ac:dyDescent="0.25">
      <c r="A79">
        <v>3</v>
      </c>
      <c r="B79">
        <v>1</v>
      </c>
      <c r="C79"/>
      <c r="D79" t="s">
        <v>31</v>
      </c>
      <c r="E79" t="s">
        <v>32</v>
      </c>
      <c r="F79" t="s">
        <v>48</v>
      </c>
      <c r="G79" s="118">
        <v>0.2587962962962963</v>
      </c>
      <c r="H79" s="118">
        <v>5.2083333333333333E-4</v>
      </c>
      <c r="I79" s="118">
        <v>8.6805555555555551E-4</v>
      </c>
      <c r="J79" s="118">
        <v>5.8912037037037032E-3</v>
      </c>
      <c r="K79" s="118">
        <v>5.8912037037037032E-3</v>
      </c>
    </row>
    <row r="80" spans="1:11" x14ac:dyDescent="0.25">
      <c r="A80">
        <v>5</v>
      </c>
      <c r="B80">
        <v>2</v>
      </c>
      <c r="C80"/>
      <c r="D80" t="s">
        <v>31</v>
      </c>
      <c r="E80" t="s">
        <v>32</v>
      </c>
      <c r="F80" t="s">
        <v>49</v>
      </c>
      <c r="G80" s="118">
        <v>0.25885416666666666</v>
      </c>
      <c r="H80" s="118">
        <v>3.4722222222222224E-4</v>
      </c>
      <c r="I80" s="118">
        <v>1.3541666666666667E-3</v>
      </c>
      <c r="J80" s="118">
        <v>5.8912037037037032E-3</v>
      </c>
      <c r="K80" s="118">
        <v>5.8912037037037032E-3</v>
      </c>
    </row>
    <row r="81" spans="1:11" x14ac:dyDescent="0.25">
      <c r="A81">
        <v>6</v>
      </c>
      <c r="B81">
        <v>1</v>
      </c>
      <c r="C81"/>
      <c r="D81" t="s">
        <v>31</v>
      </c>
      <c r="E81" t="s">
        <v>35</v>
      </c>
      <c r="F81" t="s">
        <v>51</v>
      </c>
      <c r="G81" s="118">
        <v>0.25885416666666666</v>
      </c>
      <c r="H81" s="118">
        <v>9.1435185185185185E-4</v>
      </c>
      <c r="I81" s="118">
        <v>3.4722222222222224E-4</v>
      </c>
      <c r="J81"/>
      <c r="K81"/>
    </row>
    <row r="82" spans="1:11" x14ac:dyDescent="0.25">
      <c r="A82">
        <v>1</v>
      </c>
      <c r="B82">
        <v>1</v>
      </c>
      <c r="C82"/>
      <c r="D82" t="s">
        <v>31</v>
      </c>
      <c r="E82" t="s">
        <v>35</v>
      </c>
      <c r="F82" t="s">
        <v>52</v>
      </c>
      <c r="G82" s="118">
        <v>0.25903935185185184</v>
      </c>
      <c r="H82" s="118">
        <v>1.0416666666666667E-3</v>
      </c>
      <c r="I82" s="118">
        <v>3.4722222222222224E-4</v>
      </c>
      <c r="J82"/>
      <c r="K82"/>
    </row>
    <row r="83" spans="1:11" x14ac:dyDescent="0.25">
      <c r="A83">
        <v>4</v>
      </c>
      <c r="B83">
        <v>1</v>
      </c>
      <c r="C83"/>
      <c r="D83" t="s">
        <v>31</v>
      </c>
      <c r="E83" t="s">
        <v>32</v>
      </c>
      <c r="F83" t="s">
        <v>50</v>
      </c>
      <c r="G83" s="118">
        <v>0.25908564814814816</v>
      </c>
      <c r="H83" s="118">
        <v>3.4722222222222224E-4</v>
      </c>
      <c r="I83" s="118">
        <v>1.261574074074074E-3</v>
      </c>
      <c r="J83" s="118">
        <v>5.8912037037037032E-3</v>
      </c>
      <c r="K83" s="118">
        <v>5.8912037037037032E-3</v>
      </c>
    </row>
    <row r="84" spans="1:11" x14ac:dyDescent="0.25">
      <c r="A84">
        <v>6</v>
      </c>
      <c r="B84">
        <v>1</v>
      </c>
      <c r="C84"/>
      <c r="D84" t="s">
        <v>31</v>
      </c>
      <c r="E84" t="s">
        <v>32</v>
      </c>
      <c r="F84" t="s">
        <v>51</v>
      </c>
      <c r="G84" s="118">
        <v>0.25920138888888888</v>
      </c>
      <c r="H84" s="118">
        <v>3.4722222222222224E-4</v>
      </c>
      <c r="I84" s="118">
        <v>1.0069444444444444E-3</v>
      </c>
      <c r="J84" s="118">
        <v>5.8912037037037032E-3</v>
      </c>
      <c r="K84" s="118">
        <v>6.4583333333333333E-3</v>
      </c>
    </row>
    <row r="85" spans="1:11" x14ac:dyDescent="0.25">
      <c r="A85">
        <v>1</v>
      </c>
      <c r="B85">
        <v>1</v>
      </c>
      <c r="C85"/>
      <c r="D85" t="s">
        <v>31</v>
      </c>
      <c r="E85" t="s">
        <v>32</v>
      </c>
      <c r="F85" t="s">
        <v>52</v>
      </c>
      <c r="G85" s="118">
        <v>0.25938657407407406</v>
      </c>
      <c r="H85" s="118">
        <v>3.4722222222222224E-4</v>
      </c>
      <c r="I85" s="118">
        <v>1.0532407407407407E-3</v>
      </c>
      <c r="J85" s="118">
        <v>6.4583333333333333E-3</v>
      </c>
      <c r="K85" s="118">
        <v>5.8912037037037032E-3</v>
      </c>
    </row>
    <row r="86" spans="1:11" x14ac:dyDescent="0.25">
      <c r="A86">
        <v>2</v>
      </c>
      <c r="B86">
        <v>2</v>
      </c>
      <c r="C86"/>
      <c r="D86" t="s">
        <v>31</v>
      </c>
      <c r="E86" t="s">
        <v>35</v>
      </c>
      <c r="F86" t="s">
        <v>53</v>
      </c>
      <c r="G86" s="118">
        <v>0.25950231481481484</v>
      </c>
      <c r="H86" s="118">
        <v>8.7962962962962962E-4</v>
      </c>
      <c r="I86" s="118">
        <v>3.4722222222222224E-4</v>
      </c>
      <c r="J86"/>
      <c r="K86"/>
    </row>
    <row r="87" spans="1:11" x14ac:dyDescent="0.25">
      <c r="A87">
        <v>3</v>
      </c>
      <c r="B87">
        <v>1</v>
      </c>
      <c r="C87"/>
      <c r="D87" t="s">
        <v>31</v>
      </c>
      <c r="E87" t="s">
        <v>35</v>
      </c>
      <c r="F87" t="s">
        <v>54</v>
      </c>
      <c r="G87" s="118">
        <v>0.25966435185185183</v>
      </c>
      <c r="H87" s="118">
        <v>8.6805555555555551E-4</v>
      </c>
      <c r="I87" s="118">
        <v>3.4722222222222224E-4</v>
      </c>
      <c r="J87"/>
      <c r="K87"/>
    </row>
    <row r="88" spans="1:11" x14ac:dyDescent="0.25">
      <c r="A88">
        <v>2</v>
      </c>
      <c r="B88">
        <v>2</v>
      </c>
      <c r="C88"/>
      <c r="D88" t="s">
        <v>31</v>
      </c>
      <c r="E88" t="s">
        <v>32</v>
      </c>
      <c r="F88" t="s">
        <v>53</v>
      </c>
      <c r="G88" s="118">
        <v>0.259849537037037</v>
      </c>
      <c r="H88" s="118">
        <v>3.4722222222222224E-4</v>
      </c>
      <c r="I88" s="118">
        <v>8.449074074074075E-4</v>
      </c>
      <c r="J88" s="118">
        <v>5.8912037037037032E-3</v>
      </c>
      <c r="K88" s="118">
        <v>5.8912037037037032E-3</v>
      </c>
    </row>
    <row r="89" spans="1:11" x14ac:dyDescent="0.25">
      <c r="A89">
        <v>3</v>
      </c>
      <c r="B89">
        <v>1</v>
      </c>
      <c r="C89"/>
      <c r="D89" t="s">
        <v>31</v>
      </c>
      <c r="E89" t="s">
        <v>32</v>
      </c>
      <c r="F89" t="s">
        <v>54</v>
      </c>
      <c r="G89" s="118">
        <v>0.2600115740740741</v>
      </c>
      <c r="H89" s="118">
        <v>3.4722222222222224E-4</v>
      </c>
      <c r="I89" s="118">
        <v>1.1921296296296296E-3</v>
      </c>
      <c r="J89" s="118">
        <v>5.8912037037037032E-3</v>
      </c>
      <c r="K89" s="118">
        <v>5.8912037037037032E-3</v>
      </c>
    </row>
    <row r="90" spans="1:11" x14ac:dyDescent="0.25">
      <c r="A90">
        <v>5</v>
      </c>
      <c r="B90">
        <v>2</v>
      </c>
      <c r="C90"/>
      <c r="D90" t="s">
        <v>31</v>
      </c>
      <c r="E90" t="s">
        <v>35</v>
      </c>
      <c r="F90" t="s">
        <v>33</v>
      </c>
      <c r="G90" s="118">
        <v>0.26020833333333332</v>
      </c>
      <c r="H90" s="118">
        <v>1.3541666666666667E-3</v>
      </c>
      <c r="I90" s="118">
        <v>5.2083333333333333E-4</v>
      </c>
      <c r="J90"/>
      <c r="K90"/>
    </row>
    <row r="91" spans="1:11" x14ac:dyDescent="0.25">
      <c r="A91">
        <v>6</v>
      </c>
      <c r="B91">
        <v>1</v>
      </c>
      <c r="C91"/>
      <c r="D91" t="s">
        <v>31</v>
      </c>
      <c r="E91" t="s">
        <v>35</v>
      </c>
      <c r="F91" t="s">
        <v>55</v>
      </c>
      <c r="G91" s="118">
        <v>0.26020833333333332</v>
      </c>
      <c r="H91" s="118">
        <v>1.0069444444444444E-3</v>
      </c>
      <c r="I91" s="118">
        <v>4.6296296296296293E-4</v>
      </c>
      <c r="J91"/>
      <c r="K91"/>
    </row>
    <row r="92" spans="1:11" x14ac:dyDescent="0.25">
      <c r="A92">
        <v>4</v>
      </c>
      <c r="B92">
        <v>1</v>
      </c>
      <c r="C92"/>
      <c r="D92" t="s">
        <v>31</v>
      </c>
      <c r="E92" t="s">
        <v>35</v>
      </c>
      <c r="F92" t="s">
        <v>56</v>
      </c>
      <c r="G92" s="118">
        <v>0.26034722222222223</v>
      </c>
      <c r="H92" s="118">
        <v>1.261574074074074E-3</v>
      </c>
      <c r="I92" s="118">
        <v>3.4722222222222224E-4</v>
      </c>
      <c r="J92"/>
      <c r="K92"/>
    </row>
    <row r="93" spans="1:11" x14ac:dyDescent="0.25">
      <c r="A93">
        <v>1</v>
      </c>
      <c r="B93">
        <v>1</v>
      </c>
      <c r="C93"/>
      <c r="D93" t="s">
        <v>31</v>
      </c>
      <c r="E93" t="s">
        <v>35</v>
      </c>
      <c r="F93" t="s">
        <v>57</v>
      </c>
      <c r="G93" s="118">
        <v>0.26043981481481482</v>
      </c>
      <c r="H93" s="118">
        <v>1.0532407407407407E-3</v>
      </c>
      <c r="I93" s="118">
        <v>3.4722222222222224E-4</v>
      </c>
      <c r="J93"/>
      <c r="K93"/>
    </row>
    <row r="94" spans="1:11" x14ac:dyDescent="0.25">
      <c r="A94">
        <v>6</v>
      </c>
      <c r="B94">
        <v>1</v>
      </c>
      <c r="C94"/>
      <c r="D94" t="s">
        <v>31</v>
      </c>
      <c r="E94" t="s">
        <v>32</v>
      </c>
      <c r="F94" t="s">
        <v>55</v>
      </c>
      <c r="G94" s="118">
        <v>0.26067129629629632</v>
      </c>
      <c r="H94" s="118">
        <v>4.6296296296296293E-4</v>
      </c>
      <c r="I94" s="118">
        <v>4.3981481481481481E-4</v>
      </c>
      <c r="J94" s="118">
        <v>5.8912037037037032E-3</v>
      </c>
      <c r="K94" s="118">
        <v>6.4583333333333333E-3</v>
      </c>
    </row>
    <row r="95" spans="1:11" x14ac:dyDescent="0.25">
      <c r="A95">
        <v>2</v>
      </c>
      <c r="B95">
        <v>2</v>
      </c>
      <c r="C95"/>
      <c r="D95" t="s">
        <v>31</v>
      </c>
      <c r="E95" t="s">
        <v>35</v>
      </c>
      <c r="F95" t="s">
        <v>34</v>
      </c>
      <c r="G95" s="118">
        <v>0.26069444444444445</v>
      </c>
      <c r="H95" s="118">
        <v>8.449074074074075E-4</v>
      </c>
      <c r="I95" s="118">
        <v>3.4722222222222224E-4</v>
      </c>
      <c r="J95"/>
      <c r="K95"/>
    </row>
    <row r="96" spans="1:11" x14ac:dyDescent="0.25">
      <c r="A96">
        <v>4</v>
      </c>
      <c r="B96">
        <v>1</v>
      </c>
      <c r="C96"/>
      <c r="D96" t="s">
        <v>31</v>
      </c>
      <c r="E96" t="s">
        <v>32</v>
      </c>
      <c r="F96" t="s">
        <v>56</v>
      </c>
      <c r="G96" s="118">
        <v>0.26069444444444445</v>
      </c>
      <c r="H96" s="118">
        <v>3.4722222222222224E-4</v>
      </c>
      <c r="I96" s="118">
        <v>9.6064814814814808E-4</v>
      </c>
      <c r="J96" s="118">
        <v>5.8912037037037032E-3</v>
      </c>
      <c r="K96" s="118">
        <v>5.8912037037037032E-3</v>
      </c>
    </row>
    <row r="97" spans="1:11" x14ac:dyDescent="0.25">
      <c r="A97">
        <v>5</v>
      </c>
      <c r="B97">
        <v>2</v>
      </c>
      <c r="C97"/>
      <c r="D97" t="s">
        <v>31</v>
      </c>
      <c r="E97" t="s">
        <v>32</v>
      </c>
      <c r="F97" t="s">
        <v>33</v>
      </c>
      <c r="G97" s="118">
        <v>0.26072916666666668</v>
      </c>
      <c r="H97" s="118">
        <v>5.2083333333333333E-4</v>
      </c>
      <c r="I97" s="118">
        <v>9.6064814814814808E-4</v>
      </c>
      <c r="J97" s="118">
        <v>5.8912037037037032E-3</v>
      </c>
      <c r="K97" s="118">
        <v>5.8912037037037032E-3</v>
      </c>
    </row>
    <row r="98" spans="1:11" x14ac:dyDescent="0.25">
      <c r="A98">
        <v>1</v>
      </c>
      <c r="B98">
        <v>1</v>
      </c>
      <c r="C98"/>
      <c r="D98" t="s">
        <v>31</v>
      </c>
      <c r="E98" t="s">
        <v>32</v>
      </c>
      <c r="F98" t="s">
        <v>57</v>
      </c>
      <c r="G98" s="118">
        <v>0.26078703703703704</v>
      </c>
      <c r="H98" s="118">
        <v>3.4722222222222224E-4</v>
      </c>
      <c r="I98" s="118">
        <v>9.3750000000000007E-4</v>
      </c>
      <c r="J98" s="118">
        <v>6.4583333333333333E-3</v>
      </c>
      <c r="K98" s="118">
        <v>5.8912037037037032E-3</v>
      </c>
    </row>
    <row r="99" spans="1:11" x14ac:dyDescent="0.25">
      <c r="A99">
        <v>2</v>
      </c>
      <c r="B99">
        <v>2</v>
      </c>
      <c r="C99"/>
      <c r="D99" t="s">
        <v>31</v>
      </c>
      <c r="E99" t="s">
        <v>32</v>
      </c>
      <c r="F99" t="s">
        <v>34</v>
      </c>
      <c r="G99" s="118">
        <v>0.26104166666666667</v>
      </c>
      <c r="H99" s="118">
        <v>3.4722222222222224E-4</v>
      </c>
      <c r="I99" s="118">
        <v>9.1435185185185185E-4</v>
      </c>
      <c r="J99" s="118">
        <v>5.8912037037037032E-3</v>
      </c>
      <c r="K99" s="118">
        <v>5.8912037037037032E-3</v>
      </c>
    </row>
    <row r="100" spans="1:11" x14ac:dyDescent="0.25">
      <c r="A100">
        <v>6</v>
      </c>
      <c r="B100">
        <v>1</v>
      </c>
      <c r="C100"/>
      <c r="D100" t="s">
        <v>31</v>
      </c>
      <c r="E100" t="s">
        <v>35</v>
      </c>
      <c r="F100" t="s">
        <v>58</v>
      </c>
      <c r="G100" s="118">
        <v>0.26111111111111113</v>
      </c>
      <c r="H100" s="118">
        <v>4.3981481481481481E-4</v>
      </c>
      <c r="I100" s="118">
        <v>5.7870370370370366E-5</v>
      </c>
      <c r="J100"/>
      <c r="K100"/>
    </row>
    <row r="101" spans="1:11" x14ac:dyDescent="0.25">
      <c r="A101">
        <v>6</v>
      </c>
      <c r="B101">
        <v>1</v>
      </c>
      <c r="C101"/>
      <c r="D101" t="s">
        <v>31</v>
      </c>
      <c r="E101" t="s">
        <v>32</v>
      </c>
      <c r="F101" t="s">
        <v>58</v>
      </c>
      <c r="G101" s="118">
        <v>0.26116898148148149</v>
      </c>
      <c r="H101" s="118">
        <v>5.7870370370370366E-5</v>
      </c>
      <c r="I101" s="118">
        <v>4.8611111111111104E-4</v>
      </c>
      <c r="J101" s="118">
        <v>5.8912037037037032E-3</v>
      </c>
      <c r="K101" s="118">
        <v>6.4583333333333333E-3</v>
      </c>
    </row>
    <row r="102" spans="1:11" x14ac:dyDescent="0.25">
      <c r="A102">
        <v>3</v>
      </c>
      <c r="B102">
        <v>1</v>
      </c>
      <c r="C102"/>
      <c r="D102" t="s">
        <v>31</v>
      </c>
      <c r="E102" t="s">
        <v>35</v>
      </c>
      <c r="F102" t="s">
        <v>92</v>
      </c>
      <c r="G102" s="118">
        <v>0.26120370370370372</v>
      </c>
      <c r="H102" s="118">
        <v>1.1921296296296296E-3</v>
      </c>
      <c r="I102" s="118">
        <v>5.7870370370370378E-4</v>
      </c>
      <c r="J102"/>
      <c r="K102"/>
    </row>
    <row r="103" spans="1:11" x14ac:dyDescent="0.25">
      <c r="A103">
        <v>4</v>
      </c>
      <c r="B103">
        <v>1</v>
      </c>
      <c r="C103"/>
      <c r="D103" t="s">
        <v>31</v>
      </c>
      <c r="E103" t="s">
        <v>35</v>
      </c>
      <c r="F103" t="s">
        <v>37</v>
      </c>
      <c r="G103" s="118">
        <v>0.26165509259259262</v>
      </c>
      <c r="H103" s="118">
        <v>9.6064814814814808E-4</v>
      </c>
      <c r="I103" s="118">
        <v>3.4722222222222224E-4</v>
      </c>
      <c r="J103"/>
      <c r="K103"/>
    </row>
    <row r="104" spans="1:11" x14ac:dyDescent="0.25">
      <c r="A104">
        <v>6</v>
      </c>
      <c r="B104">
        <v>1</v>
      </c>
      <c r="C104"/>
      <c r="D104" t="s">
        <v>31</v>
      </c>
      <c r="E104" t="s">
        <v>35</v>
      </c>
      <c r="F104" t="s">
        <v>40</v>
      </c>
      <c r="G104" s="118">
        <v>0.26165509259259262</v>
      </c>
      <c r="H104" s="118">
        <v>4.8611111111111104E-4</v>
      </c>
      <c r="I104" s="118">
        <v>4.6296296296296293E-4</v>
      </c>
      <c r="J104"/>
      <c r="K104"/>
    </row>
    <row r="105" spans="1:11" x14ac:dyDescent="0.25">
      <c r="A105">
        <v>5</v>
      </c>
      <c r="B105">
        <v>2</v>
      </c>
      <c r="C105"/>
      <c r="D105" t="s">
        <v>31</v>
      </c>
      <c r="E105" t="s">
        <v>35</v>
      </c>
      <c r="F105" t="s">
        <v>36</v>
      </c>
      <c r="G105" s="118">
        <v>0.26168981481481485</v>
      </c>
      <c r="H105" s="118">
        <v>9.6064814814814808E-4</v>
      </c>
      <c r="I105" s="118">
        <v>3.4722222222222224E-4</v>
      </c>
      <c r="J105"/>
      <c r="K105"/>
    </row>
    <row r="106" spans="1:11" x14ac:dyDescent="0.25">
      <c r="A106">
        <v>1</v>
      </c>
      <c r="B106">
        <v>1</v>
      </c>
      <c r="C106"/>
      <c r="D106" t="s">
        <v>31</v>
      </c>
      <c r="E106" t="s">
        <v>35</v>
      </c>
      <c r="F106" t="s">
        <v>39</v>
      </c>
      <c r="G106" s="118">
        <v>0.26172453703703702</v>
      </c>
      <c r="H106" s="118">
        <v>9.3750000000000007E-4</v>
      </c>
      <c r="I106" s="118">
        <v>5.2083333333333333E-4</v>
      </c>
      <c r="J106"/>
      <c r="K106"/>
    </row>
    <row r="107" spans="1:11" x14ac:dyDescent="0.25">
      <c r="A107">
        <v>3</v>
      </c>
      <c r="B107">
        <v>2</v>
      </c>
      <c r="C107"/>
      <c r="D107" t="s">
        <v>31</v>
      </c>
      <c r="E107" t="s">
        <v>32</v>
      </c>
      <c r="F107" t="s">
        <v>92</v>
      </c>
      <c r="G107" s="118">
        <v>0.26178240740740738</v>
      </c>
      <c r="H107" s="118">
        <v>5.7870370370370378E-4</v>
      </c>
      <c r="I107" s="118">
        <v>1.0069444444444444E-3</v>
      </c>
      <c r="J107" s="118">
        <v>5.8912037037037032E-3</v>
      </c>
      <c r="K107" s="118">
        <v>5.8912037037037032E-3</v>
      </c>
    </row>
    <row r="108" spans="1:11" x14ac:dyDescent="0.25">
      <c r="A108">
        <v>2</v>
      </c>
      <c r="B108">
        <v>2</v>
      </c>
      <c r="C108"/>
      <c r="D108" t="s">
        <v>31</v>
      </c>
      <c r="E108" t="s">
        <v>35</v>
      </c>
      <c r="F108" t="s">
        <v>38</v>
      </c>
      <c r="G108" s="118">
        <v>0.26195601851851852</v>
      </c>
      <c r="H108" s="118">
        <v>9.1435185185185185E-4</v>
      </c>
      <c r="I108" s="118">
        <v>3.4722222222222224E-4</v>
      </c>
      <c r="J108"/>
      <c r="K108"/>
    </row>
    <row r="109" spans="1:11" x14ac:dyDescent="0.25">
      <c r="A109">
        <v>4</v>
      </c>
      <c r="B109">
        <v>1</v>
      </c>
      <c r="C109"/>
      <c r="D109" t="s">
        <v>31</v>
      </c>
      <c r="E109" t="s">
        <v>32</v>
      </c>
      <c r="F109" t="s">
        <v>37</v>
      </c>
      <c r="G109" s="118">
        <v>0.26200231481481479</v>
      </c>
      <c r="H109" s="118">
        <v>3.4722222222222224E-4</v>
      </c>
      <c r="I109" s="118">
        <v>9.0277777777777784E-4</v>
      </c>
      <c r="J109" s="118">
        <v>5.8912037037037032E-3</v>
      </c>
      <c r="K109" s="118">
        <v>5.8912037037037032E-3</v>
      </c>
    </row>
    <row r="110" spans="1:11" x14ac:dyDescent="0.25">
      <c r="A110">
        <v>5</v>
      </c>
      <c r="B110">
        <v>2</v>
      </c>
      <c r="C110"/>
      <c r="D110" t="s">
        <v>31</v>
      </c>
      <c r="E110" t="s">
        <v>32</v>
      </c>
      <c r="F110" t="s">
        <v>36</v>
      </c>
      <c r="G110" s="118">
        <v>0.26203703703703701</v>
      </c>
      <c r="H110" s="118">
        <v>3.4722222222222224E-4</v>
      </c>
      <c r="I110" s="118">
        <v>1.0995370370370371E-3</v>
      </c>
      <c r="J110" s="118">
        <v>5.8912037037037032E-3</v>
      </c>
      <c r="K110" s="118">
        <v>5.8912037037037032E-3</v>
      </c>
    </row>
    <row r="111" spans="1:11" x14ac:dyDescent="0.25">
      <c r="A111">
        <v>6</v>
      </c>
      <c r="B111">
        <v>2</v>
      </c>
      <c r="C111"/>
      <c r="D111" t="s">
        <v>31</v>
      </c>
      <c r="E111" t="s">
        <v>32</v>
      </c>
      <c r="F111" t="s">
        <v>40</v>
      </c>
      <c r="G111" s="118">
        <v>0.26211805555555556</v>
      </c>
      <c r="H111" s="118">
        <v>4.6296296296296293E-4</v>
      </c>
      <c r="I111" s="118">
        <v>1.0069444444444444E-3</v>
      </c>
      <c r="J111" s="118">
        <v>5.8912037037037032E-3</v>
      </c>
      <c r="K111" s="118">
        <v>6.4583333333333333E-3</v>
      </c>
    </row>
    <row r="112" spans="1:11" x14ac:dyDescent="0.25">
      <c r="A112">
        <v>1</v>
      </c>
      <c r="B112">
        <v>1</v>
      </c>
      <c r="C112"/>
      <c r="D112" t="s">
        <v>31</v>
      </c>
      <c r="E112" t="s">
        <v>32</v>
      </c>
      <c r="F112" t="s">
        <v>39</v>
      </c>
      <c r="G112" s="118">
        <v>0.26224537037037038</v>
      </c>
      <c r="H112" s="118">
        <v>5.2083333333333333E-4</v>
      </c>
      <c r="I112" s="118">
        <v>1.8055555555555557E-3</v>
      </c>
      <c r="J112" s="118">
        <v>6.4583333333333333E-3</v>
      </c>
      <c r="K112" s="118">
        <v>5.8912037037037032E-3</v>
      </c>
    </row>
    <row r="113" spans="1:11" x14ac:dyDescent="0.25">
      <c r="A113">
        <v>2</v>
      </c>
      <c r="B113">
        <v>2</v>
      </c>
      <c r="C113"/>
      <c r="D113" t="s">
        <v>31</v>
      </c>
      <c r="E113" t="s">
        <v>32</v>
      </c>
      <c r="F113" t="s">
        <v>38</v>
      </c>
      <c r="G113" s="118">
        <v>0.26230324074074074</v>
      </c>
      <c r="H113" s="118">
        <v>3.4722222222222224E-4</v>
      </c>
      <c r="I113" s="118">
        <v>1.2384259259259258E-3</v>
      </c>
      <c r="J113" s="118">
        <v>5.8912037037037032E-3</v>
      </c>
      <c r="K113" s="118">
        <v>5.8912037037037032E-3</v>
      </c>
    </row>
    <row r="114" spans="1:11" x14ac:dyDescent="0.25">
      <c r="A114">
        <v>3</v>
      </c>
      <c r="B114">
        <v>2</v>
      </c>
      <c r="C114"/>
      <c r="D114" t="s">
        <v>31</v>
      </c>
      <c r="E114" t="s">
        <v>35</v>
      </c>
      <c r="F114" t="s">
        <v>41</v>
      </c>
      <c r="G114" s="118">
        <v>0.26278935185185187</v>
      </c>
      <c r="H114" s="118">
        <v>1.0069444444444444E-3</v>
      </c>
      <c r="I114" s="118">
        <v>3.4722222222222224E-4</v>
      </c>
      <c r="J114"/>
      <c r="K114"/>
    </row>
    <row r="115" spans="1:11" x14ac:dyDescent="0.25">
      <c r="A115">
        <v>4</v>
      </c>
      <c r="B115">
        <v>1</v>
      </c>
      <c r="C115"/>
      <c r="D115" t="s">
        <v>31</v>
      </c>
      <c r="E115" t="s">
        <v>35</v>
      </c>
      <c r="F115" t="s">
        <v>42</v>
      </c>
      <c r="G115" s="118">
        <v>0.26290509259259259</v>
      </c>
      <c r="H115" s="118">
        <v>9.0277777777777784E-4</v>
      </c>
      <c r="I115" s="118">
        <v>3.4722222222222224E-4</v>
      </c>
      <c r="J115"/>
      <c r="K115"/>
    </row>
    <row r="116" spans="1:11" x14ac:dyDescent="0.25">
      <c r="A116">
        <v>6</v>
      </c>
      <c r="B116">
        <v>2</v>
      </c>
      <c r="C116"/>
      <c r="D116" t="s">
        <v>31</v>
      </c>
      <c r="E116" t="s">
        <v>35</v>
      </c>
      <c r="F116" t="s">
        <v>44</v>
      </c>
      <c r="G116" s="118">
        <v>0.263125</v>
      </c>
      <c r="H116" s="118">
        <v>1.0069444444444444E-3</v>
      </c>
      <c r="I116" s="118">
        <v>3.4722222222222224E-4</v>
      </c>
      <c r="J116"/>
      <c r="K116"/>
    </row>
    <row r="117" spans="1:11" x14ac:dyDescent="0.25">
      <c r="A117">
        <v>3</v>
      </c>
      <c r="B117">
        <v>2</v>
      </c>
      <c r="C117"/>
      <c r="D117" t="s">
        <v>31</v>
      </c>
      <c r="E117" t="s">
        <v>32</v>
      </c>
      <c r="F117" t="s">
        <v>41</v>
      </c>
      <c r="G117" s="118">
        <v>0.26313657407407409</v>
      </c>
      <c r="H117" s="118">
        <v>3.4722222222222224E-4</v>
      </c>
      <c r="I117" s="118">
        <v>8.564814814814815E-4</v>
      </c>
      <c r="J117" s="118">
        <v>5.8912037037037032E-3</v>
      </c>
      <c r="K117" s="118">
        <v>5.8912037037037032E-3</v>
      </c>
    </row>
    <row r="118" spans="1:11" x14ac:dyDescent="0.25">
      <c r="A118">
        <v>5</v>
      </c>
      <c r="B118">
        <v>2</v>
      </c>
      <c r="C118"/>
      <c r="D118" t="s">
        <v>31</v>
      </c>
      <c r="E118" t="s">
        <v>35</v>
      </c>
      <c r="F118" t="s">
        <v>43</v>
      </c>
      <c r="G118" s="118">
        <v>0.26313657407407409</v>
      </c>
      <c r="H118" s="118">
        <v>1.0995370370370371E-3</v>
      </c>
      <c r="I118" s="118">
        <v>3.4722222222222224E-4</v>
      </c>
      <c r="J118"/>
      <c r="K118"/>
    </row>
    <row r="119" spans="1:11" x14ac:dyDescent="0.25">
      <c r="A119">
        <v>4</v>
      </c>
      <c r="B119">
        <v>1</v>
      </c>
      <c r="C119"/>
      <c r="D119" t="s">
        <v>31</v>
      </c>
      <c r="E119" t="s">
        <v>32</v>
      </c>
      <c r="F119" t="s">
        <v>42</v>
      </c>
      <c r="G119" s="118">
        <v>0.26325231481481481</v>
      </c>
      <c r="H119" s="118">
        <v>3.4722222222222224E-4</v>
      </c>
      <c r="I119" s="118">
        <v>9.1435185185185185E-4</v>
      </c>
      <c r="J119" s="118">
        <v>5.8912037037037032E-3</v>
      </c>
      <c r="K119" s="118">
        <v>5.8912037037037032E-3</v>
      </c>
    </row>
    <row r="120" spans="1:11" x14ac:dyDescent="0.25">
      <c r="A120">
        <v>6</v>
      </c>
      <c r="B120">
        <v>2</v>
      </c>
      <c r="C120"/>
      <c r="D120" t="s">
        <v>31</v>
      </c>
      <c r="E120" t="s">
        <v>32</v>
      </c>
      <c r="F120" t="s">
        <v>44</v>
      </c>
      <c r="G120" s="118">
        <v>0.26347222222222222</v>
      </c>
      <c r="H120" s="118">
        <v>3.4722222222222224E-4</v>
      </c>
      <c r="I120" s="118">
        <v>9.2592592592592585E-4</v>
      </c>
      <c r="J120" s="118">
        <v>5.8912037037037032E-3</v>
      </c>
      <c r="K120" s="118">
        <v>6.4583333333333333E-3</v>
      </c>
    </row>
    <row r="121" spans="1:11" x14ac:dyDescent="0.25">
      <c r="A121">
        <v>5</v>
      </c>
      <c r="B121">
        <v>2</v>
      </c>
      <c r="C121"/>
      <c r="D121" t="s">
        <v>31</v>
      </c>
      <c r="E121" t="s">
        <v>32</v>
      </c>
      <c r="F121" t="s">
        <v>43</v>
      </c>
      <c r="G121" s="118">
        <v>0.26348379629629631</v>
      </c>
      <c r="H121" s="118">
        <v>3.4722222222222224E-4</v>
      </c>
      <c r="I121" s="118">
        <v>1.1458333333333333E-3</v>
      </c>
      <c r="J121" s="118">
        <v>5.8912037037037032E-3</v>
      </c>
      <c r="K121" s="118">
        <v>5.8912037037037032E-3</v>
      </c>
    </row>
    <row r="122" spans="1:11" x14ac:dyDescent="0.25">
      <c r="A122">
        <v>2</v>
      </c>
      <c r="B122">
        <v>2</v>
      </c>
      <c r="C122"/>
      <c r="D122" t="s">
        <v>31</v>
      </c>
      <c r="E122" t="s">
        <v>35</v>
      </c>
      <c r="F122" t="s">
        <v>45</v>
      </c>
      <c r="G122" s="118">
        <v>0.26354166666666667</v>
      </c>
      <c r="H122" s="118">
        <v>1.2384259259259258E-3</v>
      </c>
      <c r="I122" s="118">
        <v>3.4722222222222224E-4</v>
      </c>
      <c r="J122"/>
      <c r="K122"/>
    </row>
    <row r="123" spans="1:11" x14ac:dyDescent="0.25">
      <c r="A123">
        <v>2</v>
      </c>
      <c r="B123">
        <v>2</v>
      </c>
      <c r="C123"/>
      <c r="D123" t="s">
        <v>31</v>
      </c>
      <c r="E123" t="s">
        <v>32</v>
      </c>
      <c r="F123" t="s">
        <v>45</v>
      </c>
      <c r="G123" s="118">
        <v>0.2638888888888889</v>
      </c>
      <c r="H123" s="118">
        <v>3.4722222222222224E-4</v>
      </c>
      <c r="I123" s="118">
        <v>1.0416666666666667E-3</v>
      </c>
      <c r="J123" s="118">
        <v>5.8912037037037032E-3</v>
      </c>
      <c r="K123" s="118">
        <v>5.8912037037037032E-3</v>
      </c>
    </row>
    <row r="124" spans="1:11" x14ac:dyDescent="0.25">
      <c r="A124">
        <v>3</v>
      </c>
      <c r="B124">
        <v>2</v>
      </c>
      <c r="C124"/>
      <c r="D124" t="s">
        <v>31</v>
      </c>
      <c r="E124" t="s">
        <v>35</v>
      </c>
      <c r="F124" t="s">
        <v>47</v>
      </c>
      <c r="G124" s="118">
        <v>0.26399305555555558</v>
      </c>
      <c r="H124" s="118">
        <v>8.564814814814815E-4</v>
      </c>
      <c r="I124" s="118">
        <v>5.2083333333333333E-4</v>
      </c>
      <c r="J124"/>
      <c r="K124"/>
    </row>
    <row r="125" spans="1:11" x14ac:dyDescent="0.25">
      <c r="A125">
        <v>1</v>
      </c>
      <c r="B125">
        <v>1</v>
      </c>
      <c r="C125"/>
      <c r="D125" t="s">
        <v>31</v>
      </c>
      <c r="E125" t="s">
        <v>35</v>
      </c>
      <c r="F125" t="s">
        <v>46</v>
      </c>
      <c r="G125" s="118">
        <v>0.26405092592592594</v>
      </c>
      <c r="H125" s="118">
        <v>1.8055555555555557E-3</v>
      </c>
      <c r="I125" s="118">
        <v>3.4722222222222224E-4</v>
      </c>
      <c r="J125"/>
      <c r="K125"/>
    </row>
    <row r="126" spans="1:11" x14ac:dyDescent="0.25">
      <c r="A126">
        <v>4</v>
      </c>
      <c r="B126">
        <v>1</v>
      </c>
      <c r="C126"/>
      <c r="D126" t="s">
        <v>31</v>
      </c>
      <c r="E126" t="s">
        <v>35</v>
      </c>
      <c r="F126" t="s">
        <v>48</v>
      </c>
      <c r="G126" s="118">
        <v>0.26416666666666666</v>
      </c>
      <c r="H126" s="118">
        <v>9.1435185185185185E-4</v>
      </c>
      <c r="I126" s="118">
        <v>5.2083333333333333E-4</v>
      </c>
      <c r="J126"/>
      <c r="K126"/>
    </row>
    <row r="127" spans="1:11" x14ac:dyDescent="0.25">
      <c r="A127">
        <v>1</v>
      </c>
      <c r="B127">
        <v>1</v>
      </c>
      <c r="C127"/>
      <c r="D127" t="s">
        <v>31</v>
      </c>
      <c r="E127" t="s">
        <v>32</v>
      </c>
      <c r="F127" t="s">
        <v>46</v>
      </c>
      <c r="G127" s="118">
        <v>0.26439814814814816</v>
      </c>
      <c r="H127" s="118">
        <v>3.4722222222222224E-4</v>
      </c>
      <c r="I127" s="118">
        <v>9.1435185185185185E-4</v>
      </c>
      <c r="J127" s="118">
        <v>6.4583333333333333E-3</v>
      </c>
      <c r="K127" s="118">
        <v>5.8912037037037032E-3</v>
      </c>
    </row>
    <row r="128" spans="1:11" x14ac:dyDescent="0.25">
      <c r="A128">
        <v>6</v>
      </c>
      <c r="B128">
        <v>2</v>
      </c>
      <c r="C128"/>
      <c r="D128" t="s">
        <v>31</v>
      </c>
      <c r="E128" t="s">
        <v>35</v>
      </c>
      <c r="F128" t="s">
        <v>49</v>
      </c>
      <c r="G128" s="118">
        <v>0.26439814814814816</v>
      </c>
      <c r="H128" s="118">
        <v>9.2592592592592585E-4</v>
      </c>
      <c r="I128" s="118">
        <v>3.4722222222222224E-4</v>
      </c>
      <c r="J128"/>
      <c r="K128"/>
    </row>
    <row r="129" spans="1:11" x14ac:dyDescent="0.25">
      <c r="A129">
        <v>3</v>
      </c>
      <c r="B129">
        <v>2</v>
      </c>
      <c r="C129"/>
      <c r="D129" t="s">
        <v>31</v>
      </c>
      <c r="E129" t="s">
        <v>32</v>
      </c>
      <c r="F129" t="s">
        <v>47</v>
      </c>
      <c r="G129" s="118">
        <v>0.26451388888888888</v>
      </c>
      <c r="H129" s="118">
        <v>5.2083333333333333E-4</v>
      </c>
      <c r="I129" s="118">
        <v>8.7962962962962962E-4</v>
      </c>
      <c r="J129" s="118">
        <v>5.8912037037037032E-3</v>
      </c>
      <c r="K129" s="118">
        <v>5.8912037037037032E-3</v>
      </c>
    </row>
    <row r="130" spans="1:11" x14ac:dyDescent="0.25">
      <c r="A130">
        <v>5</v>
      </c>
      <c r="B130">
        <v>2</v>
      </c>
      <c r="C130"/>
      <c r="D130" t="s">
        <v>31</v>
      </c>
      <c r="E130" t="s">
        <v>35</v>
      </c>
      <c r="F130" t="s">
        <v>50</v>
      </c>
      <c r="G130" s="118">
        <v>0.2646296296296296</v>
      </c>
      <c r="H130" s="118">
        <v>1.1458333333333333E-3</v>
      </c>
      <c r="I130" s="118">
        <v>3.4722222222222224E-4</v>
      </c>
      <c r="J130"/>
      <c r="K130"/>
    </row>
    <row r="131" spans="1:11" x14ac:dyDescent="0.25">
      <c r="A131">
        <v>4</v>
      </c>
      <c r="B131">
        <v>1</v>
      </c>
      <c r="C131"/>
      <c r="D131" t="s">
        <v>31</v>
      </c>
      <c r="E131" t="s">
        <v>32</v>
      </c>
      <c r="F131" t="s">
        <v>48</v>
      </c>
      <c r="G131" s="118">
        <v>0.26468750000000002</v>
      </c>
      <c r="H131" s="118">
        <v>5.2083333333333333E-4</v>
      </c>
      <c r="I131" s="118">
        <v>8.6805555555555551E-4</v>
      </c>
      <c r="J131" s="118">
        <v>5.8912037037037032E-3</v>
      </c>
      <c r="K131" s="118">
        <v>5.8912037037037032E-3</v>
      </c>
    </row>
    <row r="132" spans="1:11" x14ac:dyDescent="0.25">
      <c r="A132">
        <v>6</v>
      </c>
      <c r="B132">
        <v>2</v>
      </c>
      <c r="C132"/>
      <c r="D132" t="s">
        <v>31</v>
      </c>
      <c r="E132" t="s">
        <v>32</v>
      </c>
      <c r="F132" t="s">
        <v>49</v>
      </c>
      <c r="G132" s="118">
        <v>0.26474537037037038</v>
      </c>
      <c r="H132" s="118">
        <v>3.4722222222222224E-4</v>
      </c>
      <c r="I132" s="118">
        <v>1.3541666666666667E-3</v>
      </c>
      <c r="J132" s="118">
        <v>5.8912037037037032E-3</v>
      </c>
      <c r="K132" s="118">
        <v>6.4583333333333333E-3</v>
      </c>
    </row>
    <row r="133" spans="1:11" x14ac:dyDescent="0.25">
      <c r="A133">
        <v>2</v>
      </c>
      <c r="B133">
        <v>2</v>
      </c>
      <c r="C133"/>
      <c r="D133" t="s">
        <v>31</v>
      </c>
      <c r="E133" t="s">
        <v>35</v>
      </c>
      <c r="F133" t="s">
        <v>52</v>
      </c>
      <c r="G133" s="118">
        <v>0.26493055555555556</v>
      </c>
      <c r="H133" s="118">
        <v>1.0416666666666667E-3</v>
      </c>
      <c r="I133" s="118">
        <v>3.4722222222222224E-4</v>
      </c>
      <c r="J133"/>
      <c r="K133"/>
    </row>
    <row r="134" spans="1:11" x14ac:dyDescent="0.25">
      <c r="A134">
        <v>5</v>
      </c>
      <c r="B134">
        <v>2</v>
      </c>
      <c r="C134"/>
      <c r="D134" t="s">
        <v>31</v>
      </c>
      <c r="E134" t="s">
        <v>32</v>
      </c>
      <c r="F134" t="s">
        <v>50</v>
      </c>
      <c r="G134" s="118">
        <v>0.26497685185185188</v>
      </c>
      <c r="H134" s="118">
        <v>3.4722222222222224E-4</v>
      </c>
      <c r="I134" s="118">
        <v>1.261574074074074E-3</v>
      </c>
      <c r="J134" s="118">
        <v>5.8912037037037032E-3</v>
      </c>
      <c r="K134" s="118">
        <v>5.8912037037037032E-3</v>
      </c>
    </row>
    <row r="135" spans="1:11" x14ac:dyDescent="0.25">
      <c r="A135">
        <v>2</v>
      </c>
      <c r="B135">
        <v>2</v>
      </c>
      <c r="C135"/>
      <c r="D135" t="s">
        <v>31</v>
      </c>
      <c r="E135" t="s">
        <v>32</v>
      </c>
      <c r="F135" t="s">
        <v>52</v>
      </c>
      <c r="G135" s="118">
        <v>0.26527777777777778</v>
      </c>
      <c r="H135" s="118">
        <v>3.4722222222222224E-4</v>
      </c>
      <c r="I135" s="118">
        <v>1.0532407407407407E-3</v>
      </c>
      <c r="J135" s="118">
        <v>5.8912037037037032E-3</v>
      </c>
      <c r="K135" s="118">
        <v>5.8912037037037032E-3</v>
      </c>
    </row>
    <row r="136" spans="1:11" x14ac:dyDescent="0.25">
      <c r="A136">
        <v>1</v>
      </c>
      <c r="B136">
        <v>1</v>
      </c>
      <c r="C136"/>
      <c r="D136" t="s">
        <v>31</v>
      </c>
      <c r="E136" t="s">
        <v>35</v>
      </c>
      <c r="F136" t="s">
        <v>51</v>
      </c>
      <c r="G136" s="118">
        <v>0.26531250000000001</v>
      </c>
      <c r="H136" s="118">
        <v>9.1435185185185185E-4</v>
      </c>
      <c r="I136" s="118">
        <v>3.4722222222222224E-4</v>
      </c>
      <c r="J136"/>
      <c r="K136"/>
    </row>
    <row r="137" spans="1:11" x14ac:dyDescent="0.25">
      <c r="A137">
        <v>3</v>
      </c>
      <c r="B137">
        <v>2</v>
      </c>
      <c r="C137"/>
      <c r="D137" t="s">
        <v>31</v>
      </c>
      <c r="E137" t="s">
        <v>35</v>
      </c>
      <c r="F137" t="s">
        <v>53</v>
      </c>
      <c r="G137" s="118">
        <v>0.2653935185185185</v>
      </c>
      <c r="H137" s="118">
        <v>8.7962962962962962E-4</v>
      </c>
      <c r="I137" s="118">
        <v>3.4722222222222224E-4</v>
      </c>
      <c r="J137"/>
      <c r="K137"/>
    </row>
    <row r="138" spans="1:11" x14ac:dyDescent="0.25">
      <c r="A138">
        <v>4</v>
      </c>
      <c r="B138">
        <v>1</v>
      </c>
      <c r="C138"/>
      <c r="D138" t="s">
        <v>31</v>
      </c>
      <c r="E138" t="s">
        <v>35</v>
      </c>
      <c r="F138" t="s">
        <v>54</v>
      </c>
      <c r="G138" s="118">
        <v>0.26555555555555554</v>
      </c>
      <c r="H138" s="118">
        <v>8.6805555555555551E-4</v>
      </c>
      <c r="I138" s="118">
        <v>3.4722222222222224E-4</v>
      </c>
      <c r="J138"/>
      <c r="K138"/>
    </row>
    <row r="139" spans="1:11" x14ac:dyDescent="0.25">
      <c r="A139">
        <v>1</v>
      </c>
      <c r="B139">
        <v>1</v>
      </c>
      <c r="C139"/>
      <c r="D139" t="s">
        <v>31</v>
      </c>
      <c r="E139" t="s">
        <v>32</v>
      </c>
      <c r="F139" t="s">
        <v>51</v>
      </c>
      <c r="G139" s="118">
        <v>0.26565972222222223</v>
      </c>
      <c r="H139" s="118">
        <v>3.4722222222222224E-4</v>
      </c>
      <c r="I139" s="118">
        <v>1.0069444444444444E-3</v>
      </c>
      <c r="J139" s="118">
        <v>6.4583333333333333E-3</v>
      </c>
      <c r="K139" s="118">
        <v>5.8912037037037032E-3</v>
      </c>
    </row>
    <row r="140" spans="1:11" x14ac:dyDescent="0.25">
      <c r="A140">
        <v>3</v>
      </c>
      <c r="B140">
        <v>2</v>
      </c>
      <c r="C140"/>
      <c r="D140" t="s">
        <v>31</v>
      </c>
      <c r="E140" t="s">
        <v>32</v>
      </c>
      <c r="F140" t="s">
        <v>53</v>
      </c>
      <c r="G140" s="118">
        <v>0.26574074074074078</v>
      </c>
      <c r="H140" s="118">
        <v>3.4722222222222224E-4</v>
      </c>
      <c r="I140" s="118">
        <v>8.449074074074075E-4</v>
      </c>
      <c r="J140" s="118">
        <v>5.8912037037037032E-3</v>
      </c>
      <c r="K140" s="118">
        <v>5.8912037037037032E-3</v>
      </c>
    </row>
    <row r="141" spans="1:11" x14ac:dyDescent="0.25">
      <c r="A141">
        <v>4</v>
      </c>
      <c r="B141">
        <v>1</v>
      </c>
      <c r="C141"/>
      <c r="D141" t="s">
        <v>31</v>
      </c>
      <c r="E141" t="s">
        <v>32</v>
      </c>
      <c r="F141" t="s">
        <v>54</v>
      </c>
      <c r="G141" s="118">
        <v>0.26590277777777777</v>
      </c>
      <c r="H141" s="118">
        <v>3.4722222222222224E-4</v>
      </c>
      <c r="I141" s="118">
        <v>1.1921296296296296E-3</v>
      </c>
      <c r="J141" s="118">
        <v>5.8912037037037032E-3</v>
      </c>
      <c r="K141" s="118">
        <v>5.8912037037037032E-3</v>
      </c>
    </row>
    <row r="142" spans="1:11" x14ac:dyDescent="0.25">
      <c r="A142">
        <v>6</v>
      </c>
      <c r="B142">
        <v>2</v>
      </c>
      <c r="C142"/>
      <c r="D142" t="s">
        <v>31</v>
      </c>
      <c r="E142" t="s">
        <v>35</v>
      </c>
      <c r="F142" t="s">
        <v>33</v>
      </c>
      <c r="G142" s="118">
        <v>0.26609953703703704</v>
      </c>
      <c r="H142" s="118">
        <v>1.3541666666666667E-3</v>
      </c>
      <c r="I142" s="118">
        <v>5.2083333333333333E-4</v>
      </c>
      <c r="J142"/>
      <c r="K142"/>
    </row>
    <row r="143" spans="1:11" x14ac:dyDescent="0.25">
      <c r="A143">
        <v>5</v>
      </c>
      <c r="B143">
        <v>2</v>
      </c>
      <c r="C143"/>
      <c r="D143" t="s">
        <v>31</v>
      </c>
      <c r="E143" t="s">
        <v>35</v>
      </c>
      <c r="F143" t="s">
        <v>56</v>
      </c>
      <c r="G143" s="118">
        <v>0.26623842592592589</v>
      </c>
      <c r="H143" s="118">
        <v>1.261574074074074E-3</v>
      </c>
      <c r="I143" s="118">
        <v>3.4722222222222224E-4</v>
      </c>
      <c r="J143"/>
      <c r="K143"/>
    </row>
    <row r="144" spans="1:11" x14ac:dyDescent="0.25">
      <c r="A144">
        <v>2</v>
      </c>
      <c r="B144">
        <v>2</v>
      </c>
      <c r="C144"/>
      <c r="D144" t="s">
        <v>31</v>
      </c>
      <c r="E144" t="s">
        <v>35</v>
      </c>
      <c r="F144" t="s">
        <v>57</v>
      </c>
      <c r="G144" s="118">
        <v>0.26633101851851854</v>
      </c>
      <c r="H144" s="118">
        <v>1.0532407407407407E-3</v>
      </c>
      <c r="I144" s="118">
        <v>3.4722222222222224E-4</v>
      </c>
      <c r="J144"/>
      <c r="K144"/>
    </row>
    <row r="145" spans="1:11" x14ac:dyDescent="0.25">
      <c r="A145">
        <v>3</v>
      </c>
      <c r="B145">
        <v>2</v>
      </c>
      <c r="C145"/>
      <c r="D145" t="s">
        <v>31</v>
      </c>
      <c r="E145" t="s">
        <v>35</v>
      </c>
      <c r="F145" t="s">
        <v>34</v>
      </c>
      <c r="G145" s="118">
        <v>0.26658564814814817</v>
      </c>
      <c r="H145" s="118">
        <v>8.449074074074075E-4</v>
      </c>
      <c r="I145" s="118">
        <v>3.4722222222222224E-4</v>
      </c>
      <c r="J145"/>
      <c r="K145"/>
    </row>
    <row r="146" spans="1:11" x14ac:dyDescent="0.25">
      <c r="A146">
        <v>5</v>
      </c>
      <c r="B146">
        <v>2</v>
      </c>
      <c r="C146"/>
      <c r="D146" t="s">
        <v>31</v>
      </c>
      <c r="E146" t="s">
        <v>32</v>
      </c>
      <c r="F146" t="s">
        <v>56</v>
      </c>
      <c r="G146" s="118">
        <v>0.26658564814814817</v>
      </c>
      <c r="H146" s="118">
        <v>3.4722222222222224E-4</v>
      </c>
      <c r="I146" s="118">
        <v>9.6064814814814808E-4</v>
      </c>
      <c r="J146" s="118">
        <v>5.8912037037037032E-3</v>
      </c>
      <c r="K146" s="118">
        <v>5.8912037037037032E-3</v>
      </c>
    </row>
    <row r="147" spans="1:11" x14ac:dyDescent="0.25">
      <c r="A147">
        <v>6</v>
      </c>
      <c r="B147">
        <v>2</v>
      </c>
      <c r="C147"/>
      <c r="D147" t="s">
        <v>31</v>
      </c>
      <c r="E147" t="s">
        <v>32</v>
      </c>
      <c r="F147" t="s">
        <v>33</v>
      </c>
      <c r="G147" s="118">
        <v>0.2666203703703704</v>
      </c>
      <c r="H147" s="118">
        <v>5.2083333333333333E-4</v>
      </c>
      <c r="I147" s="118">
        <v>9.6064814814814808E-4</v>
      </c>
      <c r="J147" s="118">
        <v>5.8912037037037032E-3</v>
      </c>
      <c r="K147" s="118">
        <v>6.4583333333333333E-3</v>
      </c>
    </row>
    <row r="148" spans="1:11" x14ac:dyDescent="0.25">
      <c r="A148">
        <v>1</v>
      </c>
      <c r="B148">
        <v>1</v>
      </c>
      <c r="C148"/>
      <c r="D148" t="s">
        <v>31</v>
      </c>
      <c r="E148" t="s">
        <v>35</v>
      </c>
      <c r="F148" t="s">
        <v>55</v>
      </c>
      <c r="G148" s="118">
        <v>0.26666666666666666</v>
      </c>
      <c r="H148" s="118">
        <v>1.0069444444444444E-3</v>
      </c>
      <c r="I148" s="118">
        <v>4.6296296296296293E-4</v>
      </c>
      <c r="J148"/>
      <c r="K148"/>
    </row>
    <row r="149" spans="1:11" x14ac:dyDescent="0.25">
      <c r="A149">
        <v>2</v>
      </c>
      <c r="B149">
        <v>2</v>
      </c>
      <c r="C149"/>
      <c r="D149" t="s">
        <v>31</v>
      </c>
      <c r="E149" t="s">
        <v>32</v>
      </c>
      <c r="F149" t="s">
        <v>57</v>
      </c>
      <c r="G149" s="118">
        <v>0.26667824074074076</v>
      </c>
      <c r="H149" s="118">
        <v>3.4722222222222224E-4</v>
      </c>
      <c r="I149" s="118">
        <v>9.3750000000000007E-4</v>
      </c>
      <c r="J149" s="118">
        <v>5.8912037037037032E-3</v>
      </c>
      <c r="K149" s="118">
        <v>5.8912037037037032E-3</v>
      </c>
    </row>
    <row r="150" spans="1:11" x14ac:dyDescent="0.25">
      <c r="A150">
        <v>3</v>
      </c>
      <c r="B150">
        <v>2</v>
      </c>
      <c r="C150"/>
      <c r="D150" t="s">
        <v>31</v>
      </c>
      <c r="E150" t="s">
        <v>32</v>
      </c>
      <c r="F150" t="s">
        <v>34</v>
      </c>
      <c r="G150" s="118">
        <v>0.26693287037037033</v>
      </c>
      <c r="H150" s="118">
        <v>3.4722222222222224E-4</v>
      </c>
      <c r="I150" s="118">
        <v>9.1435185185185185E-4</v>
      </c>
      <c r="J150" s="118">
        <v>5.8912037037037032E-3</v>
      </c>
      <c r="K150" s="118">
        <v>5.8912037037037032E-3</v>
      </c>
    </row>
    <row r="151" spans="1:11" x14ac:dyDescent="0.25">
      <c r="A151">
        <v>4</v>
      </c>
      <c r="B151">
        <v>1</v>
      </c>
      <c r="C151"/>
      <c r="D151" t="s">
        <v>31</v>
      </c>
      <c r="E151" t="s">
        <v>35</v>
      </c>
      <c r="F151" t="s">
        <v>92</v>
      </c>
      <c r="G151" s="118">
        <v>0.26709490740740743</v>
      </c>
      <c r="H151" s="118">
        <v>1.1921296296296296E-3</v>
      </c>
      <c r="I151" s="118">
        <v>5.7870370370370378E-4</v>
      </c>
      <c r="J151"/>
      <c r="K151"/>
    </row>
    <row r="152" spans="1:11" x14ac:dyDescent="0.25">
      <c r="A152">
        <v>1</v>
      </c>
      <c r="B152">
        <v>1</v>
      </c>
      <c r="C152"/>
      <c r="D152" t="s">
        <v>31</v>
      </c>
      <c r="E152" t="s">
        <v>32</v>
      </c>
      <c r="F152" t="s">
        <v>55</v>
      </c>
      <c r="G152" s="118">
        <v>0.26712962962962966</v>
      </c>
      <c r="H152" s="118">
        <v>4.6296296296296293E-4</v>
      </c>
      <c r="I152" s="118">
        <v>4.3981481481481481E-4</v>
      </c>
      <c r="J152" s="118">
        <v>6.4583333333333333E-3</v>
      </c>
      <c r="K152" s="118">
        <v>5.8912037037037032E-3</v>
      </c>
    </row>
    <row r="153" spans="1:11" x14ac:dyDescent="0.25">
      <c r="A153">
        <v>5</v>
      </c>
      <c r="B153">
        <v>2</v>
      </c>
      <c r="C153"/>
      <c r="D153" t="s">
        <v>31</v>
      </c>
      <c r="E153" t="s">
        <v>35</v>
      </c>
      <c r="F153" t="s">
        <v>37</v>
      </c>
      <c r="G153" s="118">
        <v>0.26754629629629628</v>
      </c>
      <c r="H153" s="118">
        <v>9.6064814814814808E-4</v>
      </c>
      <c r="I153" s="118">
        <v>3.4722222222222224E-4</v>
      </c>
      <c r="J153"/>
      <c r="K153"/>
    </row>
    <row r="154" spans="1:11" x14ac:dyDescent="0.25">
      <c r="A154">
        <v>1</v>
      </c>
      <c r="B154">
        <v>1</v>
      </c>
      <c r="C154"/>
      <c r="D154" t="s">
        <v>31</v>
      </c>
      <c r="E154" t="s">
        <v>35</v>
      </c>
      <c r="F154" t="s">
        <v>58</v>
      </c>
      <c r="G154" s="118">
        <v>0.26756944444444447</v>
      </c>
      <c r="H154" s="118">
        <v>4.3981481481481481E-4</v>
      </c>
      <c r="I154" s="118">
        <v>5.7870370370370366E-5</v>
      </c>
      <c r="J154"/>
      <c r="K154"/>
    </row>
    <row r="155" spans="1:11" x14ac:dyDescent="0.25">
      <c r="A155">
        <v>6</v>
      </c>
      <c r="B155">
        <v>2</v>
      </c>
      <c r="C155"/>
      <c r="D155" t="s">
        <v>31</v>
      </c>
      <c r="E155" t="s">
        <v>35</v>
      </c>
      <c r="F155" t="s">
        <v>36</v>
      </c>
      <c r="G155" s="118">
        <v>0.26758101851851851</v>
      </c>
      <c r="H155" s="118">
        <v>9.6064814814814808E-4</v>
      </c>
      <c r="I155" s="118">
        <v>3.4722222222222224E-4</v>
      </c>
      <c r="J155"/>
      <c r="K155"/>
    </row>
    <row r="156" spans="1:11" x14ac:dyDescent="0.25">
      <c r="A156">
        <v>2</v>
      </c>
      <c r="B156">
        <v>2</v>
      </c>
      <c r="C156"/>
      <c r="D156" t="s">
        <v>31</v>
      </c>
      <c r="E156" t="s">
        <v>35</v>
      </c>
      <c r="F156" t="s">
        <v>39</v>
      </c>
      <c r="G156" s="118">
        <v>0.26761574074074074</v>
      </c>
      <c r="H156" s="118">
        <v>9.3750000000000007E-4</v>
      </c>
      <c r="I156" s="118">
        <v>5.2083333333333333E-4</v>
      </c>
      <c r="J156"/>
      <c r="K156"/>
    </row>
    <row r="157" spans="1:11" x14ac:dyDescent="0.25">
      <c r="A157">
        <v>1</v>
      </c>
      <c r="B157">
        <v>1</v>
      </c>
      <c r="C157"/>
      <c r="D157" t="s">
        <v>31</v>
      </c>
      <c r="E157" t="s">
        <v>32</v>
      </c>
      <c r="F157" t="s">
        <v>58</v>
      </c>
      <c r="G157" s="118">
        <v>0.26762731481481483</v>
      </c>
      <c r="H157" s="118">
        <v>5.7870370370370366E-5</v>
      </c>
      <c r="I157" s="118">
        <v>4.8611111111111104E-4</v>
      </c>
      <c r="J157" s="118">
        <v>6.4583333333333333E-3</v>
      </c>
      <c r="K157" s="118">
        <v>5.8912037037037032E-3</v>
      </c>
    </row>
    <row r="158" spans="1:11" x14ac:dyDescent="0.25">
      <c r="A158">
        <v>4</v>
      </c>
      <c r="B158">
        <v>2</v>
      </c>
      <c r="C158"/>
      <c r="D158" t="s">
        <v>31</v>
      </c>
      <c r="E158" t="s">
        <v>32</v>
      </c>
      <c r="F158" t="s">
        <v>92</v>
      </c>
      <c r="G158" s="118">
        <v>0.2676736111111111</v>
      </c>
      <c r="H158" s="118">
        <v>5.7870370370370378E-4</v>
      </c>
      <c r="I158" s="118">
        <v>1.0069444444444444E-3</v>
      </c>
      <c r="J158" s="118">
        <v>5.8912037037037032E-3</v>
      </c>
      <c r="K158" s="118">
        <v>5.8912037037037032E-3</v>
      </c>
    </row>
    <row r="159" spans="1:11" x14ac:dyDescent="0.25">
      <c r="A159">
        <v>3</v>
      </c>
      <c r="B159">
        <v>2</v>
      </c>
      <c r="C159"/>
      <c r="D159" t="s">
        <v>31</v>
      </c>
      <c r="E159" t="s">
        <v>35</v>
      </c>
      <c r="F159" t="s">
        <v>38</v>
      </c>
      <c r="G159" s="118">
        <v>0.26784722222222224</v>
      </c>
      <c r="H159" s="118">
        <v>9.1435185185185185E-4</v>
      </c>
      <c r="I159" s="118">
        <v>3.4722222222222224E-4</v>
      </c>
      <c r="J159"/>
      <c r="K159"/>
    </row>
    <row r="160" spans="1:11" x14ac:dyDescent="0.25">
      <c r="A160">
        <v>5</v>
      </c>
      <c r="B160">
        <v>2</v>
      </c>
      <c r="C160"/>
      <c r="D160" t="s">
        <v>31</v>
      </c>
      <c r="E160" t="s">
        <v>32</v>
      </c>
      <c r="F160" t="s">
        <v>37</v>
      </c>
      <c r="G160" s="118">
        <v>0.2678935185185185</v>
      </c>
      <c r="H160" s="118">
        <v>3.4722222222222224E-4</v>
      </c>
      <c r="I160" s="118">
        <v>9.0277777777777784E-4</v>
      </c>
      <c r="J160" s="118">
        <v>5.8912037037037032E-3</v>
      </c>
      <c r="K160" s="118">
        <v>5.8912037037037032E-3</v>
      </c>
    </row>
    <row r="161" spans="1:11" x14ac:dyDescent="0.25">
      <c r="A161">
        <v>6</v>
      </c>
      <c r="B161">
        <v>2</v>
      </c>
      <c r="C161"/>
      <c r="D161" t="s">
        <v>31</v>
      </c>
      <c r="E161" t="s">
        <v>32</v>
      </c>
      <c r="F161" t="s">
        <v>36</v>
      </c>
      <c r="G161" s="118">
        <v>0.26792824074074073</v>
      </c>
      <c r="H161" s="118">
        <v>3.4722222222222224E-4</v>
      </c>
      <c r="I161" s="118">
        <v>1.0995370370370371E-3</v>
      </c>
      <c r="J161" s="118">
        <v>5.8912037037037032E-3</v>
      </c>
      <c r="K161" s="118">
        <v>6.4583333333333333E-3</v>
      </c>
    </row>
    <row r="162" spans="1:11" x14ac:dyDescent="0.25">
      <c r="A162">
        <v>1</v>
      </c>
      <c r="B162">
        <v>1</v>
      </c>
      <c r="C162"/>
      <c r="D162" t="s">
        <v>31</v>
      </c>
      <c r="E162" t="s">
        <v>35</v>
      </c>
      <c r="F162" t="s">
        <v>40</v>
      </c>
      <c r="G162" s="118">
        <v>0.26811342592592591</v>
      </c>
      <c r="H162" s="118">
        <v>4.8611111111111104E-4</v>
      </c>
      <c r="I162" s="118">
        <v>4.6296296296296293E-4</v>
      </c>
      <c r="J162"/>
      <c r="K162"/>
    </row>
    <row r="163" spans="1:11" x14ac:dyDescent="0.25">
      <c r="A163">
        <v>2</v>
      </c>
      <c r="B163">
        <v>2</v>
      </c>
      <c r="C163"/>
      <c r="D163" t="s">
        <v>31</v>
      </c>
      <c r="E163" t="s">
        <v>32</v>
      </c>
      <c r="F163" t="s">
        <v>39</v>
      </c>
      <c r="G163" s="118">
        <v>0.26813657407407404</v>
      </c>
      <c r="H163" s="118">
        <v>5.2083333333333333E-4</v>
      </c>
      <c r="I163" s="118">
        <v>1.8055555555555557E-3</v>
      </c>
      <c r="J163" s="118">
        <v>5.8912037037037032E-3</v>
      </c>
      <c r="K163" s="118">
        <v>5.8912037037037032E-3</v>
      </c>
    </row>
    <row r="164" spans="1:11" x14ac:dyDescent="0.25">
      <c r="A164">
        <v>3</v>
      </c>
      <c r="B164">
        <v>2</v>
      </c>
      <c r="C164"/>
      <c r="D164" t="s">
        <v>31</v>
      </c>
      <c r="E164" t="s">
        <v>32</v>
      </c>
      <c r="F164" t="s">
        <v>38</v>
      </c>
      <c r="G164" s="118">
        <v>0.26819444444444446</v>
      </c>
      <c r="H164" s="118">
        <v>3.4722222222222224E-4</v>
      </c>
      <c r="I164" s="118">
        <v>1.2384259259259258E-3</v>
      </c>
      <c r="J164" s="118">
        <v>5.8912037037037032E-3</v>
      </c>
      <c r="K164" s="118">
        <v>5.8912037037037032E-3</v>
      </c>
    </row>
    <row r="165" spans="1:11" x14ac:dyDescent="0.25">
      <c r="A165">
        <v>1</v>
      </c>
      <c r="B165">
        <v>1</v>
      </c>
      <c r="C165"/>
      <c r="D165" t="s">
        <v>31</v>
      </c>
      <c r="E165" t="s">
        <v>32</v>
      </c>
      <c r="F165" t="s">
        <v>40</v>
      </c>
      <c r="G165" s="118">
        <v>0.26857638888888891</v>
      </c>
      <c r="H165" s="118">
        <v>4.6296296296296293E-4</v>
      </c>
      <c r="I165" s="118">
        <v>1.0069444444444444E-3</v>
      </c>
      <c r="J165" s="118">
        <v>6.4583333333333333E-3</v>
      </c>
      <c r="K165" s="118">
        <v>5.8912037037037032E-3</v>
      </c>
    </row>
    <row r="166" spans="1:11" x14ac:dyDescent="0.25">
      <c r="A166">
        <v>4</v>
      </c>
      <c r="B166">
        <v>2</v>
      </c>
      <c r="C166"/>
      <c r="D166" t="s">
        <v>31</v>
      </c>
      <c r="E166" t="s">
        <v>35</v>
      </c>
      <c r="F166" t="s">
        <v>41</v>
      </c>
      <c r="G166" s="118">
        <v>0.26868055555555553</v>
      </c>
      <c r="H166" s="118">
        <v>1.0069444444444444E-3</v>
      </c>
      <c r="I166" s="118">
        <v>3.4722222222222224E-4</v>
      </c>
      <c r="J166"/>
      <c r="K166"/>
    </row>
    <row r="167" spans="1:11" x14ac:dyDescent="0.25">
      <c r="A167">
        <v>5</v>
      </c>
      <c r="B167">
        <v>2</v>
      </c>
      <c r="C167"/>
      <c r="D167" t="s">
        <v>31</v>
      </c>
      <c r="E167" t="s">
        <v>35</v>
      </c>
      <c r="F167" t="s">
        <v>42</v>
      </c>
      <c r="G167" s="118">
        <v>0.26879629629629631</v>
      </c>
      <c r="H167" s="118">
        <v>9.0277777777777784E-4</v>
      </c>
      <c r="I167" s="118">
        <v>3.4722222222222224E-4</v>
      </c>
      <c r="J167"/>
      <c r="K167"/>
    </row>
    <row r="168" spans="1:11" x14ac:dyDescent="0.25">
      <c r="A168">
        <v>4</v>
      </c>
      <c r="B168">
        <v>2</v>
      </c>
      <c r="C168"/>
      <c r="D168" t="s">
        <v>31</v>
      </c>
      <c r="E168" t="s">
        <v>32</v>
      </c>
      <c r="F168" t="s">
        <v>41</v>
      </c>
      <c r="G168" s="118">
        <v>0.26902777777777781</v>
      </c>
      <c r="H168" s="118">
        <v>3.4722222222222224E-4</v>
      </c>
      <c r="I168" s="118">
        <v>8.564814814814815E-4</v>
      </c>
      <c r="J168" s="118">
        <v>5.8912037037037032E-3</v>
      </c>
      <c r="K168" s="118">
        <v>5.8912037037037032E-3</v>
      </c>
    </row>
    <row r="169" spans="1:11" x14ac:dyDescent="0.25">
      <c r="A169">
        <v>6</v>
      </c>
      <c r="B169">
        <v>2</v>
      </c>
      <c r="C169"/>
      <c r="D169" t="s">
        <v>31</v>
      </c>
      <c r="E169" t="s">
        <v>35</v>
      </c>
      <c r="F169" t="s">
        <v>43</v>
      </c>
      <c r="G169" s="118">
        <v>0.26902777777777781</v>
      </c>
      <c r="H169" s="118">
        <v>1.0995370370370371E-3</v>
      </c>
      <c r="I169" s="118">
        <v>3.4722222222222224E-4</v>
      </c>
      <c r="J169"/>
      <c r="K169"/>
    </row>
    <row r="170" spans="1:11" x14ac:dyDescent="0.25">
      <c r="A170">
        <v>5</v>
      </c>
      <c r="B170">
        <v>2</v>
      </c>
      <c r="C170"/>
      <c r="D170" t="s">
        <v>31</v>
      </c>
      <c r="E170" t="s">
        <v>32</v>
      </c>
      <c r="F170" t="s">
        <v>42</v>
      </c>
      <c r="G170" s="118">
        <v>0.26914351851851853</v>
      </c>
      <c r="H170" s="118">
        <v>3.4722222222222224E-4</v>
      </c>
      <c r="I170" s="118">
        <v>9.1435185185185185E-4</v>
      </c>
      <c r="J170" s="118">
        <v>5.8912037037037032E-3</v>
      </c>
      <c r="K170" s="118">
        <v>5.8912037037037032E-3</v>
      </c>
    </row>
    <row r="171" spans="1:11" x14ac:dyDescent="0.25">
      <c r="A171">
        <v>6</v>
      </c>
      <c r="B171">
        <v>2</v>
      </c>
      <c r="C171"/>
      <c r="D171" t="s">
        <v>31</v>
      </c>
      <c r="E171" t="s">
        <v>32</v>
      </c>
      <c r="F171" t="s">
        <v>43</v>
      </c>
      <c r="G171" s="118">
        <v>0.26937499999999998</v>
      </c>
      <c r="H171" s="118">
        <v>3.4722222222222224E-4</v>
      </c>
      <c r="I171" s="118">
        <v>1.1458333333333333E-3</v>
      </c>
      <c r="J171" s="118">
        <v>5.8912037037037032E-3</v>
      </c>
      <c r="K171" s="118">
        <v>6.4583333333333333E-3</v>
      </c>
    </row>
    <row r="172" spans="1:11" x14ac:dyDescent="0.25">
      <c r="A172">
        <v>3</v>
      </c>
      <c r="B172">
        <v>2</v>
      </c>
      <c r="C172"/>
      <c r="D172" t="s">
        <v>31</v>
      </c>
      <c r="E172" t="s">
        <v>35</v>
      </c>
      <c r="F172" t="s">
        <v>45</v>
      </c>
      <c r="G172" s="118">
        <v>0.26943287037037039</v>
      </c>
      <c r="H172" s="118">
        <v>1.2384259259259258E-3</v>
      </c>
      <c r="I172" s="118">
        <v>3.4722222222222224E-4</v>
      </c>
      <c r="J172"/>
      <c r="K172"/>
    </row>
    <row r="173" spans="1:11" x14ac:dyDescent="0.25">
      <c r="A173">
        <v>1</v>
      </c>
      <c r="B173">
        <v>1</v>
      </c>
      <c r="C173"/>
      <c r="D173" t="s">
        <v>31</v>
      </c>
      <c r="E173" t="s">
        <v>35</v>
      </c>
      <c r="F173" t="s">
        <v>44</v>
      </c>
      <c r="G173" s="118">
        <v>0.26958333333333334</v>
      </c>
      <c r="H173" s="118">
        <v>1.0069444444444444E-3</v>
      </c>
      <c r="I173" s="118">
        <v>3.4722222222222224E-4</v>
      </c>
      <c r="J173"/>
      <c r="K173"/>
    </row>
    <row r="174" spans="1:11" x14ac:dyDescent="0.25">
      <c r="A174">
        <v>3</v>
      </c>
      <c r="B174">
        <v>2</v>
      </c>
      <c r="C174"/>
      <c r="D174" t="s">
        <v>31</v>
      </c>
      <c r="E174" t="s">
        <v>32</v>
      </c>
      <c r="F174" t="s">
        <v>45</v>
      </c>
      <c r="G174" s="118">
        <v>0.26978009259259256</v>
      </c>
      <c r="H174" s="118">
        <v>3.4722222222222224E-4</v>
      </c>
      <c r="I174" s="118">
        <v>1.0416666666666667E-3</v>
      </c>
      <c r="J174" s="118">
        <v>5.8912037037037032E-3</v>
      </c>
      <c r="K174" s="118">
        <v>5.8912037037037032E-3</v>
      </c>
    </row>
    <row r="175" spans="1:11" x14ac:dyDescent="0.25">
      <c r="A175">
        <v>4</v>
      </c>
      <c r="B175">
        <v>2</v>
      </c>
      <c r="C175"/>
      <c r="D175" t="s">
        <v>31</v>
      </c>
      <c r="E175" t="s">
        <v>35</v>
      </c>
      <c r="F175" t="s">
        <v>47</v>
      </c>
      <c r="G175" s="118">
        <v>0.26988425925925924</v>
      </c>
      <c r="H175" s="118">
        <v>8.564814814814815E-4</v>
      </c>
      <c r="I175" s="118">
        <v>5.2083333333333333E-4</v>
      </c>
      <c r="J175"/>
      <c r="K175"/>
    </row>
    <row r="176" spans="1:11" x14ac:dyDescent="0.25">
      <c r="A176">
        <v>1</v>
      </c>
      <c r="B176">
        <v>1</v>
      </c>
      <c r="C176"/>
      <c r="D176" t="s">
        <v>31</v>
      </c>
      <c r="E176" t="s">
        <v>32</v>
      </c>
      <c r="F176" t="s">
        <v>44</v>
      </c>
      <c r="G176" s="118">
        <v>0.26993055555555556</v>
      </c>
      <c r="H176" s="118">
        <v>3.4722222222222224E-4</v>
      </c>
      <c r="I176" s="118">
        <v>9.2592592592592585E-4</v>
      </c>
      <c r="J176" s="118">
        <v>6.4583333333333333E-3</v>
      </c>
      <c r="K176" s="118">
        <v>5.8912037037037032E-3</v>
      </c>
    </row>
    <row r="177" spans="1:11" x14ac:dyDescent="0.25">
      <c r="A177">
        <v>2</v>
      </c>
      <c r="B177">
        <v>2</v>
      </c>
      <c r="C177"/>
      <c r="D177" t="s">
        <v>31</v>
      </c>
      <c r="E177" t="s">
        <v>35</v>
      </c>
      <c r="F177" t="s">
        <v>46</v>
      </c>
      <c r="G177" s="118">
        <v>0.26994212962962966</v>
      </c>
      <c r="H177" s="118">
        <v>1.8055555555555557E-3</v>
      </c>
      <c r="I177" s="118">
        <v>3.4722222222222224E-4</v>
      </c>
      <c r="J177"/>
      <c r="K177"/>
    </row>
    <row r="178" spans="1:11" x14ac:dyDescent="0.25">
      <c r="A178">
        <v>5</v>
      </c>
      <c r="B178">
        <v>2</v>
      </c>
      <c r="C178"/>
      <c r="D178" t="s">
        <v>31</v>
      </c>
      <c r="E178" t="s">
        <v>35</v>
      </c>
      <c r="F178" t="s">
        <v>48</v>
      </c>
      <c r="G178" s="118">
        <v>0.27005787037037038</v>
      </c>
      <c r="H178" s="118">
        <v>9.1435185185185185E-4</v>
      </c>
      <c r="I178" s="118">
        <v>5.2083333333333333E-4</v>
      </c>
      <c r="J178"/>
      <c r="K178"/>
    </row>
    <row r="179" spans="1:11" x14ac:dyDescent="0.25">
      <c r="A179">
        <v>2</v>
      </c>
      <c r="B179">
        <v>2</v>
      </c>
      <c r="C179"/>
      <c r="D179" t="s">
        <v>31</v>
      </c>
      <c r="E179" t="s">
        <v>32</v>
      </c>
      <c r="F179" t="s">
        <v>46</v>
      </c>
      <c r="G179" s="118">
        <v>0.27028935185185182</v>
      </c>
      <c r="H179" s="118">
        <v>3.4722222222222224E-4</v>
      </c>
      <c r="I179" s="118">
        <v>9.1435185185185185E-4</v>
      </c>
      <c r="J179" s="118">
        <v>5.8912037037037032E-3</v>
      </c>
      <c r="K179" s="118">
        <v>5.8912037037037032E-3</v>
      </c>
    </row>
    <row r="180" spans="1:11" x14ac:dyDescent="0.25">
      <c r="A180">
        <v>4</v>
      </c>
      <c r="B180">
        <v>2</v>
      </c>
      <c r="C180"/>
      <c r="D180" t="s">
        <v>31</v>
      </c>
      <c r="E180" t="s">
        <v>32</v>
      </c>
      <c r="F180" t="s">
        <v>47</v>
      </c>
      <c r="G180" s="118">
        <v>0.2704050925925926</v>
      </c>
      <c r="H180" s="118">
        <v>5.2083333333333333E-4</v>
      </c>
      <c r="I180" s="118">
        <v>8.7962962962962962E-4</v>
      </c>
      <c r="J180" s="118">
        <v>5.8912037037037032E-3</v>
      </c>
      <c r="K180" s="118">
        <v>5.8912037037037032E-3</v>
      </c>
    </row>
    <row r="181" spans="1:11" x14ac:dyDescent="0.25">
      <c r="A181">
        <v>6</v>
      </c>
      <c r="B181">
        <v>2</v>
      </c>
      <c r="C181"/>
      <c r="D181" t="s">
        <v>31</v>
      </c>
      <c r="E181" t="s">
        <v>35</v>
      </c>
      <c r="F181" t="s">
        <v>50</v>
      </c>
      <c r="G181" s="118">
        <v>0.27052083333333332</v>
      </c>
      <c r="H181" s="118">
        <v>1.1458333333333333E-3</v>
      </c>
      <c r="I181" s="118">
        <v>3.4722222222222224E-4</v>
      </c>
      <c r="J181"/>
      <c r="K181"/>
    </row>
    <row r="182" spans="1:11" x14ac:dyDescent="0.25">
      <c r="A182">
        <v>5</v>
      </c>
      <c r="B182">
        <v>2</v>
      </c>
      <c r="C182"/>
      <c r="D182" t="s">
        <v>31</v>
      </c>
      <c r="E182" t="s">
        <v>32</v>
      </c>
      <c r="F182" t="s">
        <v>48</v>
      </c>
      <c r="G182" s="118">
        <v>0.27057870370370368</v>
      </c>
      <c r="H182" s="118">
        <v>5.2083333333333333E-4</v>
      </c>
      <c r="I182" s="118">
        <v>8.6805555555555551E-4</v>
      </c>
      <c r="J182" s="118">
        <v>5.8912037037037032E-3</v>
      </c>
      <c r="K182" s="118">
        <v>5.8912037037037032E-3</v>
      </c>
    </row>
    <row r="183" spans="1:11" x14ac:dyDescent="0.25">
      <c r="A183">
        <v>3</v>
      </c>
      <c r="B183">
        <v>2</v>
      </c>
      <c r="C183"/>
      <c r="D183" t="s">
        <v>31</v>
      </c>
      <c r="E183" t="s">
        <v>35</v>
      </c>
      <c r="F183" t="s">
        <v>52</v>
      </c>
      <c r="G183" s="118">
        <v>0.27082175925925928</v>
      </c>
      <c r="H183" s="118">
        <v>1.0416666666666667E-3</v>
      </c>
      <c r="I183" s="118">
        <v>3.4722222222222224E-4</v>
      </c>
      <c r="J183"/>
      <c r="K183"/>
    </row>
    <row r="184" spans="1:11" x14ac:dyDescent="0.25">
      <c r="A184">
        <v>1</v>
      </c>
      <c r="B184">
        <v>1</v>
      </c>
      <c r="C184"/>
      <c r="D184" t="s">
        <v>31</v>
      </c>
      <c r="E184" t="s">
        <v>35</v>
      </c>
      <c r="F184" t="s">
        <v>49</v>
      </c>
      <c r="G184" s="118">
        <v>0.2708564814814815</v>
      </c>
      <c r="H184" s="118">
        <v>9.2592592592592585E-4</v>
      </c>
      <c r="I184" s="118">
        <v>3.4722222222222224E-4</v>
      </c>
      <c r="J184"/>
      <c r="K184"/>
    </row>
    <row r="185" spans="1:11" x14ac:dyDescent="0.25">
      <c r="A185">
        <v>6</v>
      </c>
      <c r="B185">
        <v>2</v>
      </c>
      <c r="C185"/>
      <c r="D185" t="s">
        <v>31</v>
      </c>
      <c r="E185" t="s">
        <v>32</v>
      </c>
      <c r="F185" t="s">
        <v>50</v>
      </c>
      <c r="G185" s="118">
        <v>0.27086805555555554</v>
      </c>
      <c r="H185" s="118">
        <v>3.4722222222222224E-4</v>
      </c>
      <c r="I185" s="118">
        <v>1.261574074074074E-3</v>
      </c>
      <c r="J185" s="118">
        <v>5.8912037037037032E-3</v>
      </c>
      <c r="K185" s="118">
        <v>6.4583333333333333E-3</v>
      </c>
    </row>
    <row r="186" spans="1:11" x14ac:dyDescent="0.25">
      <c r="A186">
        <v>3</v>
      </c>
      <c r="B186">
        <v>2</v>
      </c>
      <c r="C186"/>
      <c r="D186" t="s">
        <v>31</v>
      </c>
      <c r="E186" t="s">
        <v>32</v>
      </c>
      <c r="F186" t="s">
        <v>52</v>
      </c>
      <c r="G186" s="118">
        <v>0.2711689814814815</v>
      </c>
      <c r="H186" s="118">
        <v>3.4722222222222224E-4</v>
      </c>
      <c r="I186" s="118">
        <v>1.0532407407407407E-3</v>
      </c>
      <c r="J186" s="118">
        <v>5.8912037037037032E-3</v>
      </c>
      <c r="K186" s="118">
        <v>5.8912037037037032E-3</v>
      </c>
    </row>
    <row r="187" spans="1:11" x14ac:dyDescent="0.25">
      <c r="A187">
        <v>1</v>
      </c>
      <c r="B187">
        <v>1</v>
      </c>
      <c r="C187"/>
      <c r="D187" t="s">
        <v>31</v>
      </c>
      <c r="E187" t="s">
        <v>32</v>
      </c>
      <c r="F187" t="s">
        <v>49</v>
      </c>
      <c r="G187" s="118">
        <v>0.27120370370370367</v>
      </c>
      <c r="H187" s="118">
        <v>3.4722222222222224E-4</v>
      </c>
      <c r="I187" s="118">
        <v>1.3541666666666667E-3</v>
      </c>
      <c r="J187" s="118">
        <v>6.4583333333333333E-3</v>
      </c>
      <c r="K187" s="118">
        <v>5.8912037037037032E-3</v>
      </c>
    </row>
    <row r="188" spans="1:11" x14ac:dyDescent="0.25">
      <c r="A188">
        <v>2</v>
      </c>
      <c r="B188">
        <v>2</v>
      </c>
      <c r="C188"/>
      <c r="D188" t="s">
        <v>31</v>
      </c>
      <c r="E188" t="s">
        <v>35</v>
      </c>
      <c r="F188" t="s">
        <v>51</v>
      </c>
      <c r="G188" s="118">
        <v>0.27120370370370367</v>
      </c>
      <c r="H188" s="118">
        <v>9.1435185185185185E-4</v>
      </c>
      <c r="I188" s="118">
        <v>3.4722222222222224E-4</v>
      </c>
      <c r="J188"/>
      <c r="K188"/>
    </row>
    <row r="189" spans="1:11" x14ac:dyDescent="0.25">
      <c r="A189">
        <v>4</v>
      </c>
      <c r="B189">
        <v>2</v>
      </c>
      <c r="C189"/>
      <c r="D189" t="s">
        <v>31</v>
      </c>
      <c r="E189" t="s">
        <v>35</v>
      </c>
      <c r="F189" t="s">
        <v>53</v>
      </c>
      <c r="G189" s="118">
        <v>0.27128472222222222</v>
      </c>
      <c r="H189" s="118">
        <v>8.7962962962962962E-4</v>
      </c>
      <c r="I189" s="118">
        <v>3.4722222222222224E-4</v>
      </c>
      <c r="J189"/>
      <c r="K189"/>
    </row>
    <row r="190" spans="1:11" x14ac:dyDescent="0.25">
      <c r="A190">
        <v>5</v>
      </c>
      <c r="B190">
        <v>2</v>
      </c>
      <c r="C190"/>
      <c r="D190" t="s">
        <v>31</v>
      </c>
      <c r="E190" t="s">
        <v>35</v>
      </c>
      <c r="F190" t="s">
        <v>54</v>
      </c>
      <c r="G190" s="118">
        <v>0.27144675925925926</v>
      </c>
      <c r="H190" s="118">
        <v>8.6805555555555551E-4</v>
      </c>
      <c r="I190" s="118">
        <v>3.4722222222222224E-4</v>
      </c>
      <c r="J190"/>
      <c r="K190"/>
    </row>
    <row r="191" spans="1:11" x14ac:dyDescent="0.25">
      <c r="A191">
        <v>2</v>
      </c>
      <c r="B191">
        <v>2</v>
      </c>
      <c r="C191"/>
      <c r="D191" t="s">
        <v>31</v>
      </c>
      <c r="E191" t="s">
        <v>32</v>
      </c>
      <c r="F191" t="s">
        <v>51</v>
      </c>
      <c r="G191" s="118">
        <v>0.27155092592592595</v>
      </c>
      <c r="H191" s="118">
        <v>3.4722222222222224E-4</v>
      </c>
      <c r="I191" s="118">
        <v>1.0069444444444444E-3</v>
      </c>
      <c r="J191" s="118">
        <v>5.8912037037037032E-3</v>
      </c>
      <c r="K191" s="118">
        <v>5.8912037037037032E-3</v>
      </c>
    </row>
    <row r="192" spans="1:11" x14ac:dyDescent="0.25">
      <c r="A192">
        <v>4</v>
      </c>
      <c r="B192">
        <v>2</v>
      </c>
      <c r="C192"/>
      <c r="D192" t="s">
        <v>31</v>
      </c>
      <c r="E192" t="s">
        <v>32</v>
      </c>
      <c r="F192" t="s">
        <v>53</v>
      </c>
      <c r="G192" s="118">
        <v>0.27163194444444444</v>
      </c>
      <c r="H192" s="118">
        <v>3.4722222222222224E-4</v>
      </c>
      <c r="I192" s="118">
        <v>8.449074074074075E-4</v>
      </c>
      <c r="J192" s="118">
        <v>5.8912037037037032E-3</v>
      </c>
      <c r="K192" s="118">
        <v>5.8912037037037032E-3</v>
      </c>
    </row>
    <row r="193" spans="1:11" x14ac:dyDescent="0.25">
      <c r="A193">
        <v>5</v>
      </c>
      <c r="B193">
        <v>2</v>
      </c>
      <c r="C193"/>
      <c r="D193" t="s">
        <v>31</v>
      </c>
      <c r="E193" t="s">
        <v>32</v>
      </c>
      <c r="F193" t="s">
        <v>54</v>
      </c>
      <c r="G193" s="118">
        <v>0.27179398148148148</v>
      </c>
      <c r="H193" s="118">
        <v>3.4722222222222224E-4</v>
      </c>
      <c r="I193" s="118">
        <v>1.1921296296296296E-3</v>
      </c>
      <c r="J193" s="118">
        <v>5.8912037037037032E-3</v>
      </c>
      <c r="K193" s="118">
        <v>5.8912037037037032E-3</v>
      </c>
    </row>
    <row r="194" spans="1:11" x14ac:dyDescent="0.25">
      <c r="A194">
        <v>6</v>
      </c>
      <c r="B194">
        <v>2</v>
      </c>
      <c r="C194"/>
      <c r="D194" t="s">
        <v>31</v>
      </c>
      <c r="E194" t="s">
        <v>35</v>
      </c>
      <c r="F194" t="s">
        <v>56</v>
      </c>
      <c r="G194" s="118">
        <v>0.27212962962962961</v>
      </c>
      <c r="H194" s="118">
        <v>1.261574074074074E-3</v>
      </c>
      <c r="I194" s="118">
        <v>3.4722222222222224E-4</v>
      </c>
      <c r="J194"/>
      <c r="K194"/>
    </row>
    <row r="195" spans="1:11" x14ac:dyDescent="0.25">
      <c r="A195">
        <v>3</v>
      </c>
      <c r="B195">
        <v>2</v>
      </c>
      <c r="C195"/>
      <c r="D195" t="s">
        <v>31</v>
      </c>
      <c r="E195" t="s">
        <v>35</v>
      </c>
      <c r="F195" t="s">
        <v>57</v>
      </c>
      <c r="G195" s="118">
        <v>0.2722222222222222</v>
      </c>
      <c r="H195" s="118">
        <v>1.0532407407407407E-3</v>
      </c>
      <c r="I195" s="118">
        <v>3.4722222222222224E-4</v>
      </c>
      <c r="J195"/>
      <c r="K195"/>
    </row>
    <row r="196" spans="1:11" x14ac:dyDescent="0.25">
      <c r="A196">
        <v>4</v>
      </c>
      <c r="B196">
        <v>2</v>
      </c>
      <c r="C196"/>
      <c r="D196" t="s">
        <v>31</v>
      </c>
      <c r="E196" t="s">
        <v>35</v>
      </c>
      <c r="F196" t="s">
        <v>34</v>
      </c>
      <c r="G196" s="118">
        <v>0.27247685185185183</v>
      </c>
      <c r="H196" s="118">
        <v>8.449074074074075E-4</v>
      </c>
      <c r="I196" s="118">
        <v>3.4722222222222224E-4</v>
      </c>
      <c r="J196"/>
      <c r="K196"/>
    </row>
    <row r="197" spans="1:11" x14ac:dyDescent="0.25">
      <c r="A197">
        <v>6</v>
      </c>
      <c r="B197">
        <v>2</v>
      </c>
      <c r="C197"/>
      <c r="D197" t="s">
        <v>31</v>
      </c>
      <c r="E197" t="s">
        <v>32</v>
      </c>
      <c r="F197" t="s">
        <v>56</v>
      </c>
      <c r="G197" s="118">
        <v>0.27247685185185183</v>
      </c>
      <c r="H197" s="118">
        <v>3.4722222222222224E-4</v>
      </c>
      <c r="I197" s="118">
        <v>9.6064814814814808E-4</v>
      </c>
      <c r="J197" s="118">
        <v>5.8912037037037032E-3</v>
      </c>
      <c r="K197" s="118">
        <v>6.4583333333333333E-3</v>
      </c>
    </row>
    <row r="198" spans="1:11" x14ac:dyDescent="0.25">
      <c r="A198">
        <v>1</v>
      </c>
      <c r="B198">
        <v>1</v>
      </c>
      <c r="C198"/>
      <c r="D198" t="s">
        <v>31</v>
      </c>
      <c r="E198" t="s">
        <v>35</v>
      </c>
      <c r="F198" t="s">
        <v>33</v>
      </c>
      <c r="G198" s="118">
        <v>0.27255787037037038</v>
      </c>
      <c r="H198" s="118">
        <v>1.3541666666666667E-3</v>
      </c>
      <c r="I198" s="118">
        <v>5.2083333333333333E-4</v>
      </c>
      <c r="J198"/>
      <c r="K198"/>
    </row>
    <row r="199" spans="1:11" x14ac:dyDescent="0.25">
      <c r="A199">
        <v>2</v>
      </c>
      <c r="B199">
        <v>2</v>
      </c>
      <c r="C199"/>
      <c r="D199" t="s">
        <v>31</v>
      </c>
      <c r="E199" t="s">
        <v>35</v>
      </c>
      <c r="F199" t="s">
        <v>55</v>
      </c>
      <c r="G199" s="118">
        <v>0.27255787037037038</v>
      </c>
      <c r="H199" s="118">
        <v>1.0069444444444444E-3</v>
      </c>
      <c r="I199" s="118">
        <v>4.6296296296296293E-4</v>
      </c>
      <c r="J199"/>
      <c r="K199"/>
    </row>
    <row r="200" spans="1:11" x14ac:dyDescent="0.25">
      <c r="A200">
        <v>3</v>
      </c>
      <c r="B200">
        <v>2</v>
      </c>
      <c r="C200"/>
      <c r="D200" t="s">
        <v>31</v>
      </c>
      <c r="E200" t="s">
        <v>32</v>
      </c>
      <c r="F200" t="s">
        <v>57</v>
      </c>
      <c r="G200" s="118">
        <v>0.27256944444444448</v>
      </c>
      <c r="H200" s="118">
        <v>3.4722222222222224E-4</v>
      </c>
      <c r="I200" s="118">
        <v>9.3750000000000007E-4</v>
      </c>
      <c r="J200" s="118">
        <v>5.8912037037037032E-3</v>
      </c>
      <c r="K200" s="118">
        <v>5.8912037037037032E-3</v>
      </c>
    </row>
    <row r="201" spans="1:11" x14ac:dyDescent="0.25">
      <c r="A201">
        <v>4</v>
      </c>
      <c r="B201">
        <v>2</v>
      </c>
      <c r="C201"/>
      <c r="D201" t="s">
        <v>31</v>
      </c>
      <c r="E201" t="s">
        <v>32</v>
      </c>
      <c r="F201" t="s">
        <v>34</v>
      </c>
      <c r="G201" s="118">
        <v>0.27282407407407411</v>
      </c>
      <c r="H201" s="118">
        <v>3.4722222222222224E-4</v>
      </c>
      <c r="I201" s="118">
        <v>9.1435185185185185E-4</v>
      </c>
      <c r="J201" s="118">
        <v>5.8912037037037032E-3</v>
      </c>
      <c r="K201" s="118">
        <v>5.8912037037037032E-3</v>
      </c>
    </row>
    <row r="202" spans="1:11" x14ac:dyDescent="0.25">
      <c r="A202">
        <v>5</v>
      </c>
      <c r="B202">
        <v>2</v>
      </c>
      <c r="C202"/>
      <c r="D202" t="s">
        <v>31</v>
      </c>
      <c r="E202" t="s">
        <v>35</v>
      </c>
      <c r="F202" t="s">
        <v>92</v>
      </c>
      <c r="G202" s="118">
        <v>0.2729861111111111</v>
      </c>
      <c r="H202" s="118">
        <v>1.1921296296296296E-3</v>
      </c>
      <c r="I202" s="118">
        <v>5.7870370370370378E-4</v>
      </c>
      <c r="J202"/>
      <c r="K202"/>
    </row>
    <row r="203" spans="1:11" x14ac:dyDescent="0.25">
      <c r="A203">
        <v>2</v>
      </c>
      <c r="B203">
        <v>2</v>
      </c>
      <c r="C203"/>
      <c r="D203" t="s">
        <v>31</v>
      </c>
      <c r="E203" t="s">
        <v>32</v>
      </c>
      <c r="F203" t="s">
        <v>55</v>
      </c>
      <c r="G203" s="118">
        <v>0.27302083333333332</v>
      </c>
      <c r="H203" s="118">
        <v>4.6296296296296293E-4</v>
      </c>
      <c r="I203" s="118">
        <v>4.3981481481481481E-4</v>
      </c>
      <c r="J203" s="118">
        <v>5.8912037037037032E-3</v>
      </c>
      <c r="K203" s="118">
        <v>5.8912037037037032E-3</v>
      </c>
    </row>
    <row r="204" spans="1:11" x14ac:dyDescent="0.25">
      <c r="A204">
        <v>1</v>
      </c>
      <c r="B204">
        <v>1</v>
      </c>
      <c r="C204"/>
      <c r="D204" t="s">
        <v>31</v>
      </c>
      <c r="E204" t="s">
        <v>32</v>
      </c>
      <c r="F204" t="s">
        <v>33</v>
      </c>
      <c r="G204" s="118">
        <v>0.27307870370370368</v>
      </c>
      <c r="H204" s="118">
        <v>5.2083333333333333E-4</v>
      </c>
      <c r="I204" s="118">
        <v>9.6064814814814808E-4</v>
      </c>
      <c r="J204" s="118">
        <v>6.4583333333333333E-3</v>
      </c>
      <c r="K204" s="118">
        <v>5.8912037037037032E-3</v>
      </c>
    </row>
    <row r="205" spans="1:11" x14ac:dyDescent="0.25">
      <c r="A205">
        <v>6</v>
      </c>
      <c r="B205">
        <v>2</v>
      </c>
      <c r="C205"/>
      <c r="D205" t="s">
        <v>31</v>
      </c>
      <c r="E205" t="s">
        <v>35</v>
      </c>
      <c r="F205" t="s">
        <v>37</v>
      </c>
      <c r="G205" s="118">
        <v>0.2734375</v>
      </c>
      <c r="H205" s="118">
        <v>9.6064814814814808E-4</v>
      </c>
      <c r="I205" s="118">
        <v>3.4722222222222224E-4</v>
      </c>
      <c r="J205"/>
      <c r="K205"/>
    </row>
    <row r="206" spans="1:11" x14ac:dyDescent="0.25">
      <c r="A206">
        <v>2</v>
      </c>
      <c r="B206">
        <v>2</v>
      </c>
      <c r="C206"/>
      <c r="D206" t="s">
        <v>31</v>
      </c>
      <c r="E206" t="s">
        <v>35</v>
      </c>
      <c r="F206" t="s">
        <v>58</v>
      </c>
      <c r="G206" s="118">
        <v>0.27346064814814813</v>
      </c>
      <c r="H206" s="118">
        <v>4.3981481481481481E-4</v>
      </c>
      <c r="I206" s="118">
        <v>5.7870370370370366E-5</v>
      </c>
      <c r="J206"/>
      <c r="K206"/>
    </row>
    <row r="207" spans="1:11" x14ac:dyDescent="0.25">
      <c r="A207">
        <v>3</v>
      </c>
      <c r="B207">
        <v>2</v>
      </c>
      <c r="C207"/>
      <c r="D207" t="s">
        <v>31</v>
      </c>
      <c r="E207" t="s">
        <v>35</v>
      </c>
      <c r="F207" t="s">
        <v>39</v>
      </c>
      <c r="G207" s="118">
        <v>0.27350694444444446</v>
      </c>
      <c r="H207" s="118">
        <v>9.3750000000000007E-4</v>
      </c>
      <c r="I207" s="118">
        <v>5.2083333333333333E-4</v>
      </c>
      <c r="J207"/>
      <c r="K207"/>
    </row>
    <row r="208" spans="1:11" x14ac:dyDescent="0.25">
      <c r="A208">
        <v>2</v>
      </c>
      <c r="B208">
        <v>2</v>
      </c>
      <c r="C208"/>
      <c r="D208" t="s">
        <v>31</v>
      </c>
      <c r="E208" t="s">
        <v>32</v>
      </c>
      <c r="F208" t="s">
        <v>58</v>
      </c>
      <c r="G208" s="118">
        <v>0.27351851851851855</v>
      </c>
      <c r="H208" s="118">
        <v>5.7870370370370366E-5</v>
      </c>
      <c r="I208" s="118">
        <v>4.8611111111111104E-4</v>
      </c>
      <c r="J208" s="118">
        <v>5.8912037037037032E-3</v>
      </c>
      <c r="K208" s="118">
        <v>5.8912037037037032E-3</v>
      </c>
    </row>
    <row r="209" spans="1:11" x14ac:dyDescent="0.25">
      <c r="A209">
        <v>5</v>
      </c>
      <c r="B209">
        <v>3</v>
      </c>
      <c r="C209"/>
      <c r="D209" t="s">
        <v>31</v>
      </c>
      <c r="E209" t="s">
        <v>32</v>
      </c>
      <c r="F209" t="s">
        <v>92</v>
      </c>
      <c r="G209" s="118">
        <v>0.27356481481481482</v>
      </c>
      <c r="H209" s="118">
        <v>5.7870370370370378E-4</v>
      </c>
      <c r="I209" s="118">
        <v>1.0069444444444444E-3</v>
      </c>
      <c r="J209" s="118">
        <v>5.8912037037037032E-3</v>
      </c>
      <c r="K209" s="118">
        <v>5.8912037037037032E-3</v>
      </c>
    </row>
    <row r="210" spans="1:11" x14ac:dyDescent="0.25">
      <c r="A210">
        <v>4</v>
      </c>
      <c r="B210">
        <v>2</v>
      </c>
      <c r="C210"/>
      <c r="D210" t="s">
        <v>31</v>
      </c>
      <c r="E210" t="s">
        <v>35</v>
      </c>
      <c r="F210" t="s">
        <v>38</v>
      </c>
      <c r="G210" s="118">
        <v>0.27373842592592595</v>
      </c>
      <c r="H210" s="118">
        <v>9.1435185185185185E-4</v>
      </c>
      <c r="I210" s="118">
        <v>3.4722222222222224E-4</v>
      </c>
      <c r="J210"/>
      <c r="K210"/>
    </row>
    <row r="211" spans="1:11" x14ac:dyDescent="0.25">
      <c r="A211">
        <v>6</v>
      </c>
      <c r="B211">
        <v>2</v>
      </c>
      <c r="C211"/>
      <c r="D211" t="s">
        <v>31</v>
      </c>
      <c r="E211" t="s">
        <v>32</v>
      </c>
      <c r="F211" t="s">
        <v>37</v>
      </c>
      <c r="G211" s="118">
        <v>0.27378472222222222</v>
      </c>
      <c r="H211" s="118">
        <v>3.4722222222222224E-4</v>
      </c>
      <c r="I211" s="118">
        <v>9.0277777777777784E-4</v>
      </c>
      <c r="J211" s="118">
        <v>5.8912037037037032E-3</v>
      </c>
      <c r="K211" s="118">
        <v>6.4583333333333333E-3</v>
      </c>
    </row>
    <row r="212" spans="1:11" x14ac:dyDescent="0.25">
      <c r="A212">
        <v>2</v>
      </c>
      <c r="B212">
        <v>2</v>
      </c>
      <c r="C212"/>
      <c r="D212" t="s">
        <v>31</v>
      </c>
      <c r="E212" t="s">
        <v>35</v>
      </c>
      <c r="F212" t="s">
        <v>40</v>
      </c>
      <c r="G212" s="118">
        <v>0.27400462962962963</v>
      </c>
      <c r="H212" s="118">
        <v>4.8611111111111104E-4</v>
      </c>
      <c r="I212" s="118">
        <v>4.6296296296296293E-4</v>
      </c>
      <c r="J212"/>
      <c r="K212"/>
    </row>
    <row r="213" spans="1:11" x14ac:dyDescent="0.25">
      <c r="A213">
        <v>3</v>
      </c>
      <c r="B213">
        <v>2</v>
      </c>
      <c r="C213"/>
      <c r="D213" t="s">
        <v>31</v>
      </c>
      <c r="E213" t="s">
        <v>32</v>
      </c>
      <c r="F213" t="s">
        <v>39</v>
      </c>
      <c r="G213" s="118">
        <v>0.27402777777777776</v>
      </c>
      <c r="H213" s="118">
        <v>5.2083333333333333E-4</v>
      </c>
      <c r="I213" s="118">
        <v>1.8055555555555557E-3</v>
      </c>
      <c r="J213" s="118">
        <v>5.8912037037037032E-3</v>
      </c>
      <c r="K213" s="118">
        <v>5.8912037037037032E-3</v>
      </c>
    </row>
    <row r="214" spans="1:11" x14ac:dyDescent="0.25">
      <c r="A214">
        <v>1</v>
      </c>
      <c r="B214">
        <v>1</v>
      </c>
      <c r="C214"/>
      <c r="D214" t="s">
        <v>31</v>
      </c>
      <c r="E214" t="s">
        <v>35</v>
      </c>
      <c r="F214" t="s">
        <v>36</v>
      </c>
      <c r="G214" s="118">
        <v>0.27403935185185185</v>
      </c>
      <c r="H214" s="118">
        <v>9.6064814814814808E-4</v>
      </c>
      <c r="I214" s="118">
        <v>3.4722222222222224E-4</v>
      </c>
      <c r="J214"/>
      <c r="K214"/>
    </row>
    <row r="215" spans="1:11" x14ac:dyDescent="0.25">
      <c r="A215">
        <v>4</v>
      </c>
      <c r="B215">
        <v>2</v>
      </c>
      <c r="C215"/>
      <c r="D215" t="s">
        <v>31</v>
      </c>
      <c r="E215" t="s">
        <v>32</v>
      </c>
      <c r="F215" t="s">
        <v>38</v>
      </c>
      <c r="G215" s="118">
        <v>0.27408564814814812</v>
      </c>
      <c r="H215" s="118">
        <v>3.4722222222222224E-4</v>
      </c>
      <c r="I215" s="118">
        <v>1.2384259259259258E-3</v>
      </c>
      <c r="J215" s="118">
        <v>5.8912037037037032E-3</v>
      </c>
      <c r="K215" s="118">
        <v>5.8912037037037032E-3</v>
      </c>
    </row>
    <row r="216" spans="1:11" x14ac:dyDescent="0.25">
      <c r="A216">
        <v>1</v>
      </c>
      <c r="B216">
        <v>1</v>
      </c>
      <c r="C216"/>
      <c r="D216" t="s">
        <v>31</v>
      </c>
      <c r="E216" t="s">
        <v>32</v>
      </c>
      <c r="F216" t="s">
        <v>36</v>
      </c>
      <c r="G216" s="118">
        <v>0.27438657407407407</v>
      </c>
      <c r="H216" s="118">
        <v>3.4722222222222224E-4</v>
      </c>
      <c r="I216" s="118">
        <v>1.0995370370370371E-3</v>
      </c>
      <c r="J216" s="118">
        <v>6.4583333333333333E-3</v>
      </c>
      <c r="K216" s="118">
        <v>5.8912037037037032E-3</v>
      </c>
    </row>
    <row r="217" spans="1:11" x14ac:dyDescent="0.25">
      <c r="A217">
        <v>2</v>
      </c>
      <c r="B217">
        <v>2</v>
      </c>
      <c r="C217"/>
      <c r="D217" t="s">
        <v>31</v>
      </c>
      <c r="E217" t="s">
        <v>32</v>
      </c>
      <c r="F217" t="s">
        <v>40</v>
      </c>
      <c r="G217" s="118">
        <v>0.27446759259259262</v>
      </c>
      <c r="H217" s="118">
        <v>4.6296296296296293E-4</v>
      </c>
      <c r="I217" s="118">
        <v>1.0069444444444444E-3</v>
      </c>
      <c r="J217" s="118">
        <v>5.8912037037037032E-3</v>
      </c>
      <c r="K217" s="118">
        <v>5.8912037037037032E-3</v>
      </c>
    </row>
    <row r="218" spans="1:11" x14ac:dyDescent="0.25">
      <c r="A218">
        <v>5</v>
      </c>
      <c r="B218">
        <v>3</v>
      </c>
      <c r="C218"/>
      <c r="D218" t="s">
        <v>31</v>
      </c>
      <c r="E218" t="s">
        <v>35</v>
      </c>
      <c r="F218" t="s">
        <v>41</v>
      </c>
      <c r="G218" s="118">
        <v>0.27457175925925925</v>
      </c>
      <c r="H218" s="118">
        <v>1.0069444444444444E-3</v>
      </c>
      <c r="I218" s="118">
        <v>3.4722222222222224E-4</v>
      </c>
      <c r="J218"/>
      <c r="K218"/>
    </row>
    <row r="219" spans="1:11" x14ac:dyDescent="0.25">
      <c r="A219">
        <v>6</v>
      </c>
      <c r="B219">
        <v>2</v>
      </c>
      <c r="C219"/>
      <c r="D219" t="s">
        <v>31</v>
      </c>
      <c r="E219" t="s">
        <v>35</v>
      </c>
      <c r="F219" t="s">
        <v>42</v>
      </c>
      <c r="G219" s="118">
        <v>0.27468750000000003</v>
      </c>
      <c r="H219" s="118">
        <v>9.0277777777777784E-4</v>
      </c>
      <c r="I219" s="118">
        <v>3.4722222222222224E-4</v>
      </c>
      <c r="J219"/>
      <c r="K219"/>
    </row>
    <row r="220" spans="1:11" x14ac:dyDescent="0.25">
      <c r="A220">
        <v>5</v>
      </c>
      <c r="B220">
        <v>3</v>
      </c>
      <c r="C220"/>
      <c r="D220" t="s">
        <v>31</v>
      </c>
      <c r="E220" t="s">
        <v>32</v>
      </c>
      <c r="F220" t="s">
        <v>41</v>
      </c>
      <c r="G220" s="118">
        <v>0.27491898148148147</v>
      </c>
      <c r="H220" s="118">
        <v>3.4722222222222224E-4</v>
      </c>
      <c r="I220" s="118">
        <v>8.564814814814815E-4</v>
      </c>
      <c r="J220" s="118">
        <v>5.8912037037037032E-3</v>
      </c>
      <c r="K220" s="118">
        <v>5.8912037037037032E-3</v>
      </c>
    </row>
    <row r="221" spans="1:11" x14ac:dyDescent="0.25">
      <c r="A221">
        <v>6</v>
      </c>
      <c r="B221">
        <v>2</v>
      </c>
      <c r="C221"/>
      <c r="D221" t="s">
        <v>31</v>
      </c>
      <c r="E221" t="s">
        <v>32</v>
      </c>
      <c r="F221" t="s">
        <v>42</v>
      </c>
      <c r="G221" s="118">
        <v>0.27503472222222219</v>
      </c>
      <c r="H221" s="118">
        <v>3.4722222222222224E-4</v>
      </c>
      <c r="I221" s="118">
        <v>9.1435185185185185E-4</v>
      </c>
      <c r="J221" s="118">
        <v>5.8912037037037032E-3</v>
      </c>
      <c r="K221" s="118">
        <v>6.4583333333333333E-3</v>
      </c>
    </row>
    <row r="222" spans="1:11" x14ac:dyDescent="0.25">
      <c r="A222">
        <v>4</v>
      </c>
      <c r="B222">
        <v>2</v>
      </c>
      <c r="C222"/>
      <c r="D222" t="s">
        <v>31</v>
      </c>
      <c r="E222" t="s">
        <v>35</v>
      </c>
      <c r="F222" t="s">
        <v>45</v>
      </c>
      <c r="G222" s="118">
        <v>0.27532407407407405</v>
      </c>
      <c r="H222" s="118">
        <v>1.2384259259259258E-3</v>
      </c>
      <c r="I222" s="118">
        <v>3.4722222222222224E-4</v>
      </c>
      <c r="J222"/>
      <c r="K222"/>
    </row>
    <row r="223" spans="1:11" x14ac:dyDescent="0.25">
      <c r="A223">
        <v>2</v>
      </c>
      <c r="B223">
        <v>2</v>
      </c>
      <c r="C223"/>
      <c r="D223" t="s">
        <v>31</v>
      </c>
      <c r="E223" t="s">
        <v>35</v>
      </c>
      <c r="F223" t="s">
        <v>44</v>
      </c>
      <c r="G223" s="118">
        <v>0.275474537037037</v>
      </c>
      <c r="H223" s="118">
        <v>1.0069444444444444E-3</v>
      </c>
      <c r="I223" s="118">
        <v>3.4722222222222224E-4</v>
      </c>
      <c r="J223"/>
      <c r="K223"/>
    </row>
    <row r="224" spans="1:11" x14ac:dyDescent="0.25">
      <c r="A224">
        <v>1</v>
      </c>
      <c r="B224">
        <v>1</v>
      </c>
      <c r="C224"/>
      <c r="D224" t="s">
        <v>31</v>
      </c>
      <c r="E224" t="s">
        <v>35</v>
      </c>
      <c r="F224" t="s">
        <v>43</v>
      </c>
      <c r="G224" s="118">
        <v>0.2754861111111111</v>
      </c>
      <c r="H224" s="118">
        <v>1.0995370370370371E-3</v>
      </c>
      <c r="I224" s="118">
        <v>3.4722222222222224E-4</v>
      </c>
      <c r="J224"/>
      <c r="K224"/>
    </row>
    <row r="225" spans="1:11" x14ac:dyDescent="0.25">
      <c r="A225">
        <v>4</v>
      </c>
      <c r="B225">
        <v>2</v>
      </c>
      <c r="C225"/>
      <c r="D225" t="s">
        <v>31</v>
      </c>
      <c r="E225" t="s">
        <v>32</v>
      </c>
      <c r="F225" t="s">
        <v>45</v>
      </c>
      <c r="G225" s="118">
        <v>0.27567129629629633</v>
      </c>
      <c r="H225" s="118">
        <v>3.4722222222222224E-4</v>
      </c>
      <c r="I225" s="118">
        <v>1.0416666666666667E-3</v>
      </c>
      <c r="J225" s="118">
        <v>5.8912037037037032E-3</v>
      </c>
      <c r="K225" s="118">
        <v>5.8912037037037032E-3</v>
      </c>
    </row>
    <row r="226" spans="1:11" x14ac:dyDescent="0.25">
      <c r="A226">
        <v>5</v>
      </c>
      <c r="B226">
        <v>3</v>
      </c>
      <c r="C226"/>
      <c r="D226" t="s">
        <v>31</v>
      </c>
      <c r="E226" t="s">
        <v>35</v>
      </c>
      <c r="F226" t="s">
        <v>47</v>
      </c>
      <c r="G226" s="118">
        <v>0.27577546296296296</v>
      </c>
      <c r="H226" s="118">
        <v>8.564814814814815E-4</v>
      </c>
      <c r="I226" s="118">
        <v>5.2083333333333333E-4</v>
      </c>
      <c r="J226"/>
      <c r="K226"/>
    </row>
    <row r="227" spans="1:11" x14ac:dyDescent="0.25">
      <c r="A227">
        <v>2</v>
      </c>
      <c r="B227">
        <v>2</v>
      </c>
      <c r="C227"/>
      <c r="D227" t="s">
        <v>31</v>
      </c>
      <c r="E227" t="s">
        <v>32</v>
      </c>
      <c r="F227" t="s">
        <v>44</v>
      </c>
      <c r="G227" s="118">
        <v>0.27582175925925928</v>
      </c>
      <c r="H227" s="118">
        <v>3.4722222222222224E-4</v>
      </c>
      <c r="I227" s="118">
        <v>9.2592592592592585E-4</v>
      </c>
      <c r="J227" s="118">
        <v>5.8912037037037032E-3</v>
      </c>
      <c r="K227" s="118">
        <v>5.8912037037037032E-3</v>
      </c>
    </row>
    <row r="228" spans="1:11" x14ac:dyDescent="0.25">
      <c r="A228">
        <v>1</v>
      </c>
      <c r="B228">
        <v>1</v>
      </c>
      <c r="C228"/>
      <c r="D228" t="s">
        <v>31</v>
      </c>
      <c r="E228" t="s">
        <v>32</v>
      </c>
      <c r="F228" t="s">
        <v>43</v>
      </c>
      <c r="G228" s="118">
        <v>0.27583333333333332</v>
      </c>
      <c r="H228" s="118">
        <v>3.4722222222222224E-4</v>
      </c>
      <c r="I228" s="118">
        <v>1.1458333333333333E-3</v>
      </c>
      <c r="J228" s="118">
        <v>6.4583333333333333E-3</v>
      </c>
      <c r="K228" s="118">
        <v>5.8912037037037032E-3</v>
      </c>
    </row>
    <row r="229" spans="1:11" x14ac:dyDescent="0.25">
      <c r="A229">
        <v>3</v>
      </c>
      <c r="B229">
        <v>2</v>
      </c>
      <c r="C229"/>
      <c r="D229" t="s">
        <v>31</v>
      </c>
      <c r="E229" t="s">
        <v>35</v>
      </c>
      <c r="F229" t="s">
        <v>46</v>
      </c>
      <c r="G229" s="118">
        <v>0.27583333333333332</v>
      </c>
      <c r="H229" s="118">
        <v>1.8055555555555557E-3</v>
      </c>
      <c r="I229" s="118">
        <v>3.4722222222222224E-4</v>
      </c>
      <c r="J229"/>
      <c r="K229"/>
    </row>
    <row r="230" spans="1:11" x14ac:dyDescent="0.25">
      <c r="A230">
        <v>6</v>
      </c>
      <c r="B230">
        <v>2</v>
      </c>
      <c r="C230"/>
      <c r="D230" t="s">
        <v>31</v>
      </c>
      <c r="E230" t="s">
        <v>35</v>
      </c>
      <c r="F230" t="s">
        <v>48</v>
      </c>
      <c r="G230" s="118">
        <v>0.27594907407407404</v>
      </c>
      <c r="H230" s="118">
        <v>9.1435185185185185E-4</v>
      </c>
      <c r="I230" s="118">
        <v>5.2083333333333333E-4</v>
      </c>
      <c r="J230"/>
      <c r="K230"/>
    </row>
    <row r="231" spans="1:11" x14ac:dyDescent="0.25">
      <c r="A231">
        <v>3</v>
      </c>
      <c r="B231">
        <v>2</v>
      </c>
      <c r="C231"/>
      <c r="D231" t="s">
        <v>31</v>
      </c>
      <c r="E231" t="s">
        <v>32</v>
      </c>
      <c r="F231" t="s">
        <v>46</v>
      </c>
      <c r="G231" s="118">
        <v>0.2761805555555556</v>
      </c>
      <c r="H231" s="118">
        <v>3.4722222222222224E-4</v>
      </c>
      <c r="I231" s="118">
        <v>9.1435185185185185E-4</v>
      </c>
      <c r="J231" s="118">
        <v>5.8912037037037032E-3</v>
      </c>
      <c r="K231" s="118">
        <v>5.8912037037037032E-3</v>
      </c>
    </row>
    <row r="232" spans="1:11" x14ac:dyDescent="0.25">
      <c r="A232">
        <v>5</v>
      </c>
      <c r="B232">
        <v>3</v>
      </c>
      <c r="C232"/>
      <c r="D232" t="s">
        <v>31</v>
      </c>
      <c r="E232" t="s">
        <v>32</v>
      </c>
      <c r="F232" t="s">
        <v>47</v>
      </c>
      <c r="G232" s="118">
        <v>0.27629629629629632</v>
      </c>
      <c r="H232" s="118">
        <v>5.2083333333333333E-4</v>
      </c>
      <c r="I232" s="118">
        <v>8.7962962962962962E-4</v>
      </c>
      <c r="J232" s="118">
        <v>5.8912037037037032E-3</v>
      </c>
      <c r="K232" s="118">
        <v>5.8912037037037032E-3</v>
      </c>
    </row>
    <row r="233" spans="1:11" x14ac:dyDescent="0.25">
      <c r="A233">
        <v>6</v>
      </c>
      <c r="B233">
        <v>2</v>
      </c>
      <c r="C233"/>
      <c r="D233" t="s">
        <v>31</v>
      </c>
      <c r="E233" t="s">
        <v>32</v>
      </c>
      <c r="F233" t="s">
        <v>48</v>
      </c>
      <c r="G233" s="118">
        <v>0.2764699074074074</v>
      </c>
      <c r="H233" s="118">
        <v>5.2083333333333333E-4</v>
      </c>
      <c r="I233" s="118">
        <v>8.6805555555555551E-4</v>
      </c>
      <c r="J233" s="118">
        <v>5.8912037037037032E-3</v>
      </c>
      <c r="K233" s="118">
        <v>6.4583333333333333E-3</v>
      </c>
    </row>
    <row r="234" spans="1:11" x14ac:dyDescent="0.25">
      <c r="A234">
        <v>4</v>
      </c>
      <c r="B234">
        <v>2</v>
      </c>
      <c r="C234"/>
      <c r="D234" t="s">
        <v>31</v>
      </c>
      <c r="E234" t="s">
        <v>35</v>
      </c>
      <c r="F234" t="s">
        <v>52</v>
      </c>
      <c r="G234" s="118">
        <v>0.27671296296296294</v>
      </c>
      <c r="H234" s="118">
        <v>1.0416666666666667E-3</v>
      </c>
      <c r="I234" s="118">
        <v>3.4722222222222224E-4</v>
      </c>
      <c r="J234"/>
      <c r="K234"/>
    </row>
    <row r="235" spans="1:11" x14ac:dyDescent="0.25">
      <c r="A235">
        <v>2</v>
      </c>
      <c r="B235">
        <v>2</v>
      </c>
      <c r="C235"/>
      <c r="D235" t="s">
        <v>31</v>
      </c>
      <c r="E235" t="s">
        <v>35</v>
      </c>
      <c r="F235" t="s">
        <v>49</v>
      </c>
      <c r="G235" s="118">
        <v>0.27674768518518517</v>
      </c>
      <c r="H235" s="118">
        <v>9.2592592592592585E-4</v>
      </c>
      <c r="I235" s="118">
        <v>3.4722222222222224E-4</v>
      </c>
      <c r="J235"/>
      <c r="K235"/>
    </row>
    <row r="236" spans="1:11" x14ac:dyDescent="0.25">
      <c r="A236">
        <v>1</v>
      </c>
      <c r="B236">
        <v>1</v>
      </c>
      <c r="C236"/>
      <c r="D236" t="s">
        <v>31</v>
      </c>
      <c r="E236" t="s">
        <v>35</v>
      </c>
      <c r="F236" t="s">
        <v>50</v>
      </c>
      <c r="G236" s="118">
        <v>0.27697916666666667</v>
      </c>
      <c r="H236" s="118">
        <v>1.1458333333333333E-3</v>
      </c>
      <c r="I236" s="118">
        <v>3.4722222222222224E-4</v>
      </c>
      <c r="J236"/>
      <c r="K236"/>
    </row>
    <row r="237" spans="1:11" x14ac:dyDescent="0.25">
      <c r="A237">
        <v>4</v>
      </c>
      <c r="B237">
        <v>2</v>
      </c>
      <c r="C237"/>
      <c r="D237" t="s">
        <v>31</v>
      </c>
      <c r="E237" t="s">
        <v>32</v>
      </c>
      <c r="F237" t="s">
        <v>52</v>
      </c>
      <c r="G237" s="118">
        <v>0.27706018518518521</v>
      </c>
      <c r="H237" s="118">
        <v>3.4722222222222224E-4</v>
      </c>
      <c r="I237" s="118">
        <v>1.0532407407407407E-3</v>
      </c>
      <c r="J237" s="118">
        <v>5.8912037037037032E-3</v>
      </c>
      <c r="K237" s="118">
        <v>5.8912037037037032E-3</v>
      </c>
    </row>
    <row r="238" spans="1:11" x14ac:dyDescent="0.25">
      <c r="A238">
        <v>2</v>
      </c>
      <c r="B238">
        <v>2</v>
      </c>
      <c r="C238"/>
      <c r="D238" t="s">
        <v>31</v>
      </c>
      <c r="E238" t="s">
        <v>32</v>
      </c>
      <c r="F238" t="s">
        <v>49</v>
      </c>
      <c r="G238" s="118">
        <v>0.27709490740740739</v>
      </c>
      <c r="H238" s="118">
        <v>3.4722222222222224E-4</v>
      </c>
      <c r="I238" s="118">
        <v>1.3541666666666667E-3</v>
      </c>
      <c r="J238" s="118">
        <v>5.8912037037037032E-3</v>
      </c>
      <c r="K238" s="118">
        <v>5.8912037037037032E-3</v>
      </c>
    </row>
    <row r="239" spans="1:11" x14ac:dyDescent="0.25">
      <c r="A239">
        <v>3</v>
      </c>
      <c r="B239">
        <v>2</v>
      </c>
      <c r="C239"/>
      <c r="D239" t="s">
        <v>31</v>
      </c>
      <c r="E239" t="s">
        <v>35</v>
      </c>
      <c r="F239" t="s">
        <v>51</v>
      </c>
      <c r="G239" s="118">
        <v>0.27709490740740739</v>
      </c>
      <c r="H239" s="118">
        <v>9.1435185185185185E-4</v>
      </c>
      <c r="I239" s="118">
        <v>3.4722222222222224E-4</v>
      </c>
      <c r="J239"/>
      <c r="K239"/>
    </row>
    <row r="240" spans="1:11" x14ac:dyDescent="0.25">
      <c r="A240">
        <v>5</v>
      </c>
      <c r="B240">
        <v>3</v>
      </c>
      <c r="C240"/>
      <c r="D240" t="s">
        <v>31</v>
      </c>
      <c r="E240" t="s">
        <v>35</v>
      </c>
      <c r="F240" t="s">
        <v>53</v>
      </c>
      <c r="G240" s="118">
        <v>0.27717592592592594</v>
      </c>
      <c r="H240" s="118">
        <v>8.7962962962962962E-4</v>
      </c>
      <c r="I240" s="118">
        <v>3.4722222222222224E-4</v>
      </c>
      <c r="J240"/>
      <c r="K240"/>
    </row>
    <row r="241" spans="1:11" x14ac:dyDescent="0.25">
      <c r="A241">
        <v>1</v>
      </c>
      <c r="B241">
        <v>1</v>
      </c>
      <c r="C241"/>
      <c r="D241" t="s">
        <v>31</v>
      </c>
      <c r="E241" t="s">
        <v>32</v>
      </c>
      <c r="F241" t="s">
        <v>50</v>
      </c>
      <c r="G241" s="118">
        <v>0.27732638888888889</v>
      </c>
      <c r="H241" s="118">
        <v>3.4722222222222224E-4</v>
      </c>
      <c r="I241" s="118">
        <v>1.261574074074074E-3</v>
      </c>
      <c r="J241" s="118">
        <v>6.4583333333333333E-3</v>
      </c>
      <c r="K241" s="118">
        <v>5.8912037037037032E-3</v>
      </c>
    </row>
    <row r="242" spans="1:11" x14ac:dyDescent="0.25">
      <c r="A242">
        <v>6</v>
      </c>
      <c r="B242">
        <v>2</v>
      </c>
      <c r="C242"/>
      <c r="D242" t="s">
        <v>31</v>
      </c>
      <c r="E242" t="s">
        <v>35</v>
      </c>
      <c r="F242" t="s">
        <v>54</v>
      </c>
      <c r="G242" s="118">
        <v>0.27733796296296293</v>
      </c>
      <c r="H242" s="118">
        <v>8.6805555555555551E-4</v>
      </c>
      <c r="I242" s="118">
        <v>3.4722222222222224E-4</v>
      </c>
      <c r="J242"/>
      <c r="K242"/>
    </row>
    <row r="243" spans="1:11" x14ac:dyDescent="0.25">
      <c r="A243">
        <v>3</v>
      </c>
      <c r="B243">
        <v>2</v>
      </c>
      <c r="C243"/>
      <c r="D243" t="s">
        <v>31</v>
      </c>
      <c r="E243" t="s">
        <v>32</v>
      </c>
      <c r="F243" t="s">
        <v>51</v>
      </c>
      <c r="G243" s="118">
        <v>0.27744212962962961</v>
      </c>
      <c r="H243" s="118">
        <v>3.4722222222222224E-4</v>
      </c>
      <c r="I243" s="118">
        <v>1.0069444444444444E-3</v>
      </c>
      <c r="J243" s="118">
        <v>5.8912037037037032E-3</v>
      </c>
      <c r="K243" s="118">
        <v>5.8912037037037032E-3</v>
      </c>
    </row>
    <row r="244" spans="1:11" x14ac:dyDescent="0.25">
      <c r="A244">
        <v>5</v>
      </c>
      <c r="B244">
        <v>3</v>
      </c>
      <c r="C244"/>
      <c r="D244" t="s">
        <v>31</v>
      </c>
      <c r="E244" t="s">
        <v>32</v>
      </c>
      <c r="F244" t="s">
        <v>53</v>
      </c>
      <c r="G244" s="118">
        <v>0.27752314814814816</v>
      </c>
      <c r="H244" s="118">
        <v>3.4722222222222224E-4</v>
      </c>
      <c r="I244" s="118">
        <v>8.449074074074075E-4</v>
      </c>
      <c r="J244" s="118">
        <v>5.8912037037037032E-3</v>
      </c>
      <c r="K244" s="118">
        <v>5.8912037037037032E-3</v>
      </c>
    </row>
    <row r="245" spans="1:11" x14ac:dyDescent="0.25">
      <c r="A245">
        <v>6</v>
      </c>
      <c r="B245">
        <v>2</v>
      </c>
      <c r="C245"/>
      <c r="D245" t="s">
        <v>31</v>
      </c>
      <c r="E245" t="s">
        <v>32</v>
      </c>
      <c r="F245" t="s">
        <v>54</v>
      </c>
      <c r="G245" s="118">
        <v>0.2776851851851852</v>
      </c>
      <c r="H245" s="118">
        <v>3.4722222222222224E-4</v>
      </c>
      <c r="I245" s="118">
        <v>1.1921296296296296E-3</v>
      </c>
      <c r="J245" s="118">
        <v>5.8912037037037032E-3</v>
      </c>
      <c r="K245" s="118">
        <v>6.4583333333333333E-3</v>
      </c>
    </row>
    <row r="246" spans="1:11" x14ac:dyDescent="0.25">
      <c r="A246">
        <v>4</v>
      </c>
      <c r="B246">
        <v>2</v>
      </c>
      <c r="C246"/>
      <c r="D246" t="s">
        <v>31</v>
      </c>
      <c r="E246" t="s">
        <v>35</v>
      </c>
      <c r="F246" t="s">
        <v>57</v>
      </c>
      <c r="G246" s="118">
        <v>0.27811342592592592</v>
      </c>
      <c r="H246" s="118">
        <v>1.0532407407407407E-3</v>
      </c>
      <c r="I246" s="118">
        <v>3.4722222222222224E-4</v>
      </c>
      <c r="J246"/>
      <c r="K246"/>
    </row>
    <row r="247" spans="1:11" x14ac:dyDescent="0.25">
      <c r="A247">
        <v>5</v>
      </c>
      <c r="B247">
        <v>3</v>
      </c>
      <c r="C247"/>
      <c r="D247" t="s">
        <v>31</v>
      </c>
      <c r="E247" t="s">
        <v>35</v>
      </c>
      <c r="F247" t="s">
        <v>34</v>
      </c>
      <c r="G247" s="118">
        <v>0.27836805555555555</v>
      </c>
      <c r="H247" s="118">
        <v>8.449074074074075E-4</v>
      </c>
      <c r="I247" s="118">
        <v>3.4722222222222224E-4</v>
      </c>
      <c r="J247"/>
      <c r="K247"/>
    </row>
    <row r="248" spans="1:11" x14ac:dyDescent="0.25">
      <c r="A248">
        <v>2</v>
      </c>
      <c r="B248">
        <v>2</v>
      </c>
      <c r="C248"/>
      <c r="D248" t="s">
        <v>31</v>
      </c>
      <c r="E248" t="s">
        <v>35</v>
      </c>
      <c r="F248" t="s">
        <v>33</v>
      </c>
      <c r="G248" s="118">
        <v>0.2784490740740741</v>
      </c>
      <c r="H248" s="118">
        <v>1.3541666666666667E-3</v>
      </c>
      <c r="I248" s="118">
        <v>5.2083333333333333E-4</v>
      </c>
      <c r="J248"/>
      <c r="K248"/>
    </row>
    <row r="249" spans="1:11" x14ac:dyDescent="0.25">
      <c r="A249">
        <v>3</v>
      </c>
      <c r="B249">
        <v>2</v>
      </c>
      <c r="C249"/>
      <c r="D249" t="s">
        <v>31</v>
      </c>
      <c r="E249" t="s">
        <v>35</v>
      </c>
      <c r="F249" t="s">
        <v>55</v>
      </c>
      <c r="G249" s="118">
        <v>0.2784490740740741</v>
      </c>
      <c r="H249" s="118">
        <v>1.0069444444444444E-3</v>
      </c>
      <c r="I249" s="118">
        <v>4.6296296296296293E-4</v>
      </c>
      <c r="J249"/>
      <c r="K249"/>
    </row>
    <row r="250" spans="1:11" x14ac:dyDescent="0.25">
      <c r="A250">
        <v>4</v>
      </c>
      <c r="B250">
        <v>2</v>
      </c>
      <c r="C250"/>
      <c r="D250" t="s">
        <v>31</v>
      </c>
      <c r="E250" t="s">
        <v>32</v>
      </c>
      <c r="F250" t="s">
        <v>57</v>
      </c>
      <c r="G250" s="118">
        <v>0.27846064814814814</v>
      </c>
      <c r="H250" s="118">
        <v>3.4722222222222224E-4</v>
      </c>
      <c r="I250" s="118">
        <v>9.3750000000000007E-4</v>
      </c>
      <c r="J250" s="118">
        <v>5.8912037037037032E-3</v>
      </c>
      <c r="K250" s="118">
        <v>5.8912037037037032E-3</v>
      </c>
    </row>
    <row r="251" spans="1:11" x14ac:dyDescent="0.25">
      <c r="A251">
        <v>1</v>
      </c>
      <c r="B251">
        <v>1</v>
      </c>
      <c r="C251"/>
      <c r="D251" t="s">
        <v>31</v>
      </c>
      <c r="E251" t="s">
        <v>35</v>
      </c>
      <c r="F251" t="s">
        <v>56</v>
      </c>
      <c r="G251" s="118">
        <v>0.27858796296296295</v>
      </c>
      <c r="H251" s="118">
        <v>1.261574074074074E-3</v>
      </c>
      <c r="I251" s="118">
        <v>3.4722222222222224E-4</v>
      </c>
      <c r="J251"/>
      <c r="K251"/>
    </row>
    <row r="252" spans="1:11" x14ac:dyDescent="0.25">
      <c r="A252">
        <v>5</v>
      </c>
      <c r="B252">
        <v>3</v>
      </c>
      <c r="C252"/>
      <c r="D252" t="s">
        <v>31</v>
      </c>
      <c r="E252" t="s">
        <v>32</v>
      </c>
      <c r="F252" t="s">
        <v>34</v>
      </c>
      <c r="G252" s="118">
        <v>0.27871527777777777</v>
      </c>
      <c r="H252" s="118">
        <v>3.4722222222222224E-4</v>
      </c>
      <c r="I252" s="118">
        <v>9.1435185185185185E-4</v>
      </c>
      <c r="J252" s="118">
        <v>5.8912037037037032E-3</v>
      </c>
      <c r="K252" s="118">
        <v>5.8912037037037032E-3</v>
      </c>
    </row>
    <row r="253" spans="1:11" x14ac:dyDescent="0.25">
      <c r="A253">
        <v>6</v>
      </c>
      <c r="B253">
        <v>2</v>
      </c>
      <c r="C253"/>
      <c r="D253" t="s">
        <v>31</v>
      </c>
      <c r="E253" t="s">
        <v>35</v>
      </c>
      <c r="F253" t="s">
        <v>92</v>
      </c>
      <c r="G253" s="118">
        <v>0.27887731481481481</v>
      </c>
      <c r="H253" s="118">
        <v>1.1921296296296296E-3</v>
      </c>
      <c r="I253" s="118">
        <v>5.7870370370370378E-4</v>
      </c>
      <c r="J253"/>
      <c r="K253"/>
    </row>
    <row r="254" spans="1:11" x14ac:dyDescent="0.25">
      <c r="A254">
        <v>3</v>
      </c>
      <c r="B254">
        <v>2</v>
      </c>
      <c r="C254"/>
      <c r="D254" t="s">
        <v>31</v>
      </c>
      <c r="E254" t="s">
        <v>32</v>
      </c>
      <c r="F254" t="s">
        <v>55</v>
      </c>
      <c r="G254" s="118">
        <v>0.27891203703703704</v>
      </c>
      <c r="H254" s="118">
        <v>4.6296296296296293E-4</v>
      </c>
      <c r="I254" s="118">
        <v>4.3981481481481481E-4</v>
      </c>
      <c r="J254" s="118">
        <v>5.8912037037037032E-3</v>
      </c>
      <c r="K254" s="118">
        <v>5.8912037037037032E-3</v>
      </c>
    </row>
    <row r="255" spans="1:11" x14ac:dyDescent="0.25">
      <c r="A255">
        <v>1</v>
      </c>
      <c r="B255">
        <v>1</v>
      </c>
      <c r="C255"/>
      <c r="D255" t="s">
        <v>31</v>
      </c>
      <c r="E255" t="s">
        <v>32</v>
      </c>
      <c r="F255" t="s">
        <v>56</v>
      </c>
      <c r="G255" s="118">
        <v>0.27893518518518517</v>
      </c>
      <c r="H255" s="118">
        <v>3.4722222222222224E-4</v>
      </c>
      <c r="I255" s="118">
        <v>9.6064814814814808E-4</v>
      </c>
      <c r="J255" s="118">
        <v>6.4583333333333333E-3</v>
      </c>
      <c r="K255" s="118">
        <v>5.8912037037037032E-3</v>
      </c>
    </row>
    <row r="256" spans="1:11" x14ac:dyDescent="0.25">
      <c r="A256">
        <v>2</v>
      </c>
      <c r="B256">
        <v>2</v>
      </c>
      <c r="C256"/>
      <c r="D256" t="s">
        <v>31</v>
      </c>
      <c r="E256" t="s">
        <v>32</v>
      </c>
      <c r="F256" t="s">
        <v>33</v>
      </c>
      <c r="G256" s="118">
        <v>0.2789699074074074</v>
      </c>
      <c r="H256" s="118">
        <v>5.2083333333333333E-4</v>
      </c>
      <c r="I256" s="118">
        <v>9.6064814814814808E-4</v>
      </c>
      <c r="J256" s="118">
        <v>5.8912037037037032E-3</v>
      </c>
      <c r="K256" s="118">
        <v>5.8912037037037032E-3</v>
      </c>
    </row>
    <row r="257" spans="1:11" x14ac:dyDescent="0.25">
      <c r="A257">
        <v>3</v>
      </c>
      <c r="B257">
        <v>2</v>
      </c>
      <c r="C257"/>
      <c r="D257" t="s">
        <v>31</v>
      </c>
      <c r="E257" t="s">
        <v>35</v>
      </c>
      <c r="F257" t="s">
        <v>58</v>
      </c>
      <c r="G257" s="118">
        <v>0.27935185185185185</v>
      </c>
      <c r="H257" s="118">
        <v>4.3981481481481481E-4</v>
      </c>
      <c r="I257" s="118">
        <v>5.7870370370370366E-5</v>
      </c>
      <c r="J257"/>
      <c r="K257"/>
    </row>
    <row r="258" spans="1:11" x14ac:dyDescent="0.25">
      <c r="A258">
        <v>4</v>
      </c>
      <c r="B258">
        <v>2</v>
      </c>
      <c r="C258"/>
      <c r="D258" t="s">
        <v>31</v>
      </c>
      <c r="E258" t="s">
        <v>35</v>
      </c>
      <c r="F258" t="s">
        <v>39</v>
      </c>
      <c r="G258" s="118">
        <v>0.27939814814814817</v>
      </c>
      <c r="H258" s="118">
        <v>9.3750000000000007E-4</v>
      </c>
      <c r="I258" s="118">
        <v>5.2083333333333333E-4</v>
      </c>
      <c r="J258"/>
      <c r="K258"/>
    </row>
    <row r="259" spans="1:11" x14ac:dyDescent="0.25">
      <c r="A259">
        <v>3</v>
      </c>
      <c r="B259">
        <v>2</v>
      </c>
      <c r="C259"/>
      <c r="D259" t="s">
        <v>31</v>
      </c>
      <c r="E259" t="s">
        <v>32</v>
      </c>
      <c r="F259" t="s">
        <v>58</v>
      </c>
      <c r="G259" s="118">
        <v>0.27940972222222221</v>
      </c>
      <c r="H259" s="118">
        <v>5.7870370370370366E-5</v>
      </c>
      <c r="I259" s="118">
        <v>4.8611111111111104E-4</v>
      </c>
      <c r="J259" s="118">
        <v>5.8912037037037032E-3</v>
      </c>
      <c r="K259" s="118">
        <v>5.8912037037037032E-3</v>
      </c>
    </row>
    <row r="260" spans="1:11" x14ac:dyDescent="0.25">
      <c r="A260">
        <v>6</v>
      </c>
      <c r="B260">
        <v>3</v>
      </c>
      <c r="C260"/>
      <c r="D260" t="s">
        <v>31</v>
      </c>
      <c r="E260" t="s">
        <v>32</v>
      </c>
      <c r="F260" t="s">
        <v>92</v>
      </c>
      <c r="G260" s="118">
        <v>0.27945601851851848</v>
      </c>
      <c r="H260" s="118">
        <v>5.7870370370370378E-4</v>
      </c>
      <c r="I260" s="118">
        <v>1.0069444444444444E-3</v>
      </c>
      <c r="J260" s="118">
        <v>5.8912037037037032E-3</v>
      </c>
      <c r="K260" s="118">
        <v>5.8912037037037032E-3</v>
      </c>
    </row>
    <row r="261" spans="1:11" x14ac:dyDescent="0.25">
      <c r="A261">
        <v>5</v>
      </c>
      <c r="B261">
        <v>3</v>
      </c>
      <c r="C261"/>
      <c r="D261" t="s">
        <v>31</v>
      </c>
      <c r="E261" t="s">
        <v>35</v>
      </c>
      <c r="F261" t="s">
        <v>38</v>
      </c>
      <c r="G261" s="118">
        <v>0.27962962962962962</v>
      </c>
      <c r="H261" s="118">
        <v>9.1435185185185185E-4</v>
      </c>
      <c r="I261" s="118">
        <v>3.4722222222222224E-4</v>
      </c>
      <c r="J261"/>
      <c r="K261"/>
    </row>
    <row r="262" spans="1:11" x14ac:dyDescent="0.25">
      <c r="A262">
        <v>1</v>
      </c>
      <c r="B262">
        <v>1</v>
      </c>
      <c r="C262"/>
      <c r="D262" t="s">
        <v>31</v>
      </c>
      <c r="E262" t="s">
        <v>35</v>
      </c>
      <c r="F262" t="s">
        <v>37</v>
      </c>
      <c r="G262" s="118">
        <v>0.27989583333333334</v>
      </c>
      <c r="H262" s="118">
        <v>9.6064814814814808E-4</v>
      </c>
      <c r="I262" s="118">
        <v>3.4722222222222224E-4</v>
      </c>
      <c r="J262"/>
      <c r="K262"/>
    </row>
    <row r="263" spans="1:11" x14ac:dyDescent="0.25">
      <c r="A263">
        <v>3</v>
      </c>
      <c r="B263">
        <v>2</v>
      </c>
      <c r="C263"/>
      <c r="D263" t="s">
        <v>31</v>
      </c>
      <c r="E263" t="s">
        <v>35</v>
      </c>
      <c r="F263" t="s">
        <v>40</v>
      </c>
      <c r="G263" s="118">
        <v>0.27989583333333334</v>
      </c>
      <c r="H263" s="118">
        <v>4.8611111111111104E-4</v>
      </c>
      <c r="I263" s="118">
        <v>4.6296296296296293E-4</v>
      </c>
      <c r="J263"/>
      <c r="K263"/>
    </row>
    <row r="264" spans="1:11" x14ac:dyDescent="0.25">
      <c r="A264">
        <v>4</v>
      </c>
      <c r="B264">
        <v>2</v>
      </c>
      <c r="C264"/>
      <c r="D264" t="s">
        <v>31</v>
      </c>
      <c r="E264" t="s">
        <v>32</v>
      </c>
      <c r="F264" t="s">
        <v>39</v>
      </c>
      <c r="G264" s="118">
        <v>0.27991898148148148</v>
      </c>
      <c r="H264" s="118">
        <v>5.2083333333333333E-4</v>
      </c>
      <c r="I264" s="118">
        <v>1.8055555555555557E-3</v>
      </c>
      <c r="J264" s="118">
        <v>5.8912037037037032E-3</v>
      </c>
      <c r="K264" s="118">
        <v>5.8912037037037032E-3</v>
      </c>
    </row>
    <row r="265" spans="1:11" x14ac:dyDescent="0.25">
      <c r="A265">
        <v>2</v>
      </c>
      <c r="B265">
        <v>2</v>
      </c>
      <c r="C265"/>
      <c r="D265" t="s">
        <v>31</v>
      </c>
      <c r="E265" t="s">
        <v>35</v>
      </c>
      <c r="F265" t="s">
        <v>36</v>
      </c>
      <c r="G265" s="118">
        <v>0.27993055555555557</v>
      </c>
      <c r="H265" s="118">
        <v>9.6064814814814808E-4</v>
      </c>
      <c r="I265" s="118">
        <v>3.4722222222222224E-4</v>
      </c>
      <c r="J265"/>
      <c r="K265"/>
    </row>
    <row r="266" spans="1:11" x14ac:dyDescent="0.25">
      <c r="A266">
        <v>5</v>
      </c>
      <c r="B266">
        <v>3</v>
      </c>
      <c r="C266"/>
      <c r="D266" t="s">
        <v>31</v>
      </c>
      <c r="E266" t="s">
        <v>32</v>
      </c>
      <c r="F266" t="s">
        <v>38</v>
      </c>
      <c r="G266" s="118">
        <v>0.27997685185185184</v>
      </c>
      <c r="H266" s="118">
        <v>3.4722222222222224E-4</v>
      </c>
      <c r="I266" s="118">
        <v>1.2384259259259258E-3</v>
      </c>
      <c r="J266" s="118">
        <v>5.8912037037037032E-3</v>
      </c>
      <c r="K266" s="118">
        <v>5.8912037037037032E-3</v>
      </c>
    </row>
    <row r="267" spans="1:11" x14ac:dyDescent="0.25">
      <c r="A267">
        <v>1</v>
      </c>
      <c r="B267">
        <v>1</v>
      </c>
      <c r="C267"/>
      <c r="D267" t="s">
        <v>31</v>
      </c>
      <c r="E267" t="s">
        <v>32</v>
      </c>
      <c r="F267" t="s">
        <v>37</v>
      </c>
      <c r="G267" s="118">
        <v>0.28024305555555556</v>
      </c>
      <c r="H267" s="118">
        <v>3.4722222222222224E-4</v>
      </c>
      <c r="I267" s="118">
        <v>9.0277777777777784E-4</v>
      </c>
      <c r="J267" s="118">
        <v>6.4583333333333333E-3</v>
      </c>
      <c r="K267" s="118">
        <v>5.8912037037037032E-3</v>
      </c>
    </row>
    <row r="268" spans="1:11" x14ac:dyDescent="0.25">
      <c r="A268">
        <v>2</v>
      </c>
      <c r="B268">
        <v>2</v>
      </c>
      <c r="C268"/>
      <c r="D268" t="s">
        <v>31</v>
      </c>
      <c r="E268" t="s">
        <v>32</v>
      </c>
      <c r="F268" t="s">
        <v>36</v>
      </c>
      <c r="G268" s="118">
        <v>0.28027777777777779</v>
      </c>
      <c r="H268" s="118">
        <v>3.4722222222222224E-4</v>
      </c>
      <c r="I268" s="118">
        <v>1.0995370370370371E-3</v>
      </c>
      <c r="J268" s="118">
        <v>5.8912037037037032E-3</v>
      </c>
      <c r="K268" s="118">
        <v>5.8912037037037032E-3</v>
      </c>
    </row>
    <row r="269" spans="1:11" x14ac:dyDescent="0.25">
      <c r="A269">
        <v>3</v>
      </c>
      <c r="B269">
        <v>2</v>
      </c>
      <c r="C269"/>
      <c r="D269" t="s">
        <v>31</v>
      </c>
      <c r="E269" t="s">
        <v>32</v>
      </c>
      <c r="F269" t="s">
        <v>40</v>
      </c>
      <c r="G269" s="118">
        <v>0.28035879629629629</v>
      </c>
      <c r="H269" s="118">
        <v>4.6296296296296293E-4</v>
      </c>
      <c r="I269" s="118">
        <v>1.0069444444444444E-3</v>
      </c>
      <c r="J269" s="118">
        <v>5.8912037037037032E-3</v>
      </c>
      <c r="K269" s="118">
        <v>5.8912037037037032E-3</v>
      </c>
    </row>
    <row r="270" spans="1:11" x14ac:dyDescent="0.25">
      <c r="A270">
        <v>6</v>
      </c>
      <c r="B270">
        <v>3</v>
      </c>
      <c r="C270"/>
      <c r="D270" t="s">
        <v>31</v>
      </c>
      <c r="E270" t="s">
        <v>35</v>
      </c>
      <c r="F270" t="s">
        <v>41</v>
      </c>
      <c r="G270" s="118">
        <v>0.28046296296296297</v>
      </c>
      <c r="H270" s="118">
        <v>1.0069444444444444E-3</v>
      </c>
      <c r="I270" s="118">
        <v>3.4722222222222224E-4</v>
      </c>
      <c r="J270"/>
      <c r="K270"/>
    </row>
    <row r="271" spans="1:11" x14ac:dyDescent="0.25">
      <c r="A271">
        <v>6</v>
      </c>
      <c r="B271">
        <v>3</v>
      </c>
      <c r="C271"/>
      <c r="D271" t="s">
        <v>31</v>
      </c>
      <c r="E271" t="s">
        <v>32</v>
      </c>
      <c r="F271" t="s">
        <v>41</v>
      </c>
      <c r="G271" s="118">
        <v>0.28081018518518519</v>
      </c>
      <c r="H271" s="118">
        <v>3.4722222222222224E-4</v>
      </c>
      <c r="I271" s="118">
        <v>8.564814814814815E-4</v>
      </c>
      <c r="J271" s="118">
        <v>5.8912037037037032E-3</v>
      </c>
      <c r="K271" s="118">
        <v>5.8912037037037032E-3</v>
      </c>
    </row>
    <row r="272" spans="1:11" x14ac:dyDescent="0.25">
      <c r="A272">
        <v>1</v>
      </c>
      <c r="B272">
        <v>1</v>
      </c>
      <c r="C272"/>
      <c r="D272" t="s">
        <v>31</v>
      </c>
      <c r="E272" t="s">
        <v>35</v>
      </c>
      <c r="F272" t="s">
        <v>42</v>
      </c>
      <c r="G272" s="118">
        <v>0.28114583333333337</v>
      </c>
      <c r="H272" s="118">
        <v>9.0277777777777784E-4</v>
      </c>
      <c r="I272" s="118">
        <v>3.4722222222222224E-4</v>
      </c>
      <c r="J272"/>
      <c r="K272"/>
    </row>
    <row r="273" spans="1:11" x14ac:dyDescent="0.25">
      <c r="A273">
        <v>5</v>
      </c>
      <c r="B273">
        <v>3</v>
      </c>
      <c r="C273"/>
      <c r="D273" t="s">
        <v>31</v>
      </c>
      <c r="E273" t="s">
        <v>35</v>
      </c>
      <c r="F273" t="s">
        <v>45</v>
      </c>
      <c r="G273" s="118">
        <v>0.28121527777777777</v>
      </c>
      <c r="H273" s="118">
        <v>1.2384259259259258E-3</v>
      </c>
      <c r="I273" s="118">
        <v>3.4722222222222224E-4</v>
      </c>
      <c r="J273"/>
      <c r="K273"/>
    </row>
    <row r="274" spans="1:11" x14ac:dyDescent="0.25">
      <c r="A274">
        <v>3</v>
      </c>
      <c r="B274">
        <v>2</v>
      </c>
      <c r="C274"/>
      <c r="D274" t="s">
        <v>31</v>
      </c>
      <c r="E274" t="s">
        <v>35</v>
      </c>
      <c r="F274" t="s">
        <v>44</v>
      </c>
      <c r="G274" s="118">
        <v>0.28136574074074078</v>
      </c>
      <c r="H274" s="118">
        <v>1.0069444444444444E-3</v>
      </c>
      <c r="I274" s="118">
        <v>3.4722222222222224E-4</v>
      </c>
      <c r="J274"/>
      <c r="K274"/>
    </row>
    <row r="275" spans="1:11" x14ac:dyDescent="0.25">
      <c r="A275">
        <v>2</v>
      </c>
      <c r="B275">
        <v>2</v>
      </c>
      <c r="C275"/>
      <c r="D275" t="s">
        <v>31</v>
      </c>
      <c r="E275" t="s">
        <v>35</v>
      </c>
      <c r="F275" t="s">
        <v>43</v>
      </c>
      <c r="G275" s="118">
        <v>0.28137731481481482</v>
      </c>
      <c r="H275" s="118">
        <v>1.0995370370370371E-3</v>
      </c>
      <c r="I275" s="118">
        <v>3.4722222222222224E-4</v>
      </c>
      <c r="J275"/>
      <c r="K275"/>
    </row>
    <row r="276" spans="1:11" x14ac:dyDescent="0.25">
      <c r="A276">
        <v>1</v>
      </c>
      <c r="B276">
        <v>1</v>
      </c>
      <c r="C276"/>
      <c r="D276" t="s">
        <v>31</v>
      </c>
      <c r="E276" t="s">
        <v>32</v>
      </c>
      <c r="F276" t="s">
        <v>42</v>
      </c>
      <c r="G276" s="118">
        <v>0.28149305555555554</v>
      </c>
      <c r="H276" s="118">
        <v>3.4722222222222224E-4</v>
      </c>
      <c r="I276" s="118">
        <v>9.1435185185185185E-4</v>
      </c>
      <c r="J276" s="118">
        <v>6.4583333333333333E-3</v>
      </c>
      <c r="K276" s="118">
        <v>5.8912037037037032E-3</v>
      </c>
    </row>
    <row r="277" spans="1:11" x14ac:dyDescent="0.25">
      <c r="A277">
        <v>5</v>
      </c>
      <c r="B277">
        <v>3</v>
      </c>
      <c r="C277"/>
      <c r="D277" t="s">
        <v>31</v>
      </c>
      <c r="E277" t="s">
        <v>32</v>
      </c>
      <c r="F277" t="s">
        <v>45</v>
      </c>
      <c r="G277" s="118">
        <v>0.28156249999999999</v>
      </c>
      <c r="H277" s="118">
        <v>3.4722222222222224E-4</v>
      </c>
      <c r="I277" s="118">
        <v>1.0416666666666667E-3</v>
      </c>
      <c r="J277" s="118">
        <v>5.8912037037037032E-3</v>
      </c>
      <c r="K277" s="118">
        <v>5.8912037037037032E-3</v>
      </c>
    </row>
    <row r="278" spans="1:11" x14ac:dyDescent="0.25">
      <c r="A278">
        <v>6</v>
      </c>
      <c r="B278">
        <v>3</v>
      </c>
      <c r="C278"/>
      <c r="D278" t="s">
        <v>31</v>
      </c>
      <c r="E278" t="s">
        <v>35</v>
      </c>
      <c r="F278" t="s">
        <v>47</v>
      </c>
      <c r="G278" s="118">
        <v>0.28166666666666668</v>
      </c>
      <c r="H278" s="118">
        <v>8.564814814814815E-4</v>
      </c>
      <c r="I278" s="118">
        <v>5.2083333333333333E-4</v>
      </c>
      <c r="J278"/>
      <c r="K278"/>
    </row>
    <row r="279" spans="1:11" x14ac:dyDescent="0.25">
      <c r="A279">
        <v>3</v>
      </c>
      <c r="B279">
        <v>2</v>
      </c>
      <c r="C279"/>
      <c r="D279" t="s">
        <v>31</v>
      </c>
      <c r="E279" t="s">
        <v>32</v>
      </c>
      <c r="F279" t="s">
        <v>44</v>
      </c>
      <c r="G279" s="118">
        <v>0.28171296296296294</v>
      </c>
      <c r="H279" s="118">
        <v>3.4722222222222224E-4</v>
      </c>
      <c r="I279" s="118">
        <v>9.2592592592592585E-4</v>
      </c>
      <c r="J279" s="118">
        <v>5.8912037037037032E-3</v>
      </c>
      <c r="K279" s="118">
        <v>5.8912037037037032E-3</v>
      </c>
    </row>
    <row r="280" spans="1:11" x14ac:dyDescent="0.25">
      <c r="A280">
        <v>2</v>
      </c>
      <c r="B280">
        <v>2</v>
      </c>
      <c r="C280"/>
      <c r="D280" t="s">
        <v>31</v>
      </c>
      <c r="E280" t="s">
        <v>32</v>
      </c>
      <c r="F280" t="s">
        <v>43</v>
      </c>
      <c r="G280" s="118">
        <v>0.28172453703703704</v>
      </c>
      <c r="H280" s="118">
        <v>3.4722222222222224E-4</v>
      </c>
      <c r="I280" s="118">
        <v>1.1458333333333333E-3</v>
      </c>
      <c r="J280" s="118">
        <v>5.8912037037037032E-3</v>
      </c>
      <c r="K280" s="118">
        <v>5.8912037037037032E-3</v>
      </c>
    </row>
    <row r="281" spans="1:11" x14ac:dyDescent="0.25">
      <c r="A281">
        <v>4</v>
      </c>
      <c r="B281">
        <v>2</v>
      </c>
      <c r="C281"/>
      <c r="D281" t="s">
        <v>31</v>
      </c>
      <c r="E281" t="s">
        <v>35</v>
      </c>
      <c r="F281" t="s">
        <v>46</v>
      </c>
      <c r="G281" s="118">
        <v>0.28172453703703704</v>
      </c>
      <c r="H281" s="118">
        <v>1.8055555555555557E-3</v>
      </c>
      <c r="I281" s="118">
        <v>3.4722222222222224E-4</v>
      </c>
      <c r="J281"/>
      <c r="K281"/>
    </row>
    <row r="282" spans="1:11" x14ac:dyDescent="0.25">
      <c r="A282">
        <v>4</v>
      </c>
      <c r="B282">
        <v>2</v>
      </c>
      <c r="C282"/>
      <c r="D282" t="s">
        <v>31</v>
      </c>
      <c r="E282" t="s">
        <v>32</v>
      </c>
      <c r="F282" t="s">
        <v>46</v>
      </c>
      <c r="G282" s="118">
        <v>0.28207175925925926</v>
      </c>
      <c r="H282" s="118">
        <v>3.4722222222222224E-4</v>
      </c>
      <c r="I282" s="118">
        <v>9.1435185185185185E-4</v>
      </c>
      <c r="J282" s="118">
        <v>5.8912037037037032E-3</v>
      </c>
      <c r="K282" s="118">
        <v>5.8912037037037032E-3</v>
      </c>
    </row>
    <row r="283" spans="1:11" x14ac:dyDescent="0.25">
      <c r="A283">
        <v>6</v>
      </c>
      <c r="B283">
        <v>3</v>
      </c>
      <c r="C283"/>
      <c r="D283" t="s">
        <v>31</v>
      </c>
      <c r="E283" t="s">
        <v>32</v>
      </c>
      <c r="F283" t="s">
        <v>47</v>
      </c>
      <c r="G283" s="118">
        <v>0.28218749999999998</v>
      </c>
      <c r="H283" s="118">
        <v>5.2083333333333333E-4</v>
      </c>
      <c r="I283" s="118">
        <v>8.7962962962962962E-4</v>
      </c>
      <c r="J283" s="118">
        <v>5.8912037037037032E-3</v>
      </c>
      <c r="K283" s="118">
        <v>5.8912037037037032E-3</v>
      </c>
    </row>
    <row r="284" spans="1:11" x14ac:dyDescent="0.25">
      <c r="A284">
        <v>1</v>
      </c>
      <c r="B284">
        <v>1</v>
      </c>
      <c r="C284"/>
      <c r="D284" t="s">
        <v>31</v>
      </c>
      <c r="E284" t="s">
        <v>35</v>
      </c>
      <c r="F284" t="s">
        <v>48</v>
      </c>
      <c r="G284" s="118">
        <v>0.28240740740740738</v>
      </c>
      <c r="H284" s="118">
        <v>9.1435185185185185E-4</v>
      </c>
      <c r="I284" s="118">
        <v>5.2083333333333333E-4</v>
      </c>
      <c r="J284"/>
      <c r="K284"/>
    </row>
    <row r="285" spans="1:11" x14ac:dyDescent="0.25">
      <c r="A285">
        <v>5</v>
      </c>
      <c r="B285">
        <v>3</v>
      </c>
      <c r="C285"/>
      <c r="D285" t="s">
        <v>31</v>
      </c>
      <c r="E285" t="s">
        <v>35</v>
      </c>
      <c r="F285" t="s">
        <v>52</v>
      </c>
      <c r="G285" s="118">
        <v>0.28260416666666666</v>
      </c>
      <c r="H285" s="118">
        <v>1.0416666666666667E-3</v>
      </c>
      <c r="I285" s="118">
        <v>3.4722222222222224E-4</v>
      </c>
      <c r="J285"/>
      <c r="K285"/>
    </row>
    <row r="286" spans="1:11" x14ac:dyDescent="0.25">
      <c r="A286">
        <v>3</v>
      </c>
      <c r="B286">
        <v>2</v>
      </c>
      <c r="C286"/>
      <c r="D286" t="s">
        <v>31</v>
      </c>
      <c r="E286" t="s">
        <v>35</v>
      </c>
      <c r="F286" t="s">
        <v>49</v>
      </c>
      <c r="G286" s="118">
        <v>0.28263888888888888</v>
      </c>
      <c r="H286" s="118">
        <v>9.2592592592592585E-4</v>
      </c>
      <c r="I286" s="118">
        <v>3.4722222222222224E-4</v>
      </c>
      <c r="J286"/>
      <c r="K286"/>
    </row>
    <row r="287" spans="1:11" x14ac:dyDescent="0.25">
      <c r="A287">
        <v>2</v>
      </c>
      <c r="B287">
        <v>2</v>
      </c>
      <c r="C287"/>
      <c r="D287" t="s">
        <v>31</v>
      </c>
      <c r="E287" t="s">
        <v>35</v>
      </c>
      <c r="F287" t="s">
        <v>50</v>
      </c>
      <c r="G287" s="118">
        <v>0.28287037037037038</v>
      </c>
      <c r="H287" s="118">
        <v>1.1458333333333333E-3</v>
      </c>
      <c r="I287" s="118">
        <v>3.4722222222222224E-4</v>
      </c>
      <c r="J287"/>
      <c r="K287"/>
    </row>
    <row r="288" spans="1:11" x14ac:dyDescent="0.25">
      <c r="A288">
        <v>1</v>
      </c>
      <c r="B288">
        <v>1</v>
      </c>
      <c r="C288"/>
      <c r="D288" t="s">
        <v>31</v>
      </c>
      <c r="E288" t="s">
        <v>32</v>
      </c>
      <c r="F288" t="s">
        <v>48</v>
      </c>
      <c r="G288" s="118">
        <v>0.28292824074074074</v>
      </c>
      <c r="H288" s="118">
        <v>5.2083333333333333E-4</v>
      </c>
      <c r="I288" s="118">
        <v>8.6805555555555551E-4</v>
      </c>
      <c r="J288" s="118">
        <v>6.4583333333333333E-3</v>
      </c>
      <c r="K288" s="118">
        <v>5.8912037037037032E-3</v>
      </c>
    </row>
    <row r="289" spans="1:11" x14ac:dyDescent="0.25">
      <c r="A289">
        <v>5</v>
      </c>
      <c r="B289">
        <v>3</v>
      </c>
      <c r="C289"/>
      <c r="D289" t="s">
        <v>31</v>
      </c>
      <c r="E289" t="s">
        <v>32</v>
      </c>
      <c r="F289" t="s">
        <v>52</v>
      </c>
      <c r="G289" s="118">
        <v>0.28295138888888888</v>
      </c>
      <c r="H289" s="118">
        <v>3.4722222222222224E-4</v>
      </c>
      <c r="I289" s="118">
        <v>1.0532407407407407E-3</v>
      </c>
      <c r="J289" s="118">
        <v>5.8912037037037032E-3</v>
      </c>
      <c r="K289" s="118">
        <v>5.8912037037037032E-3</v>
      </c>
    </row>
    <row r="290" spans="1:11" x14ac:dyDescent="0.25">
      <c r="A290">
        <v>3</v>
      </c>
      <c r="B290">
        <v>2</v>
      </c>
      <c r="C290"/>
      <c r="D290" t="s">
        <v>31</v>
      </c>
      <c r="E290" t="s">
        <v>32</v>
      </c>
      <c r="F290" t="s">
        <v>49</v>
      </c>
      <c r="G290" s="118">
        <v>0.2829861111111111</v>
      </c>
      <c r="H290" s="118">
        <v>3.4722222222222224E-4</v>
      </c>
      <c r="I290" s="118">
        <v>1.3541666666666667E-3</v>
      </c>
      <c r="J290" s="118">
        <v>5.8912037037037032E-3</v>
      </c>
      <c r="K290" s="118">
        <v>5.8912037037037032E-3</v>
      </c>
    </row>
    <row r="291" spans="1:11" x14ac:dyDescent="0.25">
      <c r="A291">
        <v>4</v>
      </c>
      <c r="B291">
        <v>2</v>
      </c>
      <c r="C291"/>
      <c r="D291" t="s">
        <v>31</v>
      </c>
      <c r="E291" t="s">
        <v>35</v>
      </c>
      <c r="F291" t="s">
        <v>51</v>
      </c>
      <c r="G291" s="118">
        <v>0.2829861111111111</v>
      </c>
      <c r="H291" s="118">
        <v>9.1435185185185185E-4</v>
      </c>
      <c r="I291" s="118">
        <v>3.4722222222222224E-4</v>
      </c>
      <c r="J291"/>
      <c r="K291"/>
    </row>
    <row r="292" spans="1:11" x14ac:dyDescent="0.25">
      <c r="A292">
        <v>6</v>
      </c>
      <c r="B292">
        <v>3</v>
      </c>
      <c r="C292"/>
      <c r="D292" t="s">
        <v>31</v>
      </c>
      <c r="E292" t="s">
        <v>35</v>
      </c>
      <c r="F292" t="s">
        <v>53</v>
      </c>
      <c r="G292" s="118">
        <v>0.2830671296296296</v>
      </c>
      <c r="H292" s="118">
        <v>8.7962962962962962E-4</v>
      </c>
      <c r="I292" s="118">
        <v>3.4722222222222224E-4</v>
      </c>
      <c r="J292"/>
      <c r="K292"/>
    </row>
    <row r="293" spans="1:11" x14ac:dyDescent="0.25">
      <c r="A293">
        <v>2</v>
      </c>
      <c r="B293">
        <v>2</v>
      </c>
      <c r="C293"/>
      <c r="D293" t="s">
        <v>31</v>
      </c>
      <c r="E293" t="s">
        <v>32</v>
      </c>
      <c r="F293" t="s">
        <v>50</v>
      </c>
      <c r="G293" s="118">
        <v>0.2832175925925926</v>
      </c>
      <c r="H293" s="118">
        <v>3.4722222222222224E-4</v>
      </c>
      <c r="I293" s="118">
        <v>1.261574074074074E-3</v>
      </c>
      <c r="J293" s="118">
        <v>5.8912037037037032E-3</v>
      </c>
      <c r="K293" s="118">
        <v>5.8912037037037032E-3</v>
      </c>
    </row>
    <row r="294" spans="1:11" x14ac:dyDescent="0.25">
      <c r="A294">
        <v>4</v>
      </c>
      <c r="B294">
        <v>2</v>
      </c>
      <c r="C294"/>
      <c r="D294" t="s">
        <v>31</v>
      </c>
      <c r="E294" t="s">
        <v>32</v>
      </c>
      <c r="F294" t="s">
        <v>51</v>
      </c>
      <c r="G294" s="118">
        <v>0.28333333333333333</v>
      </c>
      <c r="H294" s="118">
        <v>3.4722222222222224E-4</v>
      </c>
      <c r="I294" s="118">
        <v>1.0069444444444444E-3</v>
      </c>
      <c r="J294" s="118">
        <v>5.8912037037037032E-3</v>
      </c>
      <c r="K294" s="118">
        <v>5.8912037037037032E-3</v>
      </c>
    </row>
    <row r="295" spans="1:11" x14ac:dyDescent="0.25">
      <c r="A295">
        <v>6</v>
      </c>
      <c r="B295">
        <v>3</v>
      </c>
      <c r="C295"/>
      <c r="D295" t="s">
        <v>31</v>
      </c>
      <c r="E295" t="s">
        <v>32</v>
      </c>
      <c r="F295" t="s">
        <v>53</v>
      </c>
      <c r="G295" s="118">
        <v>0.28341435185185188</v>
      </c>
      <c r="H295" s="118">
        <v>3.4722222222222224E-4</v>
      </c>
      <c r="I295" s="118">
        <v>8.449074074074075E-4</v>
      </c>
      <c r="J295" s="118">
        <v>5.8912037037037032E-3</v>
      </c>
      <c r="K295" s="118">
        <v>5.8912037037037032E-3</v>
      </c>
    </row>
    <row r="296" spans="1:11" x14ac:dyDescent="0.25">
      <c r="A296">
        <v>1</v>
      </c>
      <c r="B296">
        <v>1</v>
      </c>
      <c r="C296"/>
      <c r="D296" t="s">
        <v>31</v>
      </c>
      <c r="E296" t="s">
        <v>35</v>
      </c>
      <c r="F296" t="s">
        <v>54</v>
      </c>
      <c r="G296" s="118">
        <v>0.28379629629629627</v>
      </c>
      <c r="H296" s="118">
        <v>8.6805555555555551E-4</v>
      </c>
      <c r="I296" s="118">
        <v>3.4722222222222224E-4</v>
      </c>
      <c r="J296"/>
      <c r="K296"/>
    </row>
    <row r="297" spans="1:11" x14ac:dyDescent="0.25">
      <c r="A297">
        <v>5</v>
      </c>
      <c r="B297">
        <v>3</v>
      </c>
      <c r="C297"/>
      <c r="D297" t="s">
        <v>31</v>
      </c>
      <c r="E297" t="s">
        <v>35</v>
      </c>
      <c r="F297" t="s">
        <v>57</v>
      </c>
      <c r="G297" s="118">
        <v>0.28400462962962963</v>
      </c>
      <c r="H297" s="118">
        <v>1.0532407407407407E-3</v>
      </c>
      <c r="I297" s="118">
        <v>3.4722222222222224E-4</v>
      </c>
      <c r="J297"/>
      <c r="K297"/>
    </row>
    <row r="298" spans="1:11" x14ac:dyDescent="0.25">
      <c r="A298">
        <v>1</v>
      </c>
      <c r="B298">
        <v>1</v>
      </c>
      <c r="C298"/>
      <c r="D298" t="s">
        <v>31</v>
      </c>
      <c r="E298" t="s">
        <v>32</v>
      </c>
      <c r="F298" t="s">
        <v>54</v>
      </c>
      <c r="G298" s="118">
        <v>0.28414351851851855</v>
      </c>
      <c r="H298" s="118">
        <v>3.4722222222222224E-4</v>
      </c>
      <c r="I298" s="118">
        <v>6.8287037037037025E-4</v>
      </c>
      <c r="J298" s="118">
        <v>6.4583333333333333E-3</v>
      </c>
      <c r="K298" s="118">
        <v>5.8912037037037032E-3</v>
      </c>
    </row>
    <row r="299" spans="1:11" x14ac:dyDescent="0.25">
      <c r="A299">
        <v>6</v>
      </c>
      <c r="B299">
        <v>3</v>
      </c>
      <c r="C299"/>
      <c r="D299" t="s">
        <v>31</v>
      </c>
      <c r="E299" t="s">
        <v>35</v>
      </c>
      <c r="F299" t="s">
        <v>34</v>
      </c>
      <c r="G299" s="118">
        <v>0.28425925925925927</v>
      </c>
      <c r="H299" s="118">
        <v>8.449074074074075E-4</v>
      </c>
      <c r="I299" s="118">
        <v>3.4722222222222224E-4</v>
      </c>
      <c r="J299"/>
      <c r="K299"/>
    </row>
    <row r="300" spans="1:11" x14ac:dyDescent="0.25">
      <c r="A300">
        <v>3</v>
      </c>
      <c r="B300">
        <v>2</v>
      </c>
      <c r="C300"/>
      <c r="D300" t="s">
        <v>31</v>
      </c>
      <c r="E300" t="s">
        <v>35</v>
      </c>
      <c r="F300" t="s">
        <v>33</v>
      </c>
      <c r="G300" s="118">
        <v>0.28434027777777776</v>
      </c>
      <c r="H300" s="118">
        <v>1.3541666666666667E-3</v>
      </c>
      <c r="I300" s="118">
        <v>5.2083333333333333E-4</v>
      </c>
      <c r="J300"/>
      <c r="K300"/>
    </row>
    <row r="301" spans="1:11" x14ac:dyDescent="0.25">
      <c r="A301">
        <v>4</v>
      </c>
      <c r="B301">
        <v>2</v>
      </c>
      <c r="C301"/>
      <c r="D301" t="s">
        <v>31</v>
      </c>
      <c r="E301" t="s">
        <v>35</v>
      </c>
      <c r="F301" t="s">
        <v>55</v>
      </c>
      <c r="G301" s="118">
        <v>0.28434027777777776</v>
      </c>
      <c r="H301" s="118">
        <v>1.0069444444444444E-3</v>
      </c>
      <c r="I301" s="118">
        <v>4.6296296296296293E-4</v>
      </c>
      <c r="J301"/>
      <c r="K301"/>
    </row>
    <row r="302" spans="1:11" x14ac:dyDescent="0.25">
      <c r="A302">
        <v>5</v>
      </c>
      <c r="B302">
        <v>3</v>
      </c>
      <c r="C302"/>
      <c r="D302" t="s">
        <v>31</v>
      </c>
      <c r="E302" t="s">
        <v>32</v>
      </c>
      <c r="F302" t="s">
        <v>57</v>
      </c>
      <c r="G302" s="118">
        <v>0.28435185185185186</v>
      </c>
      <c r="H302" s="118">
        <v>3.4722222222222224E-4</v>
      </c>
      <c r="I302" s="118">
        <v>9.3750000000000007E-4</v>
      </c>
      <c r="J302" s="118">
        <v>5.8912037037037032E-3</v>
      </c>
      <c r="K302" s="118">
        <v>5.8912037037037032E-3</v>
      </c>
    </row>
    <row r="303" spans="1:11" x14ac:dyDescent="0.25">
      <c r="A303">
        <v>2</v>
      </c>
      <c r="B303">
        <v>2</v>
      </c>
      <c r="C303"/>
      <c r="D303" t="s">
        <v>31</v>
      </c>
      <c r="E303" t="s">
        <v>35</v>
      </c>
      <c r="F303" t="s">
        <v>56</v>
      </c>
      <c r="G303" s="118">
        <v>0.28447916666666667</v>
      </c>
      <c r="H303" s="118">
        <v>1.261574074074074E-3</v>
      </c>
      <c r="I303" s="118">
        <v>3.4722222222222224E-4</v>
      </c>
      <c r="J303"/>
      <c r="K303"/>
    </row>
    <row r="304" spans="1:11" x14ac:dyDescent="0.25">
      <c r="A304">
        <v>6</v>
      </c>
      <c r="B304">
        <v>3</v>
      </c>
      <c r="C304"/>
      <c r="D304" t="s">
        <v>31</v>
      </c>
      <c r="E304" t="s">
        <v>32</v>
      </c>
      <c r="F304" t="s">
        <v>34</v>
      </c>
      <c r="G304" s="118">
        <v>0.28460648148148149</v>
      </c>
      <c r="H304" s="118">
        <v>3.4722222222222224E-4</v>
      </c>
      <c r="I304" s="118">
        <v>9.1435185185185185E-4</v>
      </c>
      <c r="J304" s="118">
        <v>5.8912037037037032E-3</v>
      </c>
      <c r="K304" s="118">
        <v>5.8912037037037032E-3</v>
      </c>
    </row>
    <row r="305" spans="1:11" x14ac:dyDescent="0.25">
      <c r="A305">
        <v>4</v>
      </c>
      <c r="B305">
        <v>2</v>
      </c>
      <c r="C305"/>
      <c r="D305" t="s">
        <v>31</v>
      </c>
      <c r="E305" t="s">
        <v>32</v>
      </c>
      <c r="F305" t="s">
        <v>55</v>
      </c>
      <c r="G305" s="118">
        <v>0.28480324074074076</v>
      </c>
      <c r="H305" s="118">
        <v>4.6296296296296293E-4</v>
      </c>
      <c r="I305" s="118">
        <v>4.3981481481481481E-4</v>
      </c>
      <c r="J305" s="118">
        <v>5.8912037037037032E-3</v>
      </c>
      <c r="K305" s="118">
        <v>5.8912037037037032E-3</v>
      </c>
    </row>
    <row r="306" spans="1:11" x14ac:dyDescent="0.25">
      <c r="A306">
        <v>1</v>
      </c>
      <c r="B306">
        <v>1</v>
      </c>
      <c r="C306"/>
      <c r="D306" t="s">
        <v>31</v>
      </c>
      <c r="E306" t="s">
        <v>35</v>
      </c>
      <c r="F306" t="s">
        <v>92</v>
      </c>
      <c r="G306" s="118">
        <v>0.28482638888888889</v>
      </c>
      <c r="H306" s="118">
        <v>6.8287037037037025E-4</v>
      </c>
      <c r="I306" s="118">
        <v>5.2083333333333333E-4</v>
      </c>
      <c r="J306"/>
      <c r="K306"/>
    </row>
    <row r="307" spans="1:11" x14ac:dyDescent="0.25">
      <c r="A307">
        <v>2</v>
      </c>
      <c r="B307">
        <v>2</v>
      </c>
      <c r="C307"/>
      <c r="D307" t="s">
        <v>31</v>
      </c>
      <c r="E307" t="s">
        <v>32</v>
      </c>
      <c r="F307" t="s">
        <v>56</v>
      </c>
      <c r="G307" s="118">
        <v>0.28482638888888889</v>
      </c>
      <c r="H307" s="118">
        <v>3.4722222222222224E-4</v>
      </c>
      <c r="I307" s="118">
        <v>9.6064814814814808E-4</v>
      </c>
      <c r="J307" s="118">
        <v>5.8912037037037032E-3</v>
      </c>
      <c r="K307" s="118">
        <v>5.8912037037037032E-3</v>
      </c>
    </row>
    <row r="308" spans="1:11" x14ac:dyDescent="0.25">
      <c r="A308">
        <v>3</v>
      </c>
      <c r="B308">
        <v>2</v>
      </c>
      <c r="C308"/>
      <c r="D308" t="s">
        <v>31</v>
      </c>
      <c r="E308" t="s">
        <v>32</v>
      </c>
      <c r="F308" t="s">
        <v>33</v>
      </c>
      <c r="G308" s="118">
        <v>0.28486111111111112</v>
      </c>
      <c r="H308" s="118">
        <v>5.2083333333333333E-4</v>
      </c>
      <c r="I308" s="118">
        <v>9.6064814814814808E-4</v>
      </c>
      <c r="J308" s="118">
        <v>5.8912037037037032E-3</v>
      </c>
      <c r="K308" s="118">
        <v>5.8912037037037032E-3</v>
      </c>
    </row>
    <row r="309" spans="1:11" x14ac:dyDescent="0.25">
      <c r="A309">
        <v>4</v>
      </c>
      <c r="B309">
        <v>2</v>
      </c>
      <c r="C309"/>
      <c r="D309" t="s">
        <v>31</v>
      </c>
      <c r="E309" t="s">
        <v>35</v>
      </c>
      <c r="F309" t="s">
        <v>58</v>
      </c>
      <c r="G309" s="118">
        <v>0.28524305555555557</v>
      </c>
      <c r="H309" s="118">
        <v>4.3981481481481481E-4</v>
      </c>
      <c r="I309" s="118">
        <v>5.7870370370370366E-5</v>
      </c>
      <c r="J309"/>
      <c r="K309"/>
    </row>
    <row r="310" spans="1:11" x14ac:dyDescent="0.25">
      <c r="A310">
        <v>5</v>
      </c>
      <c r="B310">
        <v>3</v>
      </c>
      <c r="C310"/>
      <c r="D310" t="s">
        <v>31</v>
      </c>
      <c r="E310" t="s">
        <v>35</v>
      </c>
      <c r="F310" t="s">
        <v>39</v>
      </c>
      <c r="G310" s="118">
        <v>0.28528935185185184</v>
      </c>
      <c r="H310" s="118">
        <v>9.3750000000000007E-4</v>
      </c>
      <c r="I310" s="118">
        <v>5.2083333333333333E-4</v>
      </c>
      <c r="J310"/>
      <c r="K310"/>
    </row>
    <row r="311" spans="1:11" x14ac:dyDescent="0.25">
      <c r="A311">
        <v>4</v>
      </c>
      <c r="B311">
        <v>2</v>
      </c>
      <c r="C311"/>
      <c r="D311" t="s">
        <v>31</v>
      </c>
      <c r="E311" t="s">
        <v>32</v>
      </c>
      <c r="F311" t="s">
        <v>58</v>
      </c>
      <c r="G311" s="118">
        <v>0.28530092592592593</v>
      </c>
      <c r="H311" s="118">
        <v>5.7870370370370366E-5</v>
      </c>
      <c r="I311" s="118">
        <v>4.8611111111111104E-4</v>
      </c>
      <c r="J311" s="118">
        <v>5.8912037037037032E-3</v>
      </c>
      <c r="K311" s="118">
        <v>5.8912037037037032E-3</v>
      </c>
    </row>
    <row r="312" spans="1:11" x14ac:dyDescent="0.25">
      <c r="A312">
        <v>1</v>
      </c>
      <c r="B312">
        <v>2</v>
      </c>
      <c r="C312"/>
      <c r="D312" t="s">
        <v>31</v>
      </c>
      <c r="E312" t="s">
        <v>32</v>
      </c>
      <c r="F312" t="s">
        <v>92</v>
      </c>
      <c r="G312" s="118">
        <v>0.28534722222222225</v>
      </c>
      <c r="H312" s="118">
        <v>5.2083333333333333E-4</v>
      </c>
      <c r="I312" s="118">
        <v>1.0069444444444444E-3</v>
      </c>
      <c r="J312" s="118">
        <v>5.8912037037037032E-3</v>
      </c>
      <c r="K312" s="118">
        <v>5.8912037037037032E-3</v>
      </c>
    </row>
    <row r="313" spans="1:11" x14ac:dyDescent="0.25">
      <c r="A313">
        <v>6</v>
      </c>
      <c r="B313">
        <v>3</v>
      </c>
      <c r="C313"/>
      <c r="D313" t="s">
        <v>31</v>
      </c>
      <c r="E313" t="s">
        <v>35</v>
      </c>
      <c r="F313" t="s">
        <v>38</v>
      </c>
      <c r="G313" s="118">
        <v>0.28552083333333333</v>
      </c>
      <c r="H313" s="118">
        <v>9.1435185185185185E-4</v>
      </c>
      <c r="I313" s="118">
        <v>3.4722222222222224E-4</v>
      </c>
      <c r="J313"/>
      <c r="K313"/>
    </row>
    <row r="314" spans="1:11" x14ac:dyDescent="0.25">
      <c r="A314">
        <v>2</v>
      </c>
      <c r="B314">
        <v>2</v>
      </c>
      <c r="C314"/>
      <c r="D314" t="s">
        <v>31</v>
      </c>
      <c r="E314" t="s">
        <v>35</v>
      </c>
      <c r="F314" t="s">
        <v>37</v>
      </c>
      <c r="G314" s="118">
        <v>0.28578703703703706</v>
      </c>
      <c r="H314" s="118">
        <v>9.6064814814814808E-4</v>
      </c>
      <c r="I314" s="118">
        <v>3.4722222222222224E-4</v>
      </c>
      <c r="J314"/>
      <c r="K314"/>
    </row>
    <row r="315" spans="1:11" x14ac:dyDescent="0.25">
      <c r="A315">
        <v>4</v>
      </c>
      <c r="B315">
        <v>2</v>
      </c>
      <c r="C315"/>
      <c r="D315" t="s">
        <v>31</v>
      </c>
      <c r="E315" t="s">
        <v>35</v>
      </c>
      <c r="F315" t="s">
        <v>40</v>
      </c>
      <c r="G315" s="118">
        <v>0.28578703703703706</v>
      </c>
      <c r="H315" s="118">
        <v>4.8611111111111104E-4</v>
      </c>
      <c r="I315" s="118">
        <v>4.6296296296296293E-4</v>
      </c>
      <c r="J315"/>
      <c r="K315"/>
    </row>
    <row r="316" spans="1:11" x14ac:dyDescent="0.25">
      <c r="A316">
        <v>5</v>
      </c>
      <c r="B316">
        <v>3</v>
      </c>
      <c r="C316"/>
      <c r="D316" t="s">
        <v>31</v>
      </c>
      <c r="E316" t="s">
        <v>32</v>
      </c>
      <c r="F316" t="s">
        <v>39</v>
      </c>
      <c r="G316" s="118">
        <v>0.28581018518518519</v>
      </c>
      <c r="H316" s="118">
        <v>5.2083333333333333E-4</v>
      </c>
      <c r="I316" s="118">
        <v>1.8055555555555557E-3</v>
      </c>
      <c r="J316" s="118">
        <v>5.8912037037037032E-3</v>
      </c>
      <c r="K316" s="118">
        <v>5.8912037037037032E-3</v>
      </c>
    </row>
    <row r="317" spans="1:11" x14ac:dyDescent="0.25">
      <c r="A317">
        <v>3</v>
      </c>
      <c r="B317">
        <v>2</v>
      </c>
      <c r="C317"/>
      <c r="D317" t="s">
        <v>31</v>
      </c>
      <c r="E317" t="s">
        <v>35</v>
      </c>
      <c r="F317" t="s">
        <v>36</v>
      </c>
      <c r="G317" s="118">
        <v>0.28582175925925929</v>
      </c>
      <c r="H317" s="118">
        <v>9.6064814814814808E-4</v>
      </c>
      <c r="I317" s="118">
        <v>3.4722222222222224E-4</v>
      </c>
      <c r="J317"/>
      <c r="K317"/>
    </row>
    <row r="318" spans="1:11" x14ac:dyDescent="0.25">
      <c r="A318">
        <v>6</v>
      </c>
      <c r="B318">
        <v>3</v>
      </c>
      <c r="C318"/>
      <c r="D318" t="s">
        <v>31</v>
      </c>
      <c r="E318" t="s">
        <v>32</v>
      </c>
      <c r="F318" t="s">
        <v>38</v>
      </c>
      <c r="G318" s="118">
        <v>0.28586805555555556</v>
      </c>
      <c r="H318" s="118">
        <v>3.4722222222222224E-4</v>
      </c>
      <c r="I318" s="118">
        <v>1.2384259259259258E-3</v>
      </c>
      <c r="J318" s="118">
        <v>5.8912037037037032E-3</v>
      </c>
      <c r="K318" s="118">
        <v>5.8912037037037032E-3</v>
      </c>
    </row>
    <row r="319" spans="1:11" x14ac:dyDescent="0.25">
      <c r="A319">
        <v>2</v>
      </c>
      <c r="B319">
        <v>2</v>
      </c>
      <c r="C319"/>
      <c r="D319" t="s">
        <v>31</v>
      </c>
      <c r="E319" t="s">
        <v>32</v>
      </c>
      <c r="F319" t="s">
        <v>37</v>
      </c>
      <c r="G319" s="118">
        <v>0.28613425925925923</v>
      </c>
      <c r="H319" s="118">
        <v>3.4722222222222224E-4</v>
      </c>
      <c r="I319" s="118">
        <v>9.0277777777777784E-4</v>
      </c>
      <c r="J319" s="118">
        <v>5.8912037037037032E-3</v>
      </c>
      <c r="K319" s="118">
        <v>5.8912037037037032E-3</v>
      </c>
    </row>
    <row r="320" spans="1:11" x14ac:dyDescent="0.25">
      <c r="A320">
        <v>3</v>
      </c>
      <c r="B320">
        <v>2</v>
      </c>
      <c r="C320"/>
      <c r="D320" t="s">
        <v>31</v>
      </c>
      <c r="E320" t="s">
        <v>32</v>
      </c>
      <c r="F320" t="s">
        <v>36</v>
      </c>
      <c r="G320" s="118">
        <v>0.28616898148148145</v>
      </c>
      <c r="H320" s="118">
        <v>3.4722222222222224E-4</v>
      </c>
      <c r="I320" s="118">
        <v>1.0995370370370371E-3</v>
      </c>
      <c r="J320" s="118">
        <v>5.8912037037037032E-3</v>
      </c>
      <c r="K320" s="118">
        <v>5.8912037037037032E-3</v>
      </c>
    </row>
    <row r="321" spans="1:11" x14ac:dyDescent="0.25">
      <c r="A321">
        <v>4</v>
      </c>
      <c r="B321">
        <v>2</v>
      </c>
      <c r="C321"/>
      <c r="D321" t="s">
        <v>31</v>
      </c>
      <c r="E321" t="s">
        <v>32</v>
      </c>
      <c r="F321" t="s">
        <v>40</v>
      </c>
      <c r="G321" s="118">
        <v>0.28625</v>
      </c>
      <c r="H321" s="118">
        <v>4.6296296296296293E-4</v>
      </c>
      <c r="I321" s="118">
        <v>1.0069444444444444E-3</v>
      </c>
      <c r="J321" s="118">
        <v>5.8912037037037032E-3</v>
      </c>
      <c r="K321" s="118">
        <v>5.8912037037037032E-3</v>
      </c>
    </row>
    <row r="322" spans="1:11" x14ac:dyDescent="0.25">
      <c r="A322">
        <v>1</v>
      </c>
      <c r="B322">
        <v>2</v>
      </c>
      <c r="C322"/>
      <c r="D322" t="s">
        <v>31</v>
      </c>
      <c r="E322" t="s">
        <v>35</v>
      </c>
      <c r="F322" t="s">
        <v>41</v>
      </c>
      <c r="G322" s="118">
        <v>0.28635416666666669</v>
      </c>
      <c r="H322" s="118">
        <v>1.0069444444444444E-3</v>
      </c>
      <c r="I322" s="118">
        <v>3.4722222222222224E-4</v>
      </c>
      <c r="J322"/>
      <c r="K322"/>
    </row>
    <row r="323" spans="1:11" x14ac:dyDescent="0.25">
      <c r="A323">
        <v>1</v>
      </c>
      <c r="B323">
        <v>2</v>
      </c>
      <c r="C323"/>
      <c r="D323" t="s">
        <v>31</v>
      </c>
      <c r="E323" t="s">
        <v>32</v>
      </c>
      <c r="F323" t="s">
        <v>41</v>
      </c>
      <c r="G323" s="118">
        <v>0.28670138888888891</v>
      </c>
      <c r="H323" s="118">
        <v>3.4722222222222224E-4</v>
      </c>
      <c r="I323" s="118">
        <v>8.564814814814815E-4</v>
      </c>
      <c r="J323" s="118">
        <v>5.8912037037037032E-3</v>
      </c>
      <c r="K323" s="118">
        <v>5.8912037037037032E-3</v>
      </c>
    </row>
    <row r="324" spans="1:11" x14ac:dyDescent="0.25">
      <c r="A324">
        <v>2</v>
      </c>
      <c r="B324">
        <v>2</v>
      </c>
      <c r="C324"/>
      <c r="D324" t="s">
        <v>31</v>
      </c>
      <c r="E324" t="s">
        <v>35</v>
      </c>
      <c r="F324" t="s">
        <v>42</v>
      </c>
      <c r="G324" s="118">
        <v>0.28703703703703703</v>
      </c>
      <c r="H324" s="118">
        <v>9.0277777777777784E-4</v>
      </c>
      <c r="I324" s="118">
        <v>3.4722222222222224E-4</v>
      </c>
      <c r="J324"/>
      <c r="K324"/>
    </row>
    <row r="325" spans="1:11" x14ac:dyDescent="0.25">
      <c r="A325">
        <v>6</v>
      </c>
      <c r="B325">
        <v>3</v>
      </c>
      <c r="C325"/>
      <c r="D325" t="s">
        <v>31</v>
      </c>
      <c r="E325" t="s">
        <v>35</v>
      </c>
      <c r="F325" t="s">
        <v>45</v>
      </c>
      <c r="G325" s="118">
        <v>0.28710648148148149</v>
      </c>
      <c r="H325" s="118">
        <v>1.2384259259259258E-3</v>
      </c>
      <c r="I325" s="118">
        <v>3.4722222222222224E-4</v>
      </c>
      <c r="J325"/>
      <c r="K325"/>
    </row>
    <row r="326" spans="1:11" x14ac:dyDescent="0.25">
      <c r="A326">
        <v>4</v>
      </c>
      <c r="B326">
        <v>2</v>
      </c>
      <c r="C326"/>
      <c r="D326" t="s">
        <v>31</v>
      </c>
      <c r="E326" t="s">
        <v>35</v>
      </c>
      <c r="F326" t="s">
        <v>44</v>
      </c>
      <c r="G326" s="118">
        <v>0.28725694444444444</v>
      </c>
      <c r="H326" s="118">
        <v>1.0069444444444444E-3</v>
      </c>
      <c r="I326" s="118">
        <v>3.4722222222222224E-4</v>
      </c>
      <c r="J326"/>
      <c r="K326"/>
    </row>
    <row r="327" spans="1:11" x14ac:dyDescent="0.25">
      <c r="A327">
        <v>3</v>
      </c>
      <c r="B327">
        <v>2</v>
      </c>
      <c r="C327"/>
      <c r="D327" t="s">
        <v>31</v>
      </c>
      <c r="E327" t="s">
        <v>35</v>
      </c>
      <c r="F327" t="s">
        <v>43</v>
      </c>
      <c r="G327" s="118">
        <v>0.28726851851851848</v>
      </c>
      <c r="H327" s="118">
        <v>1.0995370370370371E-3</v>
      </c>
      <c r="I327" s="118">
        <v>3.4722222222222224E-4</v>
      </c>
      <c r="J327"/>
      <c r="K327"/>
    </row>
    <row r="328" spans="1:11" x14ac:dyDescent="0.25">
      <c r="A328">
        <v>2</v>
      </c>
      <c r="B328">
        <v>2</v>
      </c>
      <c r="C328"/>
      <c r="D328" t="s">
        <v>31</v>
      </c>
      <c r="E328" t="s">
        <v>32</v>
      </c>
      <c r="F328" t="s">
        <v>42</v>
      </c>
      <c r="G328" s="118">
        <v>0.28738425925925926</v>
      </c>
      <c r="H328" s="118">
        <v>3.4722222222222224E-4</v>
      </c>
      <c r="I328" s="118">
        <v>9.1435185185185185E-4</v>
      </c>
      <c r="J328" s="118">
        <v>5.8912037037037032E-3</v>
      </c>
      <c r="K328" s="118">
        <v>5.8912037037037032E-3</v>
      </c>
    </row>
    <row r="329" spans="1:11" x14ac:dyDescent="0.25">
      <c r="A329">
        <v>6</v>
      </c>
      <c r="B329">
        <v>3</v>
      </c>
      <c r="C329"/>
      <c r="D329" t="s">
        <v>31</v>
      </c>
      <c r="E329" t="s">
        <v>32</v>
      </c>
      <c r="F329" t="s">
        <v>45</v>
      </c>
      <c r="G329" s="118">
        <v>0.28745370370370371</v>
      </c>
      <c r="H329" s="118">
        <v>3.4722222222222224E-4</v>
      </c>
      <c r="I329" s="118">
        <v>1.0416666666666667E-3</v>
      </c>
      <c r="J329" s="118">
        <v>5.8912037037037032E-3</v>
      </c>
      <c r="K329" s="118">
        <v>5.8912037037037032E-3</v>
      </c>
    </row>
    <row r="330" spans="1:11" x14ac:dyDescent="0.25">
      <c r="A330">
        <v>1</v>
      </c>
      <c r="B330">
        <v>2</v>
      </c>
      <c r="C330"/>
      <c r="D330" t="s">
        <v>31</v>
      </c>
      <c r="E330" t="s">
        <v>35</v>
      </c>
      <c r="F330" t="s">
        <v>47</v>
      </c>
      <c r="G330" s="118">
        <v>0.28755787037037034</v>
      </c>
      <c r="H330" s="118">
        <v>8.564814814814815E-4</v>
      </c>
      <c r="I330" s="118">
        <v>5.2083333333333333E-4</v>
      </c>
      <c r="J330"/>
      <c r="K330"/>
    </row>
    <row r="331" spans="1:11" x14ac:dyDescent="0.25">
      <c r="A331">
        <v>4</v>
      </c>
      <c r="B331">
        <v>2</v>
      </c>
      <c r="C331"/>
      <c r="D331" t="s">
        <v>31</v>
      </c>
      <c r="E331" t="s">
        <v>32</v>
      </c>
      <c r="F331" t="s">
        <v>44</v>
      </c>
      <c r="G331" s="118">
        <v>0.28760416666666666</v>
      </c>
      <c r="H331" s="118">
        <v>3.4722222222222224E-4</v>
      </c>
      <c r="I331" s="118">
        <v>9.2592592592592585E-4</v>
      </c>
      <c r="J331" s="118">
        <v>5.8912037037037032E-3</v>
      </c>
      <c r="K331" s="118">
        <v>5.8912037037037032E-3</v>
      </c>
    </row>
    <row r="332" spans="1:11" x14ac:dyDescent="0.25">
      <c r="A332">
        <v>3</v>
      </c>
      <c r="B332">
        <v>2</v>
      </c>
      <c r="C332"/>
      <c r="D332" t="s">
        <v>31</v>
      </c>
      <c r="E332" t="s">
        <v>32</v>
      </c>
      <c r="F332" t="s">
        <v>43</v>
      </c>
      <c r="G332" s="118">
        <v>0.28761574074074076</v>
      </c>
      <c r="H332" s="118">
        <v>3.4722222222222224E-4</v>
      </c>
      <c r="I332" s="118">
        <v>1.1458333333333333E-3</v>
      </c>
      <c r="J332" s="118">
        <v>5.8912037037037032E-3</v>
      </c>
      <c r="K332" s="118">
        <v>5.8912037037037032E-3</v>
      </c>
    </row>
    <row r="333" spans="1:11" x14ac:dyDescent="0.25">
      <c r="A333">
        <v>5</v>
      </c>
      <c r="B333">
        <v>3</v>
      </c>
      <c r="C333"/>
      <c r="D333" t="s">
        <v>31</v>
      </c>
      <c r="E333" t="s">
        <v>35</v>
      </c>
      <c r="F333" t="s">
        <v>46</v>
      </c>
      <c r="G333" s="118">
        <v>0.28761574074074076</v>
      </c>
      <c r="H333" s="118">
        <v>1.8055555555555557E-3</v>
      </c>
      <c r="I333" s="118">
        <v>3.4722222222222224E-4</v>
      </c>
      <c r="J333"/>
      <c r="K333"/>
    </row>
    <row r="334" spans="1:11" x14ac:dyDescent="0.25">
      <c r="A334">
        <v>5</v>
      </c>
      <c r="B334">
        <v>3</v>
      </c>
      <c r="C334"/>
      <c r="D334" t="s">
        <v>31</v>
      </c>
      <c r="E334" t="s">
        <v>32</v>
      </c>
      <c r="F334" t="s">
        <v>46</v>
      </c>
      <c r="G334" s="118">
        <v>0.28796296296296298</v>
      </c>
      <c r="H334" s="118">
        <v>3.4722222222222224E-4</v>
      </c>
      <c r="I334" s="118">
        <v>9.1435185185185185E-4</v>
      </c>
      <c r="J334" s="118">
        <v>5.8912037037037032E-3</v>
      </c>
      <c r="K334" s="118">
        <v>5.8912037037037032E-3</v>
      </c>
    </row>
    <row r="335" spans="1:11" x14ac:dyDescent="0.25">
      <c r="A335">
        <v>1</v>
      </c>
      <c r="B335">
        <v>2</v>
      </c>
      <c r="C335"/>
      <c r="D335" t="s">
        <v>31</v>
      </c>
      <c r="E335" t="s">
        <v>32</v>
      </c>
      <c r="F335" t="s">
        <v>47</v>
      </c>
      <c r="G335" s="118">
        <v>0.2880787037037037</v>
      </c>
      <c r="H335" s="118">
        <v>5.2083333333333333E-4</v>
      </c>
      <c r="I335" s="118">
        <v>8.7962962962962962E-4</v>
      </c>
      <c r="J335" s="118">
        <v>5.8912037037037032E-3</v>
      </c>
      <c r="K335" s="118">
        <v>5.8912037037037032E-3</v>
      </c>
    </row>
    <row r="336" spans="1:11" x14ac:dyDescent="0.25">
      <c r="A336">
        <v>2</v>
      </c>
      <c r="B336">
        <v>2</v>
      </c>
      <c r="C336"/>
      <c r="D336" t="s">
        <v>31</v>
      </c>
      <c r="E336" t="s">
        <v>35</v>
      </c>
      <c r="F336" t="s">
        <v>48</v>
      </c>
      <c r="G336" s="118">
        <v>0.2882986111111111</v>
      </c>
      <c r="H336" s="118">
        <v>9.1435185185185185E-4</v>
      </c>
      <c r="I336" s="118">
        <v>5.2083333333333333E-4</v>
      </c>
      <c r="J336"/>
      <c r="K336"/>
    </row>
    <row r="337" spans="1:11" x14ac:dyDescent="0.25">
      <c r="A337">
        <v>6</v>
      </c>
      <c r="B337">
        <v>3</v>
      </c>
      <c r="C337"/>
      <c r="D337" t="s">
        <v>31</v>
      </c>
      <c r="E337" t="s">
        <v>35</v>
      </c>
      <c r="F337" t="s">
        <v>52</v>
      </c>
      <c r="G337" s="118">
        <v>0.28849537037037037</v>
      </c>
      <c r="H337" s="118">
        <v>1.0416666666666667E-3</v>
      </c>
      <c r="I337" s="118">
        <v>3.4722222222222224E-4</v>
      </c>
      <c r="J337"/>
      <c r="K337"/>
    </row>
    <row r="338" spans="1:11" x14ac:dyDescent="0.25">
      <c r="A338">
        <v>4</v>
      </c>
      <c r="B338">
        <v>2</v>
      </c>
      <c r="C338"/>
      <c r="D338" t="s">
        <v>31</v>
      </c>
      <c r="E338" t="s">
        <v>35</v>
      </c>
      <c r="F338" t="s">
        <v>49</v>
      </c>
      <c r="G338" s="118">
        <v>0.2885300925925926</v>
      </c>
      <c r="H338" s="118">
        <v>9.2592592592592585E-4</v>
      </c>
      <c r="I338" s="118">
        <v>3.4722222222222224E-4</v>
      </c>
      <c r="J338"/>
      <c r="K338"/>
    </row>
    <row r="339" spans="1:11" x14ac:dyDescent="0.25">
      <c r="A339">
        <v>3</v>
      </c>
      <c r="B339">
        <v>2</v>
      </c>
      <c r="C339"/>
      <c r="D339" t="s">
        <v>31</v>
      </c>
      <c r="E339" t="s">
        <v>35</v>
      </c>
      <c r="F339" t="s">
        <v>50</v>
      </c>
      <c r="G339" s="118">
        <v>0.28876157407407405</v>
      </c>
      <c r="H339" s="118">
        <v>1.1458333333333333E-3</v>
      </c>
      <c r="I339" s="118">
        <v>3.4722222222222224E-4</v>
      </c>
      <c r="J339"/>
      <c r="K339"/>
    </row>
    <row r="340" spans="1:11" x14ac:dyDescent="0.25">
      <c r="A340">
        <v>2</v>
      </c>
      <c r="B340">
        <v>2</v>
      </c>
      <c r="C340"/>
      <c r="D340" t="s">
        <v>31</v>
      </c>
      <c r="E340" t="s">
        <v>32</v>
      </c>
      <c r="F340" t="s">
        <v>48</v>
      </c>
      <c r="G340" s="118">
        <v>0.28881944444444446</v>
      </c>
      <c r="H340" s="118">
        <v>5.2083333333333333E-4</v>
      </c>
      <c r="I340" s="118">
        <v>8.6805555555555551E-4</v>
      </c>
      <c r="J340" s="118">
        <v>5.8912037037037032E-3</v>
      </c>
      <c r="K340" s="118">
        <v>5.8912037037037032E-3</v>
      </c>
    </row>
    <row r="341" spans="1:11" x14ac:dyDescent="0.25">
      <c r="A341">
        <v>6</v>
      </c>
      <c r="B341">
        <v>3</v>
      </c>
      <c r="C341"/>
      <c r="D341" t="s">
        <v>31</v>
      </c>
      <c r="E341" t="s">
        <v>32</v>
      </c>
      <c r="F341" t="s">
        <v>52</v>
      </c>
      <c r="G341" s="118">
        <v>0.2888425925925926</v>
      </c>
      <c r="H341" s="118">
        <v>3.4722222222222224E-4</v>
      </c>
      <c r="I341" s="118">
        <v>1.0532407407407407E-3</v>
      </c>
      <c r="J341" s="118">
        <v>5.8912037037037032E-3</v>
      </c>
      <c r="K341" s="118">
        <v>5.8912037037037032E-3</v>
      </c>
    </row>
    <row r="342" spans="1:11" x14ac:dyDescent="0.25">
      <c r="A342">
        <v>4</v>
      </c>
      <c r="B342">
        <v>2</v>
      </c>
      <c r="C342"/>
      <c r="D342" t="s">
        <v>31</v>
      </c>
      <c r="E342" t="s">
        <v>32</v>
      </c>
      <c r="F342" t="s">
        <v>49</v>
      </c>
      <c r="G342" s="118">
        <v>0.28887731481481482</v>
      </c>
      <c r="H342" s="118">
        <v>3.4722222222222224E-4</v>
      </c>
      <c r="I342" s="118">
        <v>1.3541666666666667E-3</v>
      </c>
      <c r="J342" s="118">
        <v>5.8912037037037032E-3</v>
      </c>
      <c r="K342" s="118">
        <v>5.8912037037037032E-3</v>
      </c>
    </row>
    <row r="343" spans="1:11" x14ac:dyDescent="0.25">
      <c r="A343">
        <v>5</v>
      </c>
      <c r="B343">
        <v>3</v>
      </c>
      <c r="C343"/>
      <c r="D343" t="s">
        <v>31</v>
      </c>
      <c r="E343" t="s">
        <v>35</v>
      </c>
      <c r="F343" t="s">
        <v>51</v>
      </c>
      <c r="G343" s="118">
        <v>0.28887731481481482</v>
      </c>
      <c r="H343" s="118">
        <v>9.1435185185185185E-4</v>
      </c>
      <c r="I343" s="118">
        <v>3.4722222222222224E-4</v>
      </c>
      <c r="J343"/>
      <c r="K343"/>
    </row>
    <row r="344" spans="1:11" x14ac:dyDescent="0.25">
      <c r="A344">
        <v>1</v>
      </c>
      <c r="B344">
        <v>2</v>
      </c>
      <c r="C344"/>
      <c r="D344" t="s">
        <v>31</v>
      </c>
      <c r="E344" t="s">
        <v>35</v>
      </c>
      <c r="F344" t="s">
        <v>53</v>
      </c>
      <c r="G344" s="118">
        <v>0.28895833333333337</v>
      </c>
      <c r="H344" s="118">
        <v>8.7962962962962962E-4</v>
      </c>
      <c r="I344" s="118">
        <v>3.4722222222222224E-4</v>
      </c>
      <c r="J344"/>
      <c r="K344"/>
    </row>
    <row r="345" spans="1:11" x14ac:dyDescent="0.25">
      <c r="A345">
        <v>3</v>
      </c>
      <c r="B345">
        <v>2</v>
      </c>
      <c r="C345"/>
      <c r="D345" t="s">
        <v>31</v>
      </c>
      <c r="E345" t="s">
        <v>32</v>
      </c>
      <c r="F345" t="s">
        <v>50</v>
      </c>
      <c r="G345" s="118">
        <v>0.28910879629629632</v>
      </c>
      <c r="H345" s="118">
        <v>3.4722222222222224E-4</v>
      </c>
      <c r="I345" s="118">
        <v>1.261574074074074E-3</v>
      </c>
      <c r="J345" s="118">
        <v>5.8912037037037032E-3</v>
      </c>
      <c r="K345" s="118">
        <v>5.8912037037037032E-3</v>
      </c>
    </row>
    <row r="346" spans="1:11" x14ac:dyDescent="0.25">
      <c r="A346">
        <v>5</v>
      </c>
      <c r="B346">
        <v>3</v>
      </c>
      <c r="C346"/>
      <c r="D346" t="s">
        <v>31</v>
      </c>
      <c r="E346" t="s">
        <v>32</v>
      </c>
      <c r="F346" t="s">
        <v>51</v>
      </c>
      <c r="G346" s="118">
        <v>0.28922453703703704</v>
      </c>
      <c r="H346" s="118">
        <v>3.4722222222222224E-4</v>
      </c>
      <c r="I346" s="118">
        <v>1.0069444444444444E-3</v>
      </c>
      <c r="J346" s="118">
        <v>5.8912037037037032E-3</v>
      </c>
      <c r="K346" s="118">
        <v>5.8912037037037032E-3</v>
      </c>
    </row>
    <row r="347" spans="1:11" x14ac:dyDescent="0.25">
      <c r="A347">
        <v>1</v>
      </c>
      <c r="B347">
        <v>2</v>
      </c>
      <c r="C347"/>
      <c r="D347" t="s">
        <v>31</v>
      </c>
      <c r="E347" t="s">
        <v>32</v>
      </c>
      <c r="F347" t="s">
        <v>53</v>
      </c>
      <c r="G347" s="118">
        <v>0.28930555555555554</v>
      </c>
      <c r="H347" s="118">
        <v>3.4722222222222224E-4</v>
      </c>
      <c r="I347" s="118">
        <v>8.449074074074075E-4</v>
      </c>
      <c r="J347" s="118">
        <v>5.8912037037037032E-3</v>
      </c>
      <c r="K347" s="118">
        <v>5.8912037037037032E-3</v>
      </c>
    </row>
    <row r="348" spans="1:11" x14ac:dyDescent="0.25">
      <c r="A348">
        <v>2</v>
      </c>
      <c r="B348">
        <v>2</v>
      </c>
      <c r="C348"/>
      <c r="D348" t="s">
        <v>31</v>
      </c>
      <c r="E348" t="s">
        <v>35</v>
      </c>
      <c r="F348" t="s">
        <v>54</v>
      </c>
      <c r="G348" s="118">
        <v>0.28968749999999999</v>
      </c>
      <c r="H348" s="118">
        <v>8.6805555555555551E-4</v>
      </c>
      <c r="I348" s="118">
        <v>3.4722222222222224E-4</v>
      </c>
      <c r="J348"/>
      <c r="K348"/>
    </row>
    <row r="349" spans="1:11" x14ac:dyDescent="0.25">
      <c r="A349">
        <v>6</v>
      </c>
      <c r="B349">
        <v>3</v>
      </c>
      <c r="C349"/>
      <c r="D349" t="s">
        <v>31</v>
      </c>
      <c r="E349" t="s">
        <v>35</v>
      </c>
      <c r="F349" t="s">
        <v>57</v>
      </c>
      <c r="G349" s="118">
        <v>0.2898958333333333</v>
      </c>
      <c r="H349" s="118">
        <v>1.0532407407407407E-3</v>
      </c>
      <c r="I349" s="118">
        <v>3.4722222222222224E-4</v>
      </c>
      <c r="J349"/>
      <c r="K349"/>
    </row>
    <row r="350" spans="1:11" x14ac:dyDescent="0.25">
      <c r="A350">
        <v>2</v>
      </c>
      <c r="B350">
        <v>2</v>
      </c>
      <c r="C350"/>
      <c r="D350" t="s">
        <v>31</v>
      </c>
      <c r="E350" t="s">
        <v>32</v>
      </c>
      <c r="F350" t="s">
        <v>54</v>
      </c>
      <c r="G350" s="118">
        <v>0.29003472222222221</v>
      </c>
      <c r="H350" s="118">
        <v>3.4722222222222224E-4</v>
      </c>
      <c r="I350" s="118">
        <v>6.8287037037037025E-4</v>
      </c>
      <c r="J350" s="118">
        <v>5.8912037037037032E-3</v>
      </c>
      <c r="K350" s="118">
        <v>5.8912037037037032E-3</v>
      </c>
    </row>
    <row r="351" spans="1:11" x14ac:dyDescent="0.25">
      <c r="A351">
        <v>1</v>
      </c>
      <c r="B351">
        <v>2</v>
      </c>
      <c r="C351"/>
      <c r="D351" t="s">
        <v>31</v>
      </c>
      <c r="E351" t="s">
        <v>35</v>
      </c>
      <c r="F351" t="s">
        <v>34</v>
      </c>
      <c r="G351" s="118">
        <v>0.29015046296296299</v>
      </c>
      <c r="H351" s="118">
        <v>8.449074074074075E-4</v>
      </c>
      <c r="I351" s="118">
        <v>3.4722222222222224E-4</v>
      </c>
      <c r="J351"/>
      <c r="K351"/>
    </row>
    <row r="352" spans="1:11" x14ac:dyDescent="0.25">
      <c r="A352">
        <v>4</v>
      </c>
      <c r="B352">
        <v>2</v>
      </c>
      <c r="C352"/>
      <c r="D352" t="s">
        <v>31</v>
      </c>
      <c r="E352" t="s">
        <v>35</v>
      </c>
      <c r="F352" t="s">
        <v>33</v>
      </c>
      <c r="G352" s="118">
        <v>0.29023148148148148</v>
      </c>
      <c r="H352" s="118">
        <v>1.3541666666666667E-3</v>
      </c>
      <c r="I352" s="118">
        <v>5.2083333333333333E-4</v>
      </c>
      <c r="J352"/>
      <c r="K352"/>
    </row>
    <row r="353" spans="1:11" x14ac:dyDescent="0.25">
      <c r="A353">
        <v>5</v>
      </c>
      <c r="B353">
        <v>3</v>
      </c>
      <c r="C353"/>
      <c r="D353" t="s">
        <v>31</v>
      </c>
      <c r="E353" t="s">
        <v>35</v>
      </c>
      <c r="F353" t="s">
        <v>55</v>
      </c>
      <c r="G353" s="118">
        <v>0.29023148148148148</v>
      </c>
      <c r="H353" s="118">
        <v>1.0069444444444444E-3</v>
      </c>
      <c r="I353" s="118">
        <v>4.6296296296296293E-4</v>
      </c>
      <c r="J353"/>
      <c r="K353"/>
    </row>
    <row r="354" spans="1:11" x14ac:dyDescent="0.25">
      <c r="A354">
        <v>6</v>
      </c>
      <c r="B354">
        <v>3</v>
      </c>
      <c r="C354"/>
      <c r="D354" t="s">
        <v>31</v>
      </c>
      <c r="E354" t="s">
        <v>32</v>
      </c>
      <c r="F354" t="s">
        <v>57</v>
      </c>
      <c r="G354" s="118">
        <v>0.29024305555555557</v>
      </c>
      <c r="H354" s="118">
        <v>3.4722222222222224E-4</v>
      </c>
      <c r="I354" s="118">
        <v>9.3750000000000007E-4</v>
      </c>
      <c r="J354" s="118">
        <v>5.8912037037037032E-3</v>
      </c>
      <c r="K354" s="118">
        <v>5.8912037037037032E-3</v>
      </c>
    </row>
    <row r="355" spans="1:11" x14ac:dyDescent="0.25">
      <c r="A355">
        <v>3</v>
      </c>
      <c r="B355">
        <v>2</v>
      </c>
      <c r="C355"/>
      <c r="D355" t="s">
        <v>31</v>
      </c>
      <c r="E355" t="s">
        <v>35</v>
      </c>
      <c r="F355" t="s">
        <v>56</v>
      </c>
      <c r="G355" s="118">
        <v>0.29037037037037039</v>
      </c>
      <c r="H355" s="118">
        <v>1.261574074074074E-3</v>
      </c>
      <c r="I355" s="118">
        <v>3.4722222222222224E-4</v>
      </c>
      <c r="J355"/>
      <c r="K355"/>
    </row>
    <row r="356" spans="1:11" x14ac:dyDescent="0.25">
      <c r="A356">
        <v>1</v>
      </c>
      <c r="B356">
        <v>2</v>
      </c>
      <c r="C356"/>
      <c r="D356" t="s">
        <v>31</v>
      </c>
      <c r="E356" t="s">
        <v>32</v>
      </c>
      <c r="F356" t="s">
        <v>34</v>
      </c>
      <c r="G356" s="118">
        <v>0.29049768518518521</v>
      </c>
      <c r="H356" s="118">
        <v>3.4722222222222224E-4</v>
      </c>
      <c r="I356" s="118">
        <v>9.1435185185185185E-4</v>
      </c>
      <c r="J356" s="118">
        <v>5.8912037037037032E-3</v>
      </c>
      <c r="K356" s="118">
        <v>5.8912037037037032E-3</v>
      </c>
    </row>
    <row r="357" spans="1:11" x14ac:dyDescent="0.25">
      <c r="A357">
        <v>5</v>
      </c>
      <c r="B357">
        <v>3</v>
      </c>
      <c r="C357"/>
      <c r="D357" t="s">
        <v>31</v>
      </c>
      <c r="E357" t="s">
        <v>32</v>
      </c>
      <c r="F357" t="s">
        <v>55</v>
      </c>
      <c r="G357" s="118">
        <v>0.29069444444444442</v>
      </c>
      <c r="H357" s="118">
        <v>4.6296296296296293E-4</v>
      </c>
      <c r="I357" s="118">
        <v>4.3981481481481481E-4</v>
      </c>
      <c r="J357" s="118">
        <v>5.8912037037037032E-3</v>
      </c>
      <c r="K357" s="118">
        <v>5.8912037037037032E-3</v>
      </c>
    </row>
    <row r="358" spans="1:11" x14ac:dyDescent="0.25">
      <c r="A358">
        <v>2</v>
      </c>
      <c r="B358">
        <v>2</v>
      </c>
      <c r="C358"/>
      <c r="D358" t="s">
        <v>31</v>
      </c>
      <c r="E358" t="s">
        <v>35</v>
      </c>
      <c r="F358" t="s">
        <v>92</v>
      </c>
      <c r="G358" s="118">
        <v>0.29071759259259261</v>
      </c>
      <c r="H358" s="118">
        <v>6.8287037037037025E-4</v>
      </c>
      <c r="I358" s="118">
        <v>5.2083333333333333E-4</v>
      </c>
      <c r="J358"/>
      <c r="K358"/>
    </row>
    <row r="359" spans="1:11" x14ac:dyDescent="0.25">
      <c r="A359">
        <v>3</v>
      </c>
      <c r="B359">
        <v>2</v>
      </c>
      <c r="C359"/>
      <c r="D359" t="s">
        <v>31</v>
      </c>
      <c r="E359" t="s">
        <v>32</v>
      </c>
      <c r="F359" t="s">
        <v>56</v>
      </c>
      <c r="G359" s="118">
        <v>0.29071759259259261</v>
      </c>
      <c r="H359" s="118">
        <v>3.4722222222222224E-4</v>
      </c>
      <c r="I359" s="118">
        <v>9.6064814814814808E-4</v>
      </c>
      <c r="J359" s="118">
        <v>5.8912037037037032E-3</v>
      </c>
      <c r="K359" s="118">
        <v>5.8912037037037032E-3</v>
      </c>
    </row>
    <row r="360" spans="1:11" x14ac:dyDescent="0.25">
      <c r="A360">
        <v>4</v>
      </c>
      <c r="B360">
        <v>2</v>
      </c>
      <c r="C360"/>
      <c r="D360" t="s">
        <v>31</v>
      </c>
      <c r="E360" t="s">
        <v>32</v>
      </c>
      <c r="F360" t="s">
        <v>33</v>
      </c>
      <c r="G360" s="118">
        <v>0.29075231481481484</v>
      </c>
      <c r="H360" s="118">
        <v>5.2083333333333333E-4</v>
      </c>
      <c r="I360" s="118">
        <v>9.6064814814814808E-4</v>
      </c>
      <c r="J360" s="118">
        <v>5.8912037037037032E-3</v>
      </c>
      <c r="K360" s="118">
        <v>5.8912037037037032E-3</v>
      </c>
    </row>
    <row r="361" spans="1:11" x14ac:dyDescent="0.25">
      <c r="A361">
        <v>5</v>
      </c>
      <c r="B361">
        <v>3</v>
      </c>
      <c r="C361"/>
      <c r="D361" t="s">
        <v>31</v>
      </c>
      <c r="E361" t="s">
        <v>35</v>
      </c>
      <c r="F361" t="s">
        <v>58</v>
      </c>
      <c r="G361" s="118">
        <v>0.29113425925925923</v>
      </c>
      <c r="H361" s="118">
        <v>4.3981481481481481E-4</v>
      </c>
      <c r="I361" s="118">
        <v>5.7870370370370366E-5</v>
      </c>
      <c r="J361"/>
      <c r="K361"/>
    </row>
    <row r="362" spans="1:11" x14ac:dyDescent="0.25">
      <c r="A362">
        <v>6</v>
      </c>
      <c r="B362">
        <v>3</v>
      </c>
      <c r="C362"/>
      <c r="D362" t="s">
        <v>31</v>
      </c>
      <c r="E362" t="s">
        <v>35</v>
      </c>
      <c r="F362" t="s">
        <v>39</v>
      </c>
      <c r="G362" s="118">
        <v>0.29118055555555555</v>
      </c>
      <c r="H362" s="118">
        <v>9.3750000000000007E-4</v>
      </c>
      <c r="I362" s="118">
        <v>5.2083333333333333E-4</v>
      </c>
      <c r="J362"/>
      <c r="K362"/>
    </row>
    <row r="363" spans="1:11" x14ac:dyDescent="0.25">
      <c r="A363">
        <v>5</v>
      </c>
      <c r="B363">
        <v>3</v>
      </c>
      <c r="C363"/>
      <c r="D363" t="s">
        <v>31</v>
      </c>
      <c r="E363" t="s">
        <v>32</v>
      </c>
      <c r="F363" t="s">
        <v>58</v>
      </c>
      <c r="G363" s="118">
        <v>0.29119212962962965</v>
      </c>
      <c r="H363" s="118">
        <v>5.7870370370370366E-5</v>
      </c>
      <c r="I363" s="118">
        <v>4.8611111111111104E-4</v>
      </c>
      <c r="J363" s="118">
        <v>5.8912037037037032E-3</v>
      </c>
      <c r="K363" s="118">
        <v>5.8912037037037032E-3</v>
      </c>
    </row>
    <row r="364" spans="1:11" x14ac:dyDescent="0.25">
      <c r="A364">
        <v>2</v>
      </c>
      <c r="B364">
        <v>3</v>
      </c>
      <c r="C364"/>
      <c r="D364" t="s">
        <v>31</v>
      </c>
      <c r="E364" t="s">
        <v>32</v>
      </c>
      <c r="F364" t="s">
        <v>92</v>
      </c>
      <c r="G364" s="118">
        <v>0.29123842592592591</v>
      </c>
      <c r="H364" s="118">
        <v>5.2083333333333333E-4</v>
      </c>
      <c r="I364" s="118">
        <v>1.0069444444444444E-3</v>
      </c>
      <c r="J364" s="118">
        <v>5.8912037037037032E-3</v>
      </c>
      <c r="K364" s="118">
        <v>5.8912037037037032E-3</v>
      </c>
    </row>
    <row r="365" spans="1:11" x14ac:dyDescent="0.25">
      <c r="A365">
        <v>1</v>
      </c>
      <c r="B365">
        <v>2</v>
      </c>
      <c r="C365"/>
      <c r="D365" t="s">
        <v>31</v>
      </c>
      <c r="E365" t="s">
        <v>35</v>
      </c>
      <c r="F365" t="s">
        <v>38</v>
      </c>
      <c r="G365" s="118">
        <v>0.29141203703703705</v>
      </c>
      <c r="H365" s="118">
        <v>9.1435185185185185E-4</v>
      </c>
      <c r="I365" s="118">
        <v>3.4722222222222224E-4</v>
      </c>
      <c r="J365"/>
      <c r="K365"/>
    </row>
    <row r="366" spans="1:11" x14ac:dyDescent="0.25">
      <c r="A366">
        <v>3</v>
      </c>
      <c r="B366">
        <v>2</v>
      </c>
      <c r="C366"/>
      <c r="D366" t="s">
        <v>31</v>
      </c>
      <c r="E366" t="s">
        <v>35</v>
      </c>
      <c r="F366" t="s">
        <v>37</v>
      </c>
      <c r="G366" s="118">
        <v>0.29167824074074072</v>
      </c>
      <c r="H366" s="118">
        <v>9.6064814814814808E-4</v>
      </c>
      <c r="I366" s="118">
        <v>3.4722222222222224E-4</v>
      </c>
      <c r="J366"/>
      <c r="K366"/>
    </row>
    <row r="367" spans="1:11" x14ac:dyDescent="0.25">
      <c r="A367">
        <v>5</v>
      </c>
      <c r="B367">
        <v>3</v>
      </c>
      <c r="C367"/>
      <c r="D367" t="s">
        <v>31</v>
      </c>
      <c r="E367" t="s">
        <v>35</v>
      </c>
      <c r="F367" t="s">
        <v>40</v>
      </c>
      <c r="G367" s="118">
        <v>0.29167824074074072</v>
      </c>
      <c r="H367" s="118">
        <v>4.8611111111111104E-4</v>
      </c>
      <c r="I367" s="118">
        <v>4.6296296296296293E-4</v>
      </c>
      <c r="J367"/>
      <c r="K367"/>
    </row>
    <row r="368" spans="1:11" x14ac:dyDescent="0.25">
      <c r="A368">
        <v>6</v>
      </c>
      <c r="B368">
        <v>3</v>
      </c>
      <c r="C368"/>
      <c r="D368" t="s">
        <v>31</v>
      </c>
      <c r="E368" t="s">
        <v>32</v>
      </c>
      <c r="F368" t="s">
        <v>39</v>
      </c>
      <c r="G368" s="118">
        <v>0.29170138888888891</v>
      </c>
      <c r="H368" s="118">
        <v>5.2083333333333333E-4</v>
      </c>
      <c r="I368" s="118">
        <v>1.8055555555555557E-3</v>
      </c>
      <c r="J368" s="118">
        <v>5.8912037037037032E-3</v>
      </c>
      <c r="K368" s="118">
        <v>5.8912037037037032E-3</v>
      </c>
    </row>
    <row r="369" spans="1:11" x14ac:dyDescent="0.25">
      <c r="A369">
        <v>4</v>
      </c>
      <c r="B369">
        <v>2</v>
      </c>
      <c r="C369"/>
      <c r="D369" t="s">
        <v>31</v>
      </c>
      <c r="E369" t="s">
        <v>35</v>
      </c>
      <c r="F369" t="s">
        <v>36</v>
      </c>
      <c r="G369" s="118">
        <v>0.29171296296296295</v>
      </c>
      <c r="H369" s="118">
        <v>9.6064814814814808E-4</v>
      </c>
      <c r="I369" s="118">
        <v>3.4722222222222224E-4</v>
      </c>
      <c r="J369"/>
      <c r="K369"/>
    </row>
    <row r="370" spans="1:11" x14ac:dyDescent="0.25">
      <c r="A370">
        <v>1</v>
      </c>
      <c r="B370">
        <v>2</v>
      </c>
      <c r="C370"/>
      <c r="D370" t="s">
        <v>31</v>
      </c>
      <c r="E370" t="s">
        <v>32</v>
      </c>
      <c r="F370" t="s">
        <v>38</v>
      </c>
      <c r="G370" s="118">
        <v>0.29175925925925927</v>
      </c>
      <c r="H370" s="118">
        <v>3.4722222222222224E-4</v>
      </c>
      <c r="I370" s="118">
        <v>1.2384259259259258E-3</v>
      </c>
      <c r="J370" s="118">
        <v>5.8912037037037032E-3</v>
      </c>
      <c r="K370" s="118">
        <v>5.8912037037037032E-3</v>
      </c>
    </row>
    <row r="371" spans="1:11" x14ac:dyDescent="0.25">
      <c r="A371">
        <v>3</v>
      </c>
      <c r="B371">
        <v>2</v>
      </c>
      <c r="C371"/>
      <c r="D371" t="s">
        <v>31</v>
      </c>
      <c r="E371" t="s">
        <v>32</v>
      </c>
      <c r="F371" t="s">
        <v>37</v>
      </c>
      <c r="G371" s="118">
        <v>0.29202546296296295</v>
      </c>
      <c r="H371" s="118">
        <v>3.4722222222222224E-4</v>
      </c>
      <c r="I371" s="118">
        <v>9.0277777777777784E-4</v>
      </c>
      <c r="J371" s="118">
        <v>5.8912037037037032E-3</v>
      </c>
      <c r="K371" s="118">
        <v>5.8912037037037032E-3</v>
      </c>
    </row>
    <row r="372" spans="1:11" x14ac:dyDescent="0.25">
      <c r="A372">
        <v>4</v>
      </c>
      <c r="B372">
        <v>2</v>
      </c>
      <c r="C372"/>
      <c r="D372" t="s">
        <v>31</v>
      </c>
      <c r="E372" t="s">
        <v>32</v>
      </c>
      <c r="F372" t="s">
        <v>36</v>
      </c>
      <c r="G372" s="118">
        <v>0.29206018518518517</v>
      </c>
      <c r="H372" s="118">
        <v>3.4722222222222224E-4</v>
      </c>
      <c r="I372" s="118">
        <v>1.0995370370370371E-3</v>
      </c>
      <c r="J372" s="118">
        <v>5.8912037037037032E-3</v>
      </c>
      <c r="K372" s="118">
        <v>5.8912037037037032E-3</v>
      </c>
    </row>
    <row r="373" spans="1:11" x14ac:dyDescent="0.25">
      <c r="A373">
        <v>5</v>
      </c>
      <c r="B373">
        <v>3</v>
      </c>
      <c r="C373"/>
      <c r="D373" t="s">
        <v>31</v>
      </c>
      <c r="E373" t="s">
        <v>32</v>
      </c>
      <c r="F373" t="s">
        <v>40</v>
      </c>
      <c r="G373" s="118">
        <v>0.29214120370370372</v>
      </c>
      <c r="H373" s="118">
        <v>4.6296296296296293E-4</v>
      </c>
      <c r="I373" s="118">
        <v>1.0069444444444444E-3</v>
      </c>
      <c r="J373" s="118">
        <v>5.8912037037037032E-3</v>
      </c>
      <c r="K373" s="118">
        <v>5.8912037037037032E-3</v>
      </c>
    </row>
    <row r="374" spans="1:11" x14ac:dyDescent="0.25">
      <c r="A374">
        <v>2</v>
      </c>
      <c r="B374">
        <v>3</v>
      </c>
      <c r="C374"/>
      <c r="D374" t="s">
        <v>31</v>
      </c>
      <c r="E374" t="s">
        <v>35</v>
      </c>
      <c r="F374" t="s">
        <v>41</v>
      </c>
      <c r="G374" s="118">
        <v>0.29224537037037041</v>
      </c>
      <c r="H374" s="118">
        <v>1.0069444444444444E-3</v>
      </c>
      <c r="I374" s="118">
        <v>3.4722222222222224E-4</v>
      </c>
      <c r="J374"/>
      <c r="K374"/>
    </row>
    <row r="375" spans="1:11" x14ac:dyDescent="0.25">
      <c r="A375">
        <v>2</v>
      </c>
      <c r="B375">
        <v>3</v>
      </c>
      <c r="C375"/>
      <c r="D375" t="s">
        <v>31</v>
      </c>
      <c r="E375" t="s">
        <v>32</v>
      </c>
      <c r="F375" t="s">
        <v>41</v>
      </c>
      <c r="G375" s="118">
        <v>0.29259259259259257</v>
      </c>
      <c r="H375" s="118">
        <v>3.4722222222222224E-4</v>
      </c>
      <c r="I375" s="118">
        <v>8.564814814814815E-4</v>
      </c>
      <c r="J375" s="118">
        <v>5.8912037037037032E-3</v>
      </c>
      <c r="K375" s="118">
        <v>5.8912037037037032E-3</v>
      </c>
    </row>
    <row r="376" spans="1:11" x14ac:dyDescent="0.25">
      <c r="A376">
        <v>3</v>
      </c>
      <c r="B376">
        <v>2</v>
      </c>
      <c r="C376"/>
      <c r="D376" t="s">
        <v>31</v>
      </c>
      <c r="E376" t="s">
        <v>35</v>
      </c>
      <c r="F376" t="s">
        <v>42</v>
      </c>
      <c r="G376" s="118">
        <v>0.29292824074074075</v>
      </c>
      <c r="H376" s="118">
        <v>9.0277777777777784E-4</v>
      </c>
      <c r="I376" s="118">
        <v>3.4722222222222224E-4</v>
      </c>
      <c r="J376"/>
      <c r="K376"/>
    </row>
    <row r="377" spans="1:11" x14ac:dyDescent="0.25">
      <c r="A377">
        <v>1</v>
      </c>
      <c r="B377">
        <v>2</v>
      </c>
      <c r="C377"/>
      <c r="D377" t="s">
        <v>31</v>
      </c>
      <c r="E377" t="s">
        <v>35</v>
      </c>
      <c r="F377" t="s">
        <v>45</v>
      </c>
      <c r="G377" s="118">
        <v>0.29299768518518515</v>
      </c>
      <c r="H377" s="118">
        <v>1.2384259259259258E-3</v>
      </c>
      <c r="I377" s="118">
        <v>3.4722222222222224E-4</v>
      </c>
      <c r="J377"/>
      <c r="K377"/>
    </row>
    <row r="378" spans="1:11" x14ac:dyDescent="0.25">
      <c r="A378">
        <v>5</v>
      </c>
      <c r="B378">
        <v>3</v>
      </c>
      <c r="C378"/>
      <c r="D378" t="s">
        <v>31</v>
      </c>
      <c r="E378" t="s">
        <v>35</v>
      </c>
      <c r="F378" t="s">
        <v>44</v>
      </c>
      <c r="G378" s="118">
        <v>0.29314814814814816</v>
      </c>
      <c r="H378" s="118">
        <v>1.0069444444444444E-3</v>
      </c>
      <c r="I378" s="118">
        <v>3.4722222222222224E-4</v>
      </c>
      <c r="J378"/>
      <c r="K378"/>
    </row>
    <row r="379" spans="1:11" x14ac:dyDescent="0.25">
      <c r="A379">
        <v>4</v>
      </c>
      <c r="B379">
        <v>2</v>
      </c>
      <c r="C379"/>
      <c r="D379" t="s">
        <v>31</v>
      </c>
      <c r="E379" t="s">
        <v>35</v>
      </c>
      <c r="F379" t="s">
        <v>43</v>
      </c>
      <c r="G379" s="118">
        <v>0.29315972222222225</v>
      </c>
      <c r="H379" s="118">
        <v>1.0995370370370371E-3</v>
      </c>
      <c r="I379" s="118">
        <v>3.4722222222222224E-4</v>
      </c>
      <c r="J379"/>
      <c r="K379"/>
    </row>
    <row r="380" spans="1:11" x14ac:dyDescent="0.25">
      <c r="A380">
        <v>3</v>
      </c>
      <c r="B380">
        <v>2</v>
      </c>
      <c r="C380"/>
      <c r="D380" t="s">
        <v>31</v>
      </c>
      <c r="E380" t="s">
        <v>32</v>
      </c>
      <c r="F380" t="s">
        <v>42</v>
      </c>
      <c r="G380" s="118">
        <v>0.29327546296296297</v>
      </c>
      <c r="H380" s="118">
        <v>3.4722222222222224E-4</v>
      </c>
      <c r="I380" s="118">
        <v>9.1435185185185185E-4</v>
      </c>
      <c r="J380" s="118">
        <v>5.8912037037037032E-3</v>
      </c>
      <c r="K380" s="118">
        <v>5.8912037037037032E-3</v>
      </c>
    </row>
    <row r="381" spans="1:11" x14ac:dyDescent="0.25">
      <c r="A381">
        <v>1</v>
      </c>
      <c r="B381">
        <v>2</v>
      </c>
      <c r="C381"/>
      <c r="D381" t="s">
        <v>31</v>
      </c>
      <c r="E381" t="s">
        <v>32</v>
      </c>
      <c r="F381" t="s">
        <v>45</v>
      </c>
      <c r="G381" s="118">
        <v>0.29334490740740743</v>
      </c>
      <c r="H381" s="118">
        <v>3.4722222222222224E-4</v>
      </c>
      <c r="I381" s="118">
        <v>1.0416666666666667E-3</v>
      </c>
      <c r="J381" s="118">
        <v>5.8912037037037032E-3</v>
      </c>
      <c r="K381" s="118">
        <v>5.8912037037037032E-3</v>
      </c>
    </row>
    <row r="382" spans="1:11" x14ac:dyDescent="0.25">
      <c r="A382">
        <v>2</v>
      </c>
      <c r="B382">
        <v>3</v>
      </c>
      <c r="C382"/>
      <c r="D382" t="s">
        <v>31</v>
      </c>
      <c r="E382" t="s">
        <v>35</v>
      </c>
      <c r="F382" t="s">
        <v>47</v>
      </c>
      <c r="G382" s="118">
        <v>0.29344907407407406</v>
      </c>
      <c r="H382" s="118">
        <v>8.564814814814815E-4</v>
      </c>
      <c r="I382" s="118">
        <v>5.2083333333333333E-4</v>
      </c>
      <c r="J382"/>
      <c r="K382"/>
    </row>
    <row r="383" spans="1:11" x14ac:dyDescent="0.25">
      <c r="A383">
        <v>5</v>
      </c>
      <c r="B383">
        <v>3</v>
      </c>
      <c r="C383"/>
      <c r="D383" t="s">
        <v>31</v>
      </c>
      <c r="E383" t="s">
        <v>32</v>
      </c>
      <c r="F383" t="s">
        <v>44</v>
      </c>
      <c r="G383" s="118">
        <v>0.29349537037037038</v>
      </c>
      <c r="H383" s="118">
        <v>3.4722222222222224E-4</v>
      </c>
      <c r="I383" s="118">
        <v>9.2592592592592585E-4</v>
      </c>
      <c r="J383" s="118">
        <v>5.8912037037037032E-3</v>
      </c>
      <c r="K383" s="118">
        <v>5.8912037037037032E-3</v>
      </c>
    </row>
    <row r="384" spans="1:11" x14ac:dyDescent="0.25">
      <c r="A384">
        <v>4</v>
      </c>
      <c r="B384">
        <v>2</v>
      </c>
      <c r="C384"/>
      <c r="D384" t="s">
        <v>31</v>
      </c>
      <c r="E384" t="s">
        <v>32</v>
      </c>
      <c r="F384" t="s">
        <v>43</v>
      </c>
      <c r="G384" s="118">
        <v>0.29350694444444442</v>
      </c>
      <c r="H384" s="118">
        <v>3.4722222222222224E-4</v>
      </c>
      <c r="I384" s="118">
        <v>1.1458333333333333E-3</v>
      </c>
      <c r="J384" s="118">
        <v>5.8912037037037032E-3</v>
      </c>
      <c r="K384" s="118">
        <v>5.8912037037037032E-3</v>
      </c>
    </row>
    <row r="385" spans="1:11" x14ac:dyDescent="0.25">
      <c r="A385">
        <v>6</v>
      </c>
      <c r="B385">
        <v>3</v>
      </c>
      <c r="C385"/>
      <c r="D385" t="s">
        <v>31</v>
      </c>
      <c r="E385" t="s">
        <v>35</v>
      </c>
      <c r="F385" t="s">
        <v>46</v>
      </c>
      <c r="G385" s="118">
        <v>0.29350694444444442</v>
      </c>
      <c r="H385" s="118">
        <v>1.8055555555555557E-3</v>
      </c>
      <c r="I385" s="118">
        <v>3.4722222222222224E-4</v>
      </c>
      <c r="J385"/>
      <c r="K385"/>
    </row>
    <row r="386" spans="1:11" x14ac:dyDescent="0.25">
      <c r="A386">
        <v>6</v>
      </c>
      <c r="B386">
        <v>3</v>
      </c>
      <c r="C386"/>
      <c r="D386" t="s">
        <v>31</v>
      </c>
      <c r="E386" t="s">
        <v>32</v>
      </c>
      <c r="F386" t="s">
        <v>46</v>
      </c>
      <c r="G386" s="118">
        <v>0.29385416666666669</v>
      </c>
      <c r="H386" s="118">
        <v>3.4722222222222224E-4</v>
      </c>
      <c r="I386" s="118">
        <v>9.1435185185185185E-4</v>
      </c>
      <c r="J386" s="118">
        <v>5.8912037037037032E-3</v>
      </c>
      <c r="K386" s="118">
        <v>5.8912037037037032E-3</v>
      </c>
    </row>
    <row r="387" spans="1:11" x14ac:dyDescent="0.25">
      <c r="A387">
        <v>2</v>
      </c>
      <c r="B387">
        <v>3</v>
      </c>
      <c r="C387"/>
      <c r="D387" t="s">
        <v>31</v>
      </c>
      <c r="E387" t="s">
        <v>32</v>
      </c>
      <c r="F387" t="s">
        <v>47</v>
      </c>
      <c r="G387" s="118">
        <v>0.29396990740740742</v>
      </c>
      <c r="H387" s="118">
        <v>5.2083333333333333E-4</v>
      </c>
      <c r="I387" s="118">
        <v>8.7962962962962962E-4</v>
      </c>
      <c r="J387" s="118">
        <v>5.8912037037037032E-3</v>
      </c>
      <c r="K387" s="118">
        <v>5.8912037037037032E-3</v>
      </c>
    </row>
    <row r="388" spans="1:11" x14ac:dyDescent="0.25">
      <c r="A388">
        <v>3</v>
      </c>
      <c r="B388">
        <v>2</v>
      </c>
      <c r="C388"/>
      <c r="D388" t="s">
        <v>31</v>
      </c>
      <c r="E388" t="s">
        <v>35</v>
      </c>
      <c r="F388" t="s">
        <v>48</v>
      </c>
      <c r="G388" s="118">
        <v>0.29418981481481482</v>
      </c>
      <c r="H388" s="118">
        <v>9.1435185185185185E-4</v>
      </c>
      <c r="I388" s="118">
        <v>5.2083333333333333E-4</v>
      </c>
      <c r="J388"/>
      <c r="K388"/>
    </row>
    <row r="389" spans="1:11" x14ac:dyDescent="0.25">
      <c r="A389">
        <v>1</v>
      </c>
      <c r="B389">
        <v>2</v>
      </c>
      <c r="C389"/>
      <c r="D389" t="s">
        <v>31</v>
      </c>
      <c r="E389" t="s">
        <v>35</v>
      </c>
      <c r="F389" t="s">
        <v>52</v>
      </c>
      <c r="G389" s="118">
        <v>0.29438657407407409</v>
      </c>
      <c r="H389" s="118">
        <v>1.0416666666666667E-3</v>
      </c>
      <c r="I389" s="118">
        <v>3.4722222222222224E-4</v>
      </c>
      <c r="J389"/>
      <c r="K389"/>
    </row>
    <row r="390" spans="1:11" x14ac:dyDescent="0.25">
      <c r="A390">
        <v>5</v>
      </c>
      <c r="B390">
        <v>3</v>
      </c>
      <c r="C390"/>
      <c r="D390" t="s">
        <v>31</v>
      </c>
      <c r="E390" t="s">
        <v>35</v>
      </c>
      <c r="F390" t="s">
        <v>49</v>
      </c>
      <c r="G390" s="118">
        <v>0.29442129629629626</v>
      </c>
      <c r="H390" s="118">
        <v>9.2592592592592585E-4</v>
      </c>
      <c r="I390" s="118">
        <v>3.4722222222222224E-4</v>
      </c>
      <c r="J390"/>
      <c r="K390"/>
    </row>
    <row r="391" spans="1:11" x14ac:dyDescent="0.25">
      <c r="A391">
        <v>4</v>
      </c>
      <c r="B391">
        <v>2</v>
      </c>
      <c r="C391"/>
      <c r="D391" t="s">
        <v>31</v>
      </c>
      <c r="E391" t="s">
        <v>35</v>
      </c>
      <c r="F391" t="s">
        <v>50</v>
      </c>
      <c r="G391" s="118">
        <v>0.29465277777777776</v>
      </c>
      <c r="H391" s="118">
        <v>1.1458333333333333E-3</v>
      </c>
      <c r="I391" s="118">
        <v>3.4722222222222224E-4</v>
      </c>
      <c r="J391"/>
      <c r="K391"/>
    </row>
    <row r="392" spans="1:11" x14ac:dyDescent="0.25">
      <c r="A392">
        <v>3</v>
      </c>
      <c r="B392">
        <v>2</v>
      </c>
      <c r="C392"/>
      <c r="D392" t="s">
        <v>31</v>
      </c>
      <c r="E392" t="s">
        <v>32</v>
      </c>
      <c r="F392" t="s">
        <v>48</v>
      </c>
      <c r="G392" s="118">
        <v>0.29471064814814812</v>
      </c>
      <c r="H392" s="118">
        <v>5.2083333333333333E-4</v>
      </c>
      <c r="I392" s="118">
        <v>8.6805555555555551E-4</v>
      </c>
      <c r="J392" s="118">
        <v>5.8912037037037032E-3</v>
      </c>
      <c r="K392" s="118">
        <v>5.8912037037037032E-3</v>
      </c>
    </row>
    <row r="393" spans="1:11" x14ac:dyDescent="0.25">
      <c r="A393">
        <v>1</v>
      </c>
      <c r="B393">
        <v>2</v>
      </c>
      <c r="C393"/>
      <c r="D393" t="s">
        <v>31</v>
      </c>
      <c r="E393" t="s">
        <v>32</v>
      </c>
      <c r="F393" t="s">
        <v>52</v>
      </c>
      <c r="G393" s="118">
        <v>0.29473379629629631</v>
      </c>
      <c r="H393" s="118">
        <v>3.4722222222222224E-4</v>
      </c>
      <c r="I393" s="118">
        <v>1.0532407407407407E-3</v>
      </c>
      <c r="J393" s="118">
        <v>5.8912037037037032E-3</v>
      </c>
      <c r="K393" s="118">
        <v>5.8912037037037032E-3</v>
      </c>
    </row>
    <row r="394" spans="1:11" x14ac:dyDescent="0.25">
      <c r="A394">
        <v>5</v>
      </c>
      <c r="B394">
        <v>3</v>
      </c>
      <c r="C394"/>
      <c r="D394" t="s">
        <v>31</v>
      </c>
      <c r="E394" t="s">
        <v>32</v>
      </c>
      <c r="F394" t="s">
        <v>49</v>
      </c>
      <c r="G394" s="118">
        <v>0.29476851851851854</v>
      </c>
      <c r="H394" s="118">
        <v>3.4722222222222224E-4</v>
      </c>
      <c r="I394" s="118">
        <v>1.3541666666666667E-3</v>
      </c>
      <c r="J394" s="118">
        <v>5.8912037037037032E-3</v>
      </c>
      <c r="K394" s="118">
        <v>5.8912037037037032E-3</v>
      </c>
    </row>
    <row r="395" spans="1:11" x14ac:dyDescent="0.25">
      <c r="A395">
        <v>6</v>
      </c>
      <c r="B395">
        <v>3</v>
      </c>
      <c r="C395"/>
      <c r="D395" t="s">
        <v>31</v>
      </c>
      <c r="E395" t="s">
        <v>35</v>
      </c>
      <c r="F395" t="s">
        <v>51</v>
      </c>
      <c r="G395" s="118">
        <v>0.29476851851851854</v>
      </c>
      <c r="H395" s="118">
        <v>9.1435185185185185E-4</v>
      </c>
      <c r="I395" s="118">
        <v>3.4722222222222224E-4</v>
      </c>
      <c r="J395"/>
      <c r="K395"/>
    </row>
    <row r="396" spans="1:11" x14ac:dyDescent="0.25">
      <c r="A396">
        <v>2</v>
      </c>
      <c r="B396">
        <v>3</v>
      </c>
      <c r="C396"/>
      <c r="D396" t="s">
        <v>31</v>
      </c>
      <c r="E396" t="s">
        <v>35</v>
      </c>
      <c r="F396" t="s">
        <v>53</v>
      </c>
      <c r="G396" s="118">
        <v>0.29484953703703703</v>
      </c>
      <c r="H396" s="118">
        <v>8.7962962962962962E-4</v>
      </c>
      <c r="I396" s="118">
        <v>3.4722222222222224E-4</v>
      </c>
      <c r="J396"/>
      <c r="K396"/>
    </row>
    <row r="397" spans="1:11" x14ac:dyDescent="0.25">
      <c r="A397">
        <v>4</v>
      </c>
      <c r="B397">
        <v>2</v>
      </c>
      <c r="C397"/>
      <c r="D397" t="s">
        <v>31</v>
      </c>
      <c r="E397" t="s">
        <v>32</v>
      </c>
      <c r="F397" t="s">
        <v>50</v>
      </c>
      <c r="G397" s="118">
        <v>0.29499999999999998</v>
      </c>
      <c r="H397" s="118">
        <v>3.4722222222222224E-4</v>
      </c>
      <c r="I397" s="118">
        <v>1.261574074074074E-3</v>
      </c>
      <c r="J397" s="118">
        <v>5.8912037037037032E-3</v>
      </c>
      <c r="K397" s="118">
        <v>5.8912037037037032E-3</v>
      </c>
    </row>
    <row r="398" spans="1:11" x14ac:dyDescent="0.25">
      <c r="A398">
        <v>6</v>
      </c>
      <c r="B398">
        <v>3</v>
      </c>
      <c r="C398"/>
      <c r="D398" t="s">
        <v>31</v>
      </c>
      <c r="E398" t="s">
        <v>32</v>
      </c>
      <c r="F398" t="s">
        <v>51</v>
      </c>
      <c r="G398" s="118">
        <v>0.29511574074074071</v>
      </c>
      <c r="H398" s="118">
        <v>3.4722222222222224E-4</v>
      </c>
      <c r="I398" s="118">
        <v>1.0069444444444444E-3</v>
      </c>
      <c r="J398" s="118">
        <v>5.8912037037037032E-3</v>
      </c>
      <c r="K398" s="118">
        <v>5.8912037037037032E-3</v>
      </c>
    </row>
    <row r="399" spans="1:11" x14ac:dyDescent="0.25">
      <c r="A399">
        <v>2</v>
      </c>
      <c r="B399">
        <v>3</v>
      </c>
      <c r="C399"/>
      <c r="D399" t="s">
        <v>31</v>
      </c>
      <c r="E399" t="s">
        <v>32</v>
      </c>
      <c r="F399" t="s">
        <v>53</v>
      </c>
      <c r="G399" s="118">
        <v>0.29519675925925926</v>
      </c>
      <c r="H399" s="118">
        <v>3.4722222222222224E-4</v>
      </c>
      <c r="I399" s="118">
        <v>8.449074074074075E-4</v>
      </c>
      <c r="J399" s="118">
        <v>5.8912037037037032E-3</v>
      </c>
      <c r="K399" s="118">
        <v>5.8912037037037032E-3</v>
      </c>
    </row>
    <row r="400" spans="1:11" x14ac:dyDescent="0.25">
      <c r="A400">
        <v>3</v>
      </c>
      <c r="B400">
        <v>2</v>
      </c>
      <c r="C400"/>
      <c r="D400" t="s">
        <v>31</v>
      </c>
      <c r="E400" t="s">
        <v>35</v>
      </c>
      <c r="F400" t="s">
        <v>54</v>
      </c>
      <c r="G400" s="118">
        <v>0.2955787037037037</v>
      </c>
      <c r="H400" s="118">
        <v>8.6805555555555551E-4</v>
      </c>
      <c r="I400" s="118">
        <v>3.4722222222222224E-4</v>
      </c>
      <c r="J400"/>
      <c r="K400"/>
    </row>
    <row r="401" spans="1:11" x14ac:dyDescent="0.25">
      <c r="A401">
        <v>1</v>
      </c>
      <c r="B401">
        <v>2</v>
      </c>
      <c r="C401"/>
      <c r="D401" t="s">
        <v>31</v>
      </c>
      <c r="E401" t="s">
        <v>35</v>
      </c>
      <c r="F401" t="s">
        <v>57</v>
      </c>
      <c r="G401" s="118">
        <v>0.29578703703703707</v>
      </c>
      <c r="H401" s="118">
        <v>1.0532407407407407E-3</v>
      </c>
      <c r="I401" s="118">
        <v>3.4722222222222224E-4</v>
      </c>
      <c r="J401"/>
      <c r="K401"/>
    </row>
    <row r="402" spans="1:11" x14ac:dyDescent="0.25">
      <c r="A402">
        <v>3</v>
      </c>
      <c r="B402">
        <v>2</v>
      </c>
      <c r="C402"/>
      <c r="D402" t="s">
        <v>31</v>
      </c>
      <c r="E402" t="s">
        <v>32</v>
      </c>
      <c r="F402" t="s">
        <v>54</v>
      </c>
      <c r="G402" s="118">
        <v>0.29592592592592593</v>
      </c>
      <c r="H402" s="118">
        <v>3.4722222222222224E-4</v>
      </c>
      <c r="I402" s="118">
        <v>6.8287037037037025E-4</v>
      </c>
      <c r="J402" s="118">
        <v>5.8912037037037032E-3</v>
      </c>
      <c r="K402" s="118">
        <v>5.8912037037037032E-3</v>
      </c>
    </row>
    <row r="403" spans="1:11" x14ac:dyDescent="0.25">
      <c r="A403">
        <v>2</v>
      </c>
      <c r="B403">
        <v>3</v>
      </c>
      <c r="C403"/>
      <c r="D403" t="s">
        <v>31</v>
      </c>
      <c r="E403" t="s">
        <v>35</v>
      </c>
      <c r="F403" t="s">
        <v>34</v>
      </c>
      <c r="G403" s="118">
        <v>0.2960416666666667</v>
      </c>
      <c r="H403" s="118">
        <v>8.449074074074075E-4</v>
      </c>
      <c r="I403" s="118">
        <v>3.4722222222222224E-4</v>
      </c>
      <c r="J403"/>
      <c r="K403"/>
    </row>
    <row r="404" spans="1:11" x14ac:dyDescent="0.25">
      <c r="A404">
        <v>5</v>
      </c>
      <c r="B404">
        <v>3</v>
      </c>
      <c r="C404"/>
      <c r="D404" t="s">
        <v>31</v>
      </c>
      <c r="E404" t="s">
        <v>35</v>
      </c>
      <c r="F404" t="s">
        <v>33</v>
      </c>
      <c r="G404" s="118">
        <v>0.2961226851851852</v>
      </c>
      <c r="H404" s="118">
        <v>1.3541666666666667E-3</v>
      </c>
      <c r="I404" s="118">
        <v>5.2083333333333333E-4</v>
      </c>
      <c r="J404"/>
      <c r="K404"/>
    </row>
    <row r="405" spans="1:11" x14ac:dyDescent="0.25">
      <c r="A405">
        <v>6</v>
      </c>
      <c r="B405">
        <v>3</v>
      </c>
      <c r="C405"/>
      <c r="D405" t="s">
        <v>31</v>
      </c>
      <c r="E405" t="s">
        <v>35</v>
      </c>
      <c r="F405" t="s">
        <v>55</v>
      </c>
      <c r="G405" s="118">
        <v>0.2961226851851852</v>
      </c>
      <c r="H405" s="118">
        <v>1.0069444444444444E-3</v>
      </c>
      <c r="I405" s="118">
        <v>4.6296296296296293E-4</v>
      </c>
      <c r="J405"/>
      <c r="K405"/>
    </row>
    <row r="406" spans="1:11" x14ac:dyDescent="0.25">
      <c r="A406">
        <v>1</v>
      </c>
      <c r="B406">
        <v>2</v>
      </c>
      <c r="C406"/>
      <c r="D406" t="s">
        <v>31</v>
      </c>
      <c r="E406" t="s">
        <v>32</v>
      </c>
      <c r="F406" t="s">
        <v>57</v>
      </c>
      <c r="G406" s="118">
        <v>0.29613425925925924</v>
      </c>
      <c r="H406" s="118">
        <v>3.4722222222222224E-4</v>
      </c>
      <c r="I406" s="118">
        <v>9.3750000000000007E-4</v>
      </c>
      <c r="J406" s="118">
        <v>5.8912037037037032E-3</v>
      </c>
      <c r="K406" s="118">
        <v>5.8912037037037032E-3</v>
      </c>
    </row>
    <row r="407" spans="1:11" x14ac:dyDescent="0.25">
      <c r="A407">
        <v>4</v>
      </c>
      <c r="B407">
        <v>2</v>
      </c>
      <c r="C407"/>
      <c r="D407" t="s">
        <v>31</v>
      </c>
      <c r="E407" t="s">
        <v>35</v>
      </c>
      <c r="F407" t="s">
        <v>56</v>
      </c>
      <c r="G407" s="118">
        <v>0.29626157407407411</v>
      </c>
      <c r="H407" s="118">
        <v>1.261574074074074E-3</v>
      </c>
      <c r="I407" s="118">
        <v>3.4722222222222224E-4</v>
      </c>
      <c r="J407"/>
      <c r="K407"/>
    </row>
    <row r="408" spans="1:11" x14ac:dyDescent="0.25">
      <c r="A408">
        <v>2</v>
      </c>
      <c r="B408">
        <v>3</v>
      </c>
      <c r="C408"/>
      <c r="D408" t="s">
        <v>31</v>
      </c>
      <c r="E408" t="s">
        <v>32</v>
      </c>
      <c r="F408" t="s">
        <v>34</v>
      </c>
      <c r="G408" s="118">
        <v>0.29638888888888887</v>
      </c>
      <c r="H408" s="118">
        <v>3.4722222222222224E-4</v>
      </c>
      <c r="I408" s="118">
        <v>9.1435185185185185E-4</v>
      </c>
      <c r="J408" s="118">
        <v>5.8912037037037032E-3</v>
      </c>
      <c r="K408" s="118">
        <v>5.8912037037037032E-3</v>
      </c>
    </row>
    <row r="409" spans="1:11" x14ac:dyDescent="0.25">
      <c r="A409">
        <v>6</v>
      </c>
      <c r="B409">
        <v>3</v>
      </c>
      <c r="C409"/>
      <c r="D409" t="s">
        <v>31</v>
      </c>
      <c r="E409" t="s">
        <v>32</v>
      </c>
      <c r="F409" t="s">
        <v>55</v>
      </c>
      <c r="G409" s="118">
        <v>0.29658564814814814</v>
      </c>
      <c r="H409" s="118">
        <v>4.6296296296296293E-4</v>
      </c>
      <c r="I409" s="118">
        <v>4.3981481481481481E-4</v>
      </c>
      <c r="J409" s="118">
        <v>5.8912037037037032E-3</v>
      </c>
      <c r="K409" s="118">
        <v>5.8912037037037032E-3</v>
      </c>
    </row>
    <row r="410" spans="1:11" x14ac:dyDescent="0.25">
      <c r="A410">
        <v>3</v>
      </c>
      <c r="B410">
        <v>2</v>
      </c>
      <c r="C410"/>
      <c r="D410" t="s">
        <v>31</v>
      </c>
      <c r="E410" t="s">
        <v>35</v>
      </c>
      <c r="F410" t="s">
        <v>92</v>
      </c>
      <c r="G410" s="118">
        <v>0.29660879629629627</v>
      </c>
      <c r="H410" s="118">
        <v>6.8287037037037025E-4</v>
      </c>
      <c r="I410" s="118">
        <v>5.2083333333333333E-4</v>
      </c>
      <c r="J410"/>
      <c r="K410"/>
    </row>
    <row r="411" spans="1:11" x14ac:dyDescent="0.25">
      <c r="A411">
        <v>4</v>
      </c>
      <c r="B411">
        <v>2</v>
      </c>
      <c r="C411"/>
      <c r="D411" t="s">
        <v>31</v>
      </c>
      <c r="E411" t="s">
        <v>32</v>
      </c>
      <c r="F411" t="s">
        <v>56</v>
      </c>
      <c r="G411" s="118">
        <v>0.29660879629629627</v>
      </c>
      <c r="H411" s="118">
        <v>3.4722222222222224E-4</v>
      </c>
      <c r="I411" s="118">
        <v>9.6064814814814808E-4</v>
      </c>
      <c r="J411" s="118">
        <v>5.8912037037037032E-3</v>
      </c>
      <c r="K411" s="118">
        <v>5.8912037037037032E-3</v>
      </c>
    </row>
    <row r="412" spans="1:11" x14ac:dyDescent="0.25">
      <c r="A412">
        <v>5</v>
      </c>
      <c r="B412">
        <v>3</v>
      </c>
      <c r="C412"/>
      <c r="D412" t="s">
        <v>31</v>
      </c>
      <c r="E412" t="s">
        <v>32</v>
      </c>
      <c r="F412" t="s">
        <v>33</v>
      </c>
      <c r="G412" s="118">
        <v>0.2966435185185185</v>
      </c>
      <c r="H412" s="118">
        <v>5.2083333333333333E-4</v>
      </c>
      <c r="I412" s="118">
        <v>9.6064814814814808E-4</v>
      </c>
      <c r="J412" s="118">
        <v>5.8912037037037032E-3</v>
      </c>
      <c r="K412" s="118">
        <v>5.8912037037037032E-3</v>
      </c>
    </row>
    <row r="413" spans="1:11" x14ac:dyDescent="0.25">
      <c r="A413">
        <v>6</v>
      </c>
      <c r="B413">
        <v>3</v>
      </c>
      <c r="C413"/>
      <c r="D413" t="s">
        <v>31</v>
      </c>
      <c r="E413" t="s">
        <v>35</v>
      </c>
      <c r="F413" t="s">
        <v>58</v>
      </c>
      <c r="G413" s="118">
        <v>0.29702546296296295</v>
      </c>
      <c r="H413" s="118">
        <v>4.3981481481481481E-4</v>
      </c>
      <c r="I413" s="118">
        <v>5.7870370370370366E-5</v>
      </c>
      <c r="J413"/>
      <c r="K413"/>
    </row>
    <row r="414" spans="1:11" x14ac:dyDescent="0.25">
      <c r="A414">
        <v>1</v>
      </c>
      <c r="B414">
        <v>2</v>
      </c>
      <c r="C414"/>
      <c r="D414" t="s">
        <v>31</v>
      </c>
      <c r="E414" t="s">
        <v>35</v>
      </c>
      <c r="F414" t="s">
        <v>39</v>
      </c>
      <c r="G414" s="118">
        <v>0.29707175925925927</v>
      </c>
      <c r="H414" s="118">
        <v>9.3750000000000007E-4</v>
      </c>
      <c r="I414" s="118">
        <v>5.2083333333333333E-4</v>
      </c>
      <c r="J414"/>
      <c r="K414"/>
    </row>
    <row r="415" spans="1:11" x14ac:dyDescent="0.25">
      <c r="A415">
        <v>6</v>
      </c>
      <c r="B415">
        <v>3</v>
      </c>
      <c r="C415"/>
      <c r="D415" t="s">
        <v>31</v>
      </c>
      <c r="E415" t="s">
        <v>32</v>
      </c>
      <c r="F415" t="s">
        <v>58</v>
      </c>
      <c r="G415" s="118">
        <v>0.29708333333333331</v>
      </c>
      <c r="H415" s="118">
        <v>5.7870370370370366E-5</v>
      </c>
      <c r="I415" s="118">
        <v>4.8611111111111104E-4</v>
      </c>
      <c r="J415" s="118">
        <v>5.8912037037037032E-3</v>
      </c>
      <c r="K415" s="118">
        <v>5.8912037037037032E-3</v>
      </c>
    </row>
    <row r="416" spans="1:11" x14ac:dyDescent="0.25">
      <c r="A416">
        <v>3</v>
      </c>
      <c r="B416">
        <v>3</v>
      </c>
      <c r="C416"/>
      <c r="D416" t="s">
        <v>31</v>
      </c>
      <c r="E416" t="s">
        <v>32</v>
      </c>
      <c r="F416" t="s">
        <v>92</v>
      </c>
      <c r="G416" s="118">
        <v>0.29712962962962963</v>
      </c>
      <c r="H416" s="118">
        <v>5.2083333333333333E-4</v>
      </c>
      <c r="I416" s="118">
        <v>1.0069444444444444E-3</v>
      </c>
      <c r="J416" s="118">
        <v>5.8912037037037032E-3</v>
      </c>
      <c r="K416" s="118">
        <v>5.0462962962962961E-3</v>
      </c>
    </row>
    <row r="417" spans="1:11" x14ac:dyDescent="0.25">
      <c r="A417">
        <v>2</v>
      </c>
      <c r="B417">
        <v>3</v>
      </c>
      <c r="C417"/>
      <c r="D417" t="s">
        <v>31</v>
      </c>
      <c r="E417" t="s">
        <v>35</v>
      </c>
      <c r="F417" t="s">
        <v>38</v>
      </c>
      <c r="G417" s="118">
        <v>0.29730324074074072</v>
      </c>
      <c r="H417" s="118">
        <v>9.1435185185185185E-4</v>
      </c>
      <c r="I417" s="118">
        <v>3.4722222222222224E-4</v>
      </c>
      <c r="J417"/>
      <c r="K417"/>
    </row>
    <row r="418" spans="1:11" x14ac:dyDescent="0.25">
      <c r="A418">
        <v>4</v>
      </c>
      <c r="B418">
        <v>2</v>
      </c>
      <c r="C418"/>
      <c r="D418" t="s">
        <v>31</v>
      </c>
      <c r="E418" t="s">
        <v>35</v>
      </c>
      <c r="F418" t="s">
        <v>37</v>
      </c>
      <c r="G418" s="118">
        <v>0.29756944444444444</v>
      </c>
      <c r="H418" s="118">
        <v>9.6064814814814808E-4</v>
      </c>
      <c r="I418" s="118">
        <v>3.4722222222222224E-4</v>
      </c>
      <c r="J418"/>
      <c r="K418"/>
    </row>
    <row r="419" spans="1:11" x14ac:dyDescent="0.25">
      <c r="A419">
        <v>6</v>
      </c>
      <c r="B419">
        <v>3</v>
      </c>
      <c r="C419"/>
      <c r="D419" t="s">
        <v>31</v>
      </c>
      <c r="E419" t="s">
        <v>35</v>
      </c>
      <c r="F419" t="s">
        <v>40</v>
      </c>
      <c r="G419" s="118">
        <v>0.29756944444444444</v>
      </c>
      <c r="H419" s="118">
        <v>4.8611111111111104E-4</v>
      </c>
      <c r="I419" s="118">
        <v>4.6296296296296293E-4</v>
      </c>
      <c r="J419"/>
      <c r="K419"/>
    </row>
    <row r="420" spans="1:11" x14ac:dyDescent="0.25">
      <c r="A420">
        <v>1</v>
      </c>
      <c r="B420">
        <v>2</v>
      </c>
      <c r="C420"/>
      <c r="D420" t="s">
        <v>31</v>
      </c>
      <c r="E420" t="s">
        <v>32</v>
      </c>
      <c r="F420" t="s">
        <v>39</v>
      </c>
      <c r="G420" s="118">
        <v>0.29759259259259258</v>
      </c>
      <c r="H420" s="118">
        <v>5.2083333333333333E-4</v>
      </c>
      <c r="I420" s="118">
        <v>1.8055555555555557E-3</v>
      </c>
      <c r="J420" s="118">
        <v>5.8912037037037032E-3</v>
      </c>
      <c r="K420" s="118">
        <v>5.8912037037037032E-3</v>
      </c>
    </row>
    <row r="421" spans="1:11" x14ac:dyDescent="0.25">
      <c r="A421">
        <v>5</v>
      </c>
      <c r="B421">
        <v>3</v>
      </c>
      <c r="C421"/>
      <c r="D421" t="s">
        <v>31</v>
      </c>
      <c r="E421" t="s">
        <v>35</v>
      </c>
      <c r="F421" t="s">
        <v>36</v>
      </c>
      <c r="G421" s="118">
        <v>0.29760416666666667</v>
      </c>
      <c r="H421" s="118">
        <v>9.6064814814814808E-4</v>
      </c>
      <c r="I421" s="118">
        <v>3.4722222222222224E-4</v>
      </c>
      <c r="J421"/>
      <c r="K421"/>
    </row>
    <row r="422" spans="1:11" x14ac:dyDescent="0.25">
      <c r="A422">
        <v>2</v>
      </c>
      <c r="B422">
        <v>3</v>
      </c>
      <c r="C422"/>
      <c r="D422" t="s">
        <v>31</v>
      </c>
      <c r="E422" t="s">
        <v>32</v>
      </c>
      <c r="F422" t="s">
        <v>38</v>
      </c>
      <c r="G422" s="118">
        <v>0.29765046296296299</v>
      </c>
      <c r="H422" s="118">
        <v>3.4722222222222224E-4</v>
      </c>
      <c r="I422" s="118">
        <v>1.2384259259259258E-3</v>
      </c>
      <c r="J422" s="118">
        <v>5.8912037037037032E-3</v>
      </c>
      <c r="K422" s="118">
        <v>5.8912037037037032E-3</v>
      </c>
    </row>
    <row r="423" spans="1:11" x14ac:dyDescent="0.25">
      <c r="A423">
        <v>4</v>
      </c>
      <c r="B423">
        <v>2</v>
      </c>
      <c r="C423"/>
      <c r="D423" t="s">
        <v>31</v>
      </c>
      <c r="E423" t="s">
        <v>32</v>
      </c>
      <c r="F423" t="s">
        <v>37</v>
      </c>
      <c r="G423" s="118">
        <v>0.29791666666666666</v>
      </c>
      <c r="H423" s="118">
        <v>3.4722222222222224E-4</v>
      </c>
      <c r="I423" s="118">
        <v>9.0277777777777784E-4</v>
      </c>
      <c r="J423" s="118">
        <v>5.8912037037037032E-3</v>
      </c>
      <c r="K423" s="118">
        <v>5.8912037037037032E-3</v>
      </c>
    </row>
    <row r="424" spans="1:11" x14ac:dyDescent="0.25">
      <c r="A424">
        <v>5</v>
      </c>
      <c r="B424">
        <v>3</v>
      </c>
      <c r="C424"/>
      <c r="D424" t="s">
        <v>31</v>
      </c>
      <c r="E424" t="s">
        <v>32</v>
      </c>
      <c r="F424" t="s">
        <v>36</v>
      </c>
      <c r="G424" s="118">
        <v>0.29795138888888889</v>
      </c>
      <c r="H424" s="118">
        <v>3.4722222222222224E-4</v>
      </c>
      <c r="I424" s="118">
        <v>1.0995370370370371E-3</v>
      </c>
      <c r="J424" s="118">
        <v>5.8912037037037032E-3</v>
      </c>
      <c r="K424" s="118">
        <v>5.8912037037037032E-3</v>
      </c>
    </row>
    <row r="425" spans="1:11" x14ac:dyDescent="0.25">
      <c r="A425">
        <v>6</v>
      </c>
      <c r="B425">
        <v>3</v>
      </c>
      <c r="C425"/>
      <c r="D425" t="s">
        <v>31</v>
      </c>
      <c r="E425" t="s">
        <v>32</v>
      </c>
      <c r="F425" t="s">
        <v>40</v>
      </c>
      <c r="G425" s="118">
        <v>0.29803240740740738</v>
      </c>
      <c r="H425" s="118">
        <v>4.6296296296296293E-4</v>
      </c>
      <c r="I425" s="118">
        <v>1.0069444444444444E-3</v>
      </c>
      <c r="J425" s="118">
        <v>5.8912037037037032E-3</v>
      </c>
      <c r="K425" s="118">
        <v>5.8912037037037032E-3</v>
      </c>
    </row>
    <row r="426" spans="1:11" x14ac:dyDescent="0.25">
      <c r="A426">
        <v>3</v>
      </c>
      <c r="B426">
        <v>3</v>
      </c>
      <c r="C426"/>
      <c r="D426" t="s">
        <v>31</v>
      </c>
      <c r="E426" t="s">
        <v>35</v>
      </c>
      <c r="F426" t="s">
        <v>41</v>
      </c>
      <c r="G426" s="118">
        <v>0.29813657407407407</v>
      </c>
      <c r="H426" s="118">
        <v>1.0069444444444444E-3</v>
      </c>
      <c r="I426" s="118">
        <v>3.4722222222222224E-4</v>
      </c>
      <c r="J426"/>
      <c r="K426"/>
    </row>
    <row r="427" spans="1:11" x14ac:dyDescent="0.25">
      <c r="A427">
        <v>3</v>
      </c>
      <c r="B427">
        <v>3</v>
      </c>
      <c r="C427"/>
      <c r="D427" t="s">
        <v>31</v>
      </c>
      <c r="E427" t="s">
        <v>32</v>
      </c>
      <c r="F427" t="s">
        <v>41</v>
      </c>
      <c r="G427" s="118">
        <v>0.29848379629629629</v>
      </c>
      <c r="H427" s="118">
        <v>3.4722222222222224E-4</v>
      </c>
      <c r="I427" s="118">
        <v>8.564814814814815E-4</v>
      </c>
      <c r="J427" s="118">
        <v>5.8912037037037032E-3</v>
      </c>
      <c r="K427" s="118">
        <v>5.0462962962962961E-3</v>
      </c>
    </row>
    <row r="428" spans="1:11" x14ac:dyDescent="0.25">
      <c r="A428">
        <v>4</v>
      </c>
      <c r="B428">
        <v>2</v>
      </c>
      <c r="C428"/>
      <c r="D428" t="s">
        <v>31</v>
      </c>
      <c r="E428" t="s">
        <v>35</v>
      </c>
      <c r="F428" t="s">
        <v>42</v>
      </c>
      <c r="G428" s="118">
        <v>0.29881944444444447</v>
      </c>
      <c r="H428" s="118">
        <v>9.0277777777777784E-4</v>
      </c>
      <c r="I428" s="118">
        <v>3.4722222222222224E-4</v>
      </c>
      <c r="J428"/>
      <c r="K428"/>
    </row>
    <row r="429" spans="1:11" x14ac:dyDescent="0.25">
      <c r="A429">
        <v>2</v>
      </c>
      <c r="B429">
        <v>3</v>
      </c>
      <c r="C429"/>
      <c r="D429" t="s">
        <v>31</v>
      </c>
      <c r="E429" t="s">
        <v>35</v>
      </c>
      <c r="F429" t="s">
        <v>45</v>
      </c>
      <c r="G429" s="118">
        <v>0.29888888888888893</v>
      </c>
      <c r="H429" s="118">
        <v>1.2384259259259258E-3</v>
      </c>
      <c r="I429" s="118">
        <v>3.4722222222222224E-4</v>
      </c>
      <c r="J429"/>
      <c r="K429"/>
    </row>
    <row r="430" spans="1:11" x14ac:dyDescent="0.25">
      <c r="A430">
        <v>6</v>
      </c>
      <c r="B430">
        <v>3</v>
      </c>
      <c r="C430"/>
      <c r="D430" t="s">
        <v>31</v>
      </c>
      <c r="E430" t="s">
        <v>35</v>
      </c>
      <c r="F430" t="s">
        <v>44</v>
      </c>
      <c r="G430" s="118">
        <v>0.29903935185185188</v>
      </c>
      <c r="H430" s="118">
        <v>1.0069444444444444E-3</v>
      </c>
      <c r="I430" s="118">
        <v>3.4722222222222224E-4</v>
      </c>
      <c r="J430"/>
      <c r="K430"/>
    </row>
    <row r="431" spans="1:11" x14ac:dyDescent="0.25">
      <c r="A431">
        <v>5</v>
      </c>
      <c r="B431">
        <v>3</v>
      </c>
      <c r="C431"/>
      <c r="D431" t="s">
        <v>31</v>
      </c>
      <c r="E431" t="s">
        <v>35</v>
      </c>
      <c r="F431" t="s">
        <v>43</v>
      </c>
      <c r="G431" s="118">
        <v>0.29905092592592591</v>
      </c>
      <c r="H431" s="118">
        <v>1.0995370370370371E-3</v>
      </c>
      <c r="I431" s="118">
        <v>3.4722222222222224E-4</v>
      </c>
      <c r="J431"/>
      <c r="K431"/>
    </row>
    <row r="432" spans="1:11" x14ac:dyDescent="0.25">
      <c r="A432">
        <v>4</v>
      </c>
      <c r="B432">
        <v>2</v>
      </c>
      <c r="C432"/>
      <c r="D432" t="s">
        <v>31</v>
      </c>
      <c r="E432" t="s">
        <v>32</v>
      </c>
      <c r="F432" t="s">
        <v>42</v>
      </c>
      <c r="G432" s="118">
        <v>0.29916666666666664</v>
      </c>
      <c r="H432" s="118">
        <v>3.4722222222222224E-4</v>
      </c>
      <c r="I432" s="118">
        <v>9.1435185185185185E-4</v>
      </c>
      <c r="J432" s="118">
        <v>5.8912037037037032E-3</v>
      </c>
      <c r="K432" s="118">
        <v>5.8912037037037032E-3</v>
      </c>
    </row>
    <row r="433" spans="1:11" x14ac:dyDescent="0.25">
      <c r="A433">
        <v>2</v>
      </c>
      <c r="B433">
        <v>3</v>
      </c>
      <c r="C433"/>
      <c r="D433" t="s">
        <v>31</v>
      </c>
      <c r="E433" t="s">
        <v>32</v>
      </c>
      <c r="F433" t="s">
        <v>45</v>
      </c>
      <c r="G433" s="118">
        <v>0.29923611111111109</v>
      </c>
      <c r="H433" s="118">
        <v>3.4722222222222224E-4</v>
      </c>
      <c r="I433" s="118">
        <v>1.0416666666666667E-3</v>
      </c>
      <c r="J433" s="118">
        <v>5.8912037037037032E-3</v>
      </c>
      <c r="K433" s="118">
        <v>5.8912037037037032E-3</v>
      </c>
    </row>
    <row r="434" spans="1:11" x14ac:dyDescent="0.25">
      <c r="A434">
        <v>3</v>
      </c>
      <c r="B434">
        <v>3</v>
      </c>
      <c r="C434"/>
      <c r="D434" t="s">
        <v>31</v>
      </c>
      <c r="E434" t="s">
        <v>35</v>
      </c>
      <c r="F434" t="s">
        <v>47</v>
      </c>
      <c r="G434" s="118">
        <v>0.29934027777777777</v>
      </c>
      <c r="H434" s="118">
        <v>8.564814814814815E-4</v>
      </c>
      <c r="I434" s="118">
        <v>5.2083333333333333E-4</v>
      </c>
      <c r="J434"/>
      <c r="K434"/>
    </row>
    <row r="435" spans="1:11" x14ac:dyDescent="0.25">
      <c r="A435">
        <v>6</v>
      </c>
      <c r="B435">
        <v>3</v>
      </c>
      <c r="C435"/>
      <c r="D435" t="s">
        <v>31</v>
      </c>
      <c r="E435" t="s">
        <v>32</v>
      </c>
      <c r="F435" t="s">
        <v>44</v>
      </c>
      <c r="G435" s="118">
        <v>0.29938657407407404</v>
      </c>
      <c r="H435" s="118">
        <v>3.4722222222222224E-4</v>
      </c>
      <c r="I435" s="118">
        <v>9.2592592592592585E-4</v>
      </c>
      <c r="J435" s="118">
        <v>5.8912037037037032E-3</v>
      </c>
      <c r="K435" s="118">
        <v>5.8912037037037032E-3</v>
      </c>
    </row>
    <row r="436" spans="1:11" x14ac:dyDescent="0.25">
      <c r="A436">
        <v>1</v>
      </c>
      <c r="B436">
        <v>2</v>
      </c>
      <c r="C436"/>
      <c r="D436" t="s">
        <v>31</v>
      </c>
      <c r="E436" t="s">
        <v>35</v>
      </c>
      <c r="F436" t="s">
        <v>46</v>
      </c>
      <c r="G436" s="118">
        <v>0.29939814814814814</v>
      </c>
      <c r="H436" s="118">
        <v>1.8055555555555557E-3</v>
      </c>
      <c r="I436" s="118">
        <v>3.4722222222222224E-4</v>
      </c>
      <c r="J436"/>
      <c r="K436"/>
    </row>
    <row r="437" spans="1:11" x14ac:dyDescent="0.25">
      <c r="A437">
        <v>5</v>
      </c>
      <c r="B437">
        <v>3</v>
      </c>
      <c r="C437"/>
      <c r="D437" t="s">
        <v>31</v>
      </c>
      <c r="E437" t="s">
        <v>32</v>
      </c>
      <c r="F437" t="s">
        <v>43</v>
      </c>
      <c r="G437" s="118">
        <v>0.29939814814814814</v>
      </c>
      <c r="H437" s="118">
        <v>3.4722222222222224E-4</v>
      </c>
      <c r="I437" s="118">
        <v>1.1458333333333333E-3</v>
      </c>
      <c r="J437" s="118">
        <v>5.8912037037037032E-3</v>
      </c>
      <c r="K437" s="118">
        <v>5.8912037037037032E-3</v>
      </c>
    </row>
    <row r="438" spans="1:11" x14ac:dyDescent="0.25">
      <c r="A438">
        <v>1</v>
      </c>
      <c r="B438">
        <v>2</v>
      </c>
      <c r="C438"/>
      <c r="D438" t="s">
        <v>31</v>
      </c>
      <c r="E438" t="s">
        <v>32</v>
      </c>
      <c r="F438" t="s">
        <v>46</v>
      </c>
      <c r="G438" s="118">
        <v>0.29974537037037036</v>
      </c>
      <c r="H438" s="118">
        <v>3.4722222222222224E-4</v>
      </c>
      <c r="I438" s="118">
        <v>9.1435185185185185E-4</v>
      </c>
      <c r="J438" s="118">
        <v>5.8912037037037032E-3</v>
      </c>
      <c r="K438" s="118">
        <v>5.8912037037037032E-3</v>
      </c>
    </row>
    <row r="439" spans="1:11" x14ac:dyDescent="0.25">
      <c r="A439">
        <v>3</v>
      </c>
      <c r="B439">
        <v>3</v>
      </c>
      <c r="C439"/>
      <c r="D439" t="s">
        <v>31</v>
      </c>
      <c r="E439" t="s">
        <v>32</v>
      </c>
      <c r="F439" t="s">
        <v>47</v>
      </c>
      <c r="G439" s="118">
        <v>0.29986111111111108</v>
      </c>
      <c r="H439" s="118">
        <v>5.2083333333333333E-4</v>
      </c>
      <c r="I439" s="118">
        <v>8.7962962962962962E-4</v>
      </c>
      <c r="J439" s="118">
        <v>5.8912037037037032E-3</v>
      </c>
      <c r="K439" s="118">
        <v>5.0462962962962961E-3</v>
      </c>
    </row>
    <row r="440" spans="1:11" x14ac:dyDescent="0.25">
      <c r="A440">
        <v>4</v>
      </c>
      <c r="B440">
        <v>2</v>
      </c>
      <c r="C440"/>
      <c r="D440" t="s">
        <v>31</v>
      </c>
      <c r="E440" t="s">
        <v>35</v>
      </c>
      <c r="F440" t="s">
        <v>48</v>
      </c>
      <c r="G440" s="118">
        <v>0.30008101851851848</v>
      </c>
      <c r="H440" s="118">
        <v>9.1435185185185185E-4</v>
      </c>
      <c r="I440" s="118">
        <v>5.2083333333333333E-4</v>
      </c>
      <c r="J440"/>
      <c r="K440"/>
    </row>
    <row r="441" spans="1:11" x14ac:dyDescent="0.25">
      <c r="A441">
        <v>2</v>
      </c>
      <c r="B441">
        <v>3</v>
      </c>
      <c r="C441"/>
      <c r="D441" t="s">
        <v>31</v>
      </c>
      <c r="E441" t="s">
        <v>35</v>
      </c>
      <c r="F441" t="s">
        <v>52</v>
      </c>
      <c r="G441" s="118">
        <v>0.30027777777777781</v>
      </c>
      <c r="H441" s="118">
        <v>1.0416666666666667E-3</v>
      </c>
      <c r="I441" s="118">
        <v>3.4722222222222224E-4</v>
      </c>
      <c r="J441"/>
      <c r="K441"/>
    </row>
    <row r="442" spans="1:11" x14ac:dyDescent="0.25">
      <c r="A442">
        <v>6</v>
      </c>
      <c r="B442">
        <v>3</v>
      </c>
      <c r="C442"/>
      <c r="D442" t="s">
        <v>31</v>
      </c>
      <c r="E442" t="s">
        <v>35</v>
      </c>
      <c r="F442" t="s">
        <v>49</v>
      </c>
      <c r="G442" s="118">
        <v>0.30031249999999998</v>
      </c>
      <c r="H442" s="118">
        <v>9.2592592592592585E-4</v>
      </c>
      <c r="I442" s="118">
        <v>3.4722222222222224E-4</v>
      </c>
      <c r="J442"/>
      <c r="K442"/>
    </row>
    <row r="443" spans="1:11" x14ac:dyDescent="0.25">
      <c r="A443">
        <v>5</v>
      </c>
      <c r="B443">
        <v>3</v>
      </c>
      <c r="C443"/>
      <c r="D443" t="s">
        <v>31</v>
      </c>
      <c r="E443" t="s">
        <v>35</v>
      </c>
      <c r="F443" t="s">
        <v>50</v>
      </c>
      <c r="G443" s="118">
        <v>0.30054398148148148</v>
      </c>
      <c r="H443" s="118">
        <v>1.1458333333333333E-3</v>
      </c>
      <c r="I443" s="118">
        <v>3.4722222222222224E-4</v>
      </c>
      <c r="J443"/>
      <c r="K443"/>
    </row>
    <row r="444" spans="1:11" x14ac:dyDescent="0.25">
      <c r="A444">
        <v>4</v>
      </c>
      <c r="B444">
        <v>2</v>
      </c>
      <c r="C444"/>
      <c r="D444" t="s">
        <v>31</v>
      </c>
      <c r="E444" t="s">
        <v>32</v>
      </c>
      <c r="F444" t="s">
        <v>48</v>
      </c>
      <c r="G444" s="118">
        <v>0.30060185185185184</v>
      </c>
      <c r="H444" s="118">
        <v>5.2083333333333333E-4</v>
      </c>
      <c r="I444" s="118">
        <v>8.6805555555555551E-4</v>
      </c>
      <c r="J444" s="118">
        <v>5.8912037037037032E-3</v>
      </c>
      <c r="K444" s="118">
        <v>5.8912037037037032E-3</v>
      </c>
    </row>
    <row r="445" spans="1:11" x14ac:dyDescent="0.25">
      <c r="A445">
        <v>2</v>
      </c>
      <c r="B445">
        <v>3</v>
      </c>
      <c r="C445"/>
      <c r="D445" t="s">
        <v>31</v>
      </c>
      <c r="E445" t="s">
        <v>32</v>
      </c>
      <c r="F445" t="s">
        <v>52</v>
      </c>
      <c r="G445" s="118">
        <v>0.30062499999999998</v>
      </c>
      <c r="H445" s="118">
        <v>3.4722222222222224E-4</v>
      </c>
      <c r="I445" s="118">
        <v>1.0532407407407407E-3</v>
      </c>
      <c r="J445" s="118">
        <v>5.8912037037037032E-3</v>
      </c>
      <c r="K445" s="118">
        <v>5.8912037037037032E-3</v>
      </c>
    </row>
    <row r="446" spans="1:11" x14ac:dyDescent="0.25">
      <c r="A446">
        <v>1</v>
      </c>
      <c r="B446">
        <v>2</v>
      </c>
      <c r="C446"/>
      <c r="D446" t="s">
        <v>31</v>
      </c>
      <c r="E446" t="s">
        <v>35</v>
      </c>
      <c r="F446" t="s">
        <v>51</v>
      </c>
      <c r="G446" s="118">
        <v>0.3006597222222222</v>
      </c>
      <c r="H446" s="118">
        <v>9.1435185185185185E-4</v>
      </c>
      <c r="I446" s="118">
        <v>3.4722222222222224E-4</v>
      </c>
      <c r="J446"/>
      <c r="K446"/>
    </row>
    <row r="447" spans="1:11" x14ac:dyDescent="0.25">
      <c r="A447">
        <v>6</v>
      </c>
      <c r="B447">
        <v>3</v>
      </c>
      <c r="C447"/>
      <c r="D447" t="s">
        <v>31</v>
      </c>
      <c r="E447" t="s">
        <v>32</v>
      </c>
      <c r="F447" t="s">
        <v>49</v>
      </c>
      <c r="G447" s="118">
        <v>0.3006597222222222</v>
      </c>
      <c r="H447" s="118">
        <v>3.4722222222222224E-4</v>
      </c>
      <c r="I447" s="118">
        <v>1.3541666666666667E-3</v>
      </c>
      <c r="J447" s="118">
        <v>5.8912037037037032E-3</v>
      </c>
      <c r="K447" s="118">
        <v>5.8912037037037032E-3</v>
      </c>
    </row>
    <row r="448" spans="1:11" x14ac:dyDescent="0.25">
      <c r="A448">
        <v>3</v>
      </c>
      <c r="B448">
        <v>3</v>
      </c>
      <c r="C448"/>
      <c r="D448" t="s">
        <v>31</v>
      </c>
      <c r="E448" t="s">
        <v>35</v>
      </c>
      <c r="F448" t="s">
        <v>53</v>
      </c>
      <c r="G448" s="118">
        <v>0.30074074074074075</v>
      </c>
      <c r="H448" s="118">
        <v>8.7962962962962962E-4</v>
      </c>
      <c r="I448" s="118">
        <v>3.4722222222222224E-4</v>
      </c>
      <c r="J448"/>
      <c r="K448"/>
    </row>
    <row r="449" spans="1:11" x14ac:dyDescent="0.25">
      <c r="A449">
        <v>5</v>
      </c>
      <c r="B449">
        <v>3</v>
      </c>
      <c r="C449"/>
      <c r="D449" t="s">
        <v>31</v>
      </c>
      <c r="E449" t="s">
        <v>32</v>
      </c>
      <c r="F449" t="s">
        <v>50</v>
      </c>
      <c r="G449" s="118">
        <v>0.3008912037037037</v>
      </c>
      <c r="H449" s="118">
        <v>3.4722222222222224E-4</v>
      </c>
      <c r="I449" s="118">
        <v>1.261574074074074E-3</v>
      </c>
      <c r="J449" s="118">
        <v>5.8912037037037032E-3</v>
      </c>
      <c r="K449" s="118">
        <v>5.8912037037037032E-3</v>
      </c>
    </row>
    <row r="450" spans="1:11" x14ac:dyDescent="0.25">
      <c r="A450">
        <v>1</v>
      </c>
      <c r="B450">
        <v>2</v>
      </c>
      <c r="C450"/>
      <c r="D450" t="s">
        <v>31</v>
      </c>
      <c r="E450" t="s">
        <v>32</v>
      </c>
      <c r="F450" t="s">
        <v>51</v>
      </c>
      <c r="G450" s="118">
        <v>0.30100694444444448</v>
      </c>
      <c r="H450" s="118">
        <v>3.4722222222222224E-4</v>
      </c>
      <c r="I450" s="118">
        <v>1.0069444444444444E-3</v>
      </c>
      <c r="J450" s="118">
        <v>5.8912037037037032E-3</v>
      </c>
      <c r="K450" s="118">
        <v>5.8912037037037032E-3</v>
      </c>
    </row>
    <row r="451" spans="1:11" x14ac:dyDescent="0.25">
      <c r="A451">
        <v>3</v>
      </c>
      <c r="B451">
        <v>3</v>
      </c>
      <c r="C451"/>
      <c r="D451" t="s">
        <v>31</v>
      </c>
      <c r="E451" t="s">
        <v>32</v>
      </c>
      <c r="F451" t="s">
        <v>53</v>
      </c>
      <c r="G451" s="118">
        <v>0.30108796296296297</v>
      </c>
      <c r="H451" s="118">
        <v>3.4722222222222224E-4</v>
      </c>
      <c r="I451" s="118">
        <v>8.449074074074075E-4</v>
      </c>
      <c r="J451" s="118">
        <v>5.8912037037037032E-3</v>
      </c>
      <c r="K451" s="118">
        <v>5.0462962962962961E-3</v>
      </c>
    </row>
    <row r="452" spans="1:11" x14ac:dyDescent="0.25">
      <c r="A452">
        <v>4</v>
      </c>
      <c r="B452">
        <v>2</v>
      </c>
      <c r="C452"/>
      <c r="D452" t="s">
        <v>31</v>
      </c>
      <c r="E452" t="s">
        <v>35</v>
      </c>
      <c r="F452" t="s">
        <v>54</v>
      </c>
      <c r="G452" s="118">
        <v>0.30146990740740742</v>
      </c>
      <c r="H452" s="118">
        <v>8.6805555555555551E-4</v>
      </c>
      <c r="I452" s="118">
        <v>3.4722222222222224E-4</v>
      </c>
      <c r="J452"/>
      <c r="K452"/>
    </row>
    <row r="453" spans="1:11" x14ac:dyDescent="0.25">
      <c r="A453">
        <v>2</v>
      </c>
      <c r="B453">
        <v>3</v>
      </c>
      <c r="C453"/>
      <c r="D453" t="s">
        <v>31</v>
      </c>
      <c r="E453" t="s">
        <v>35</v>
      </c>
      <c r="F453" t="s">
        <v>57</v>
      </c>
      <c r="G453" s="118">
        <v>0.30167824074074073</v>
      </c>
      <c r="H453" s="118">
        <v>1.0532407407407407E-3</v>
      </c>
      <c r="I453" s="118">
        <v>3.4722222222222224E-4</v>
      </c>
      <c r="J453"/>
      <c r="K453"/>
    </row>
    <row r="454" spans="1:11" x14ac:dyDescent="0.25">
      <c r="A454">
        <v>4</v>
      </c>
      <c r="B454">
        <v>2</v>
      </c>
      <c r="C454"/>
      <c r="D454" t="s">
        <v>31</v>
      </c>
      <c r="E454" t="s">
        <v>32</v>
      </c>
      <c r="F454" t="s">
        <v>54</v>
      </c>
      <c r="G454" s="118">
        <v>0.30181712962962964</v>
      </c>
      <c r="H454" s="118">
        <v>3.4722222222222224E-4</v>
      </c>
      <c r="I454" s="118">
        <v>1.9328703703703704E-3</v>
      </c>
      <c r="J454" s="118">
        <v>5.8912037037037032E-3</v>
      </c>
      <c r="K454" s="118">
        <v>5.8912037037037032E-3</v>
      </c>
    </row>
    <row r="455" spans="1:11" x14ac:dyDescent="0.25">
      <c r="A455">
        <v>3</v>
      </c>
      <c r="B455">
        <v>3</v>
      </c>
      <c r="C455"/>
      <c r="D455" t="s">
        <v>31</v>
      </c>
      <c r="E455" t="s">
        <v>35</v>
      </c>
      <c r="F455" t="s">
        <v>34</v>
      </c>
      <c r="G455" s="118">
        <v>0.30193287037037037</v>
      </c>
      <c r="H455" s="118">
        <v>8.449074074074075E-4</v>
      </c>
      <c r="I455" s="118">
        <v>3.4722222222222224E-4</v>
      </c>
      <c r="J455"/>
      <c r="K455"/>
    </row>
    <row r="456" spans="1:11" x14ac:dyDescent="0.25">
      <c r="A456">
        <v>1</v>
      </c>
      <c r="B456">
        <v>2</v>
      </c>
      <c r="C456"/>
      <c r="D456" t="s">
        <v>31</v>
      </c>
      <c r="E456" t="s">
        <v>35</v>
      </c>
      <c r="F456" t="s">
        <v>55</v>
      </c>
      <c r="G456" s="118">
        <v>0.30201388888888886</v>
      </c>
      <c r="H456" s="118">
        <v>1.0069444444444444E-3</v>
      </c>
      <c r="I456" s="118">
        <v>4.6296296296296293E-4</v>
      </c>
      <c r="J456"/>
      <c r="K456"/>
    </row>
    <row r="457" spans="1:11" x14ac:dyDescent="0.25">
      <c r="A457">
        <v>6</v>
      </c>
      <c r="B457">
        <v>3</v>
      </c>
      <c r="C457"/>
      <c r="D457" t="s">
        <v>31</v>
      </c>
      <c r="E457" t="s">
        <v>35</v>
      </c>
      <c r="F457" t="s">
        <v>33</v>
      </c>
      <c r="G457" s="118">
        <v>0.30201388888888886</v>
      </c>
      <c r="H457" s="118">
        <v>1.3541666666666667E-3</v>
      </c>
      <c r="I457" s="118">
        <v>5.2083333333333333E-4</v>
      </c>
      <c r="J457"/>
      <c r="K457"/>
    </row>
    <row r="458" spans="1:11" x14ac:dyDescent="0.25">
      <c r="A458">
        <v>2</v>
      </c>
      <c r="B458">
        <v>3</v>
      </c>
      <c r="C458"/>
      <c r="D458" t="s">
        <v>31</v>
      </c>
      <c r="E458" t="s">
        <v>32</v>
      </c>
      <c r="F458" t="s">
        <v>57</v>
      </c>
      <c r="G458" s="118">
        <v>0.30202546296296295</v>
      </c>
      <c r="H458" s="118">
        <v>3.4722222222222224E-4</v>
      </c>
      <c r="I458" s="118">
        <v>9.3750000000000007E-4</v>
      </c>
      <c r="J458" s="118">
        <v>5.8912037037037032E-3</v>
      </c>
      <c r="K458" s="118">
        <v>5.8912037037037032E-3</v>
      </c>
    </row>
    <row r="459" spans="1:11" x14ac:dyDescent="0.25">
      <c r="A459">
        <v>5</v>
      </c>
      <c r="B459">
        <v>3</v>
      </c>
      <c r="C459"/>
      <c r="D459" t="s">
        <v>31</v>
      </c>
      <c r="E459" t="s">
        <v>35</v>
      </c>
      <c r="F459" t="s">
        <v>56</v>
      </c>
      <c r="G459" s="118">
        <v>0.30215277777777777</v>
      </c>
      <c r="H459" s="118">
        <v>1.261574074074074E-3</v>
      </c>
      <c r="I459" s="118">
        <v>3.4722222222222224E-4</v>
      </c>
      <c r="J459"/>
      <c r="K459"/>
    </row>
    <row r="460" spans="1:11" x14ac:dyDescent="0.25">
      <c r="A460">
        <v>7</v>
      </c>
      <c r="B460">
        <v>1</v>
      </c>
      <c r="C460"/>
      <c r="D460" t="s">
        <v>31</v>
      </c>
      <c r="E460" t="s">
        <v>32</v>
      </c>
      <c r="F460" t="s">
        <v>92</v>
      </c>
      <c r="G460" s="118">
        <v>0.30217592592592596</v>
      </c>
      <c r="H460"/>
      <c r="I460" s="118">
        <v>1.0069444444444444E-3</v>
      </c>
      <c r="J460" s="118">
        <v>5.0462962962962961E-3</v>
      </c>
      <c r="K460" s="118">
        <v>5.0462962962962961E-3</v>
      </c>
    </row>
    <row r="461" spans="1:11" x14ac:dyDescent="0.25">
      <c r="A461">
        <v>3</v>
      </c>
      <c r="B461">
        <v>3</v>
      </c>
      <c r="C461"/>
      <c r="D461" t="s">
        <v>31</v>
      </c>
      <c r="E461" t="s">
        <v>32</v>
      </c>
      <c r="F461" t="s">
        <v>34</v>
      </c>
      <c r="G461" s="118">
        <v>0.30228009259259259</v>
      </c>
      <c r="H461" s="118">
        <v>3.4722222222222224E-4</v>
      </c>
      <c r="I461" s="118">
        <v>9.1435185185185185E-4</v>
      </c>
      <c r="J461" s="118">
        <v>5.8912037037037032E-3</v>
      </c>
      <c r="K461" s="118">
        <v>5.0462962962962961E-3</v>
      </c>
    </row>
    <row r="462" spans="1:11" x14ac:dyDescent="0.25">
      <c r="A462">
        <v>1</v>
      </c>
      <c r="B462">
        <v>2</v>
      </c>
      <c r="C462"/>
      <c r="D462" t="s">
        <v>31</v>
      </c>
      <c r="E462" t="s">
        <v>32</v>
      </c>
      <c r="F462" t="s">
        <v>55</v>
      </c>
      <c r="G462" s="118">
        <v>0.30247685185185186</v>
      </c>
      <c r="H462" s="118">
        <v>4.6296296296296293E-4</v>
      </c>
      <c r="I462" s="118">
        <v>4.3981481481481481E-4</v>
      </c>
      <c r="J462" s="118">
        <v>5.8912037037037032E-3</v>
      </c>
      <c r="K462" s="118">
        <v>5.8912037037037032E-3</v>
      </c>
    </row>
    <row r="463" spans="1:11" x14ac:dyDescent="0.25">
      <c r="A463">
        <v>5</v>
      </c>
      <c r="B463">
        <v>3</v>
      </c>
      <c r="C463"/>
      <c r="D463" t="s">
        <v>31</v>
      </c>
      <c r="E463" t="s">
        <v>32</v>
      </c>
      <c r="F463" t="s">
        <v>56</v>
      </c>
      <c r="G463" s="118">
        <v>0.30249999999999999</v>
      </c>
      <c r="H463" s="118">
        <v>3.4722222222222224E-4</v>
      </c>
      <c r="I463" s="118">
        <v>9.6064814814814808E-4</v>
      </c>
      <c r="J463" s="118">
        <v>5.8912037037037032E-3</v>
      </c>
      <c r="K463" s="118">
        <v>5.8912037037037032E-3</v>
      </c>
    </row>
    <row r="464" spans="1:11" x14ac:dyDescent="0.25">
      <c r="A464">
        <v>6</v>
      </c>
      <c r="B464">
        <v>3</v>
      </c>
      <c r="C464"/>
      <c r="D464" t="s">
        <v>31</v>
      </c>
      <c r="E464" t="s">
        <v>32</v>
      </c>
      <c r="F464" t="s">
        <v>33</v>
      </c>
      <c r="G464" s="118">
        <v>0.30253472222222222</v>
      </c>
      <c r="H464" s="118">
        <v>5.2083333333333333E-4</v>
      </c>
      <c r="I464" s="118">
        <v>9.6064814814814808E-4</v>
      </c>
      <c r="J464" s="118">
        <v>5.8912037037037032E-3</v>
      </c>
      <c r="K464" s="118">
        <v>5.8912037037037032E-3</v>
      </c>
    </row>
    <row r="465" spans="1:11" x14ac:dyDescent="0.25">
      <c r="A465">
        <v>1</v>
      </c>
      <c r="B465">
        <v>2</v>
      </c>
      <c r="C465"/>
      <c r="D465" t="s">
        <v>31</v>
      </c>
      <c r="E465" t="s">
        <v>35</v>
      </c>
      <c r="F465" t="s">
        <v>58</v>
      </c>
      <c r="G465" s="118">
        <v>0.30291666666666667</v>
      </c>
      <c r="H465" s="118">
        <v>4.3981481481481481E-4</v>
      </c>
      <c r="I465" s="118">
        <v>5.7870370370370366E-5</v>
      </c>
      <c r="J465"/>
      <c r="K465"/>
    </row>
    <row r="466" spans="1:11" x14ac:dyDescent="0.25">
      <c r="A466">
        <v>2</v>
      </c>
      <c r="B466">
        <v>3</v>
      </c>
      <c r="C466"/>
      <c r="D466" t="s">
        <v>31</v>
      </c>
      <c r="E466" t="s">
        <v>35</v>
      </c>
      <c r="F466" t="s">
        <v>39</v>
      </c>
      <c r="G466" s="118">
        <v>0.30296296296296293</v>
      </c>
      <c r="H466" s="118">
        <v>9.3750000000000007E-4</v>
      </c>
      <c r="I466" s="118">
        <v>5.2083333333333333E-4</v>
      </c>
      <c r="J466"/>
      <c r="K466"/>
    </row>
    <row r="467" spans="1:11" x14ac:dyDescent="0.25">
      <c r="A467">
        <v>1</v>
      </c>
      <c r="B467">
        <v>2</v>
      </c>
      <c r="C467"/>
      <c r="D467" t="s">
        <v>31</v>
      </c>
      <c r="E467" t="s">
        <v>32</v>
      </c>
      <c r="F467" t="s">
        <v>58</v>
      </c>
      <c r="G467" s="118">
        <v>0.30297453703703703</v>
      </c>
      <c r="H467" s="118">
        <v>5.7870370370370366E-5</v>
      </c>
      <c r="I467" s="118">
        <v>4.8611111111111104E-4</v>
      </c>
      <c r="J467" s="118">
        <v>5.8912037037037032E-3</v>
      </c>
      <c r="K467" s="118">
        <v>5.8912037037037032E-3</v>
      </c>
    </row>
    <row r="468" spans="1:11" x14ac:dyDescent="0.25">
      <c r="A468">
        <v>7</v>
      </c>
      <c r="B468">
        <v>1</v>
      </c>
      <c r="C468"/>
      <c r="D468" t="s">
        <v>31</v>
      </c>
      <c r="E468" t="s">
        <v>35</v>
      </c>
      <c r="F468" t="s">
        <v>41</v>
      </c>
      <c r="G468" s="118">
        <v>0.30318287037037034</v>
      </c>
      <c r="H468" s="118">
        <v>1.0069444444444444E-3</v>
      </c>
      <c r="I468" s="118">
        <v>3.4722222222222224E-4</v>
      </c>
      <c r="J468"/>
      <c r="K468"/>
    </row>
    <row r="469" spans="1:11" x14ac:dyDescent="0.25">
      <c r="A469">
        <v>3</v>
      </c>
      <c r="B469">
        <v>3</v>
      </c>
      <c r="C469"/>
      <c r="D469" t="s">
        <v>31</v>
      </c>
      <c r="E469" t="s">
        <v>35</v>
      </c>
      <c r="F469" t="s">
        <v>38</v>
      </c>
      <c r="G469" s="118">
        <v>0.30319444444444443</v>
      </c>
      <c r="H469" s="118">
        <v>9.1435185185185185E-4</v>
      </c>
      <c r="I469" s="118">
        <v>3.4722222222222224E-4</v>
      </c>
      <c r="J469"/>
      <c r="K469"/>
    </row>
    <row r="470" spans="1:11" x14ac:dyDescent="0.25">
      <c r="A470">
        <v>1</v>
      </c>
      <c r="B470">
        <v>2</v>
      </c>
      <c r="C470"/>
      <c r="D470" t="s">
        <v>31</v>
      </c>
      <c r="E470" t="s">
        <v>35</v>
      </c>
      <c r="F470" t="s">
        <v>40</v>
      </c>
      <c r="G470" s="118">
        <v>0.30346064814814816</v>
      </c>
      <c r="H470" s="118">
        <v>4.8611111111111104E-4</v>
      </c>
      <c r="I470" s="118">
        <v>4.6296296296296293E-4</v>
      </c>
      <c r="J470"/>
      <c r="K470"/>
    </row>
    <row r="471" spans="1:11" x14ac:dyDescent="0.25">
      <c r="A471">
        <v>5</v>
      </c>
      <c r="B471">
        <v>3</v>
      </c>
      <c r="C471"/>
      <c r="D471" t="s">
        <v>31</v>
      </c>
      <c r="E471" t="s">
        <v>35</v>
      </c>
      <c r="F471" t="s">
        <v>37</v>
      </c>
      <c r="G471" s="118">
        <v>0.30346064814814816</v>
      </c>
      <c r="H471" s="118">
        <v>9.6064814814814808E-4</v>
      </c>
      <c r="I471" s="118">
        <v>3.4722222222222224E-4</v>
      </c>
      <c r="J471"/>
      <c r="K471"/>
    </row>
    <row r="472" spans="1:11" x14ac:dyDescent="0.25">
      <c r="A472">
        <v>2</v>
      </c>
      <c r="B472">
        <v>3</v>
      </c>
      <c r="C472"/>
      <c r="D472" t="s">
        <v>31</v>
      </c>
      <c r="E472" t="s">
        <v>32</v>
      </c>
      <c r="F472" t="s">
        <v>39</v>
      </c>
      <c r="G472" s="118">
        <v>0.30348379629629629</v>
      </c>
      <c r="H472" s="118">
        <v>5.2083333333333333E-4</v>
      </c>
      <c r="I472" s="118">
        <v>1.8055555555555557E-3</v>
      </c>
      <c r="J472" s="118">
        <v>5.8912037037037032E-3</v>
      </c>
      <c r="K472" s="118">
        <v>5.8912037037037032E-3</v>
      </c>
    </row>
    <row r="473" spans="1:11" x14ac:dyDescent="0.25">
      <c r="A473">
        <v>6</v>
      </c>
      <c r="B473">
        <v>3</v>
      </c>
      <c r="C473"/>
      <c r="D473" t="s">
        <v>31</v>
      </c>
      <c r="E473" t="s">
        <v>35</v>
      </c>
      <c r="F473" t="s">
        <v>36</v>
      </c>
      <c r="G473" s="118">
        <v>0.30349537037037039</v>
      </c>
      <c r="H473" s="118">
        <v>9.6064814814814808E-4</v>
      </c>
      <c r="I473" s="118">
        <v>3.4722222222222224E-4</v>
      </c>
      <c r="J473"/>
      <c r="K473"/>
    </row>
    <row r="474" spans="1:11" x14ac:dyDescent="0.25">
      <c r="A474">
        <v>7</v>
      </c>
      <c r="B474">
        <v>1</v>
      </c>
      <c r="C474"/>
      <c r="D474" t="s">
        <v>31</v>
      </c>
      <c r="E474" t="s">
        <v>32</v>
      </c>
      <c r="F474" t="s">
        <v>41</v>
      </c>
      <c r="G474" s="118">
        <v>0.30353009259259262</v>
      </c>
      <c r="H474" s="118">
        <v>3.4722222222222224E-4</v>
      </c>
      <c r="I474" s="118">
        <v>8.564814814814815E-4</v>
      </c>
      <c r="J474" s="118">
        <v>5.0462962962962961E-3</v>
      </c>
      <c r="K474" s="118">
        <v>5.0462962962962961E-3</v>
      </c>
    </row>
    <row r="475" spans="1:11" x14ac:dyDescent="0.25">
      <c r="A475">
        <v>3</v>
      </c>
      <c r="B475">
        <v>3</v>
      </c>
      <c r="C475"/>
      <c r="D475" t="s">
        <v>31</v>
      </c>
      <c r="E475" t="s">
        <v>32</v>
      </c>
      <c r="F475" t="s">
        <v>38</v>
      </c>
      <c r="G475" s="118">
        <v>0.30354166666666665</v>
      </c>
      <c r="H475" s="118">
        <v>3.4722222222222224E-4</v>
      </c>
      <c r="I475" s="118">
        <v>1.2384259259259258E-3</v>
      </c>
      <c r="J475" s="118">
        <v>5.8912037037037032E-3</v>
      </c>
      <c r="K475" s="118">
        <v>5.0462962962962961E-3</v>
      </c>
    </row>
    <row r="476" spans="1:11" x14ac:dyDescent="0.25">
      <c r="A476">
        <v>4</v>
      </c>
      <c r="B476">
        <v>2</v>
      </c>
      <c r="C476"/>
      <c r="D476" t="s">
        <v>31</v>
      </c>
      <c r="E476" t="s">
        <v>35</v>
      </c>
      <c r="F476" t="s">
        <v>92</v>
      </c>
      <c r="G476" s="118">
        <v>0.30375000000000002</v>
      </c>
      <c r="H476" s="118">
        <v>1.9328703703703704E-3</v>
      </c>
      <c r="I476" s="118">
        <v>3.472222222222222E-3</v>
      </c>
      <c r="J476"/>
      <c r="K476"/>
    </row>
    <row r="477" spans="1:11" x14ac:dyDescent="0.25">
      <c r="A477">
        <v>5</v>
      </c>
      <c r="B477">
        <v>3</v>
      </c>
      <c r="C477"/>
      <c r="D477" t="s">
        <v>31</v>
      </c>
      <c r="E477" t="s">
        <v>32</v>
      </c>
      <c r="F477" t="s">
        <v>37</v>
      </c>
      <c r="G477" s="118">
        <v>0.30380787037037038</v>
      </c>
      <c r="H477" s="118">
        <v>3.4722222222222224E-4</v>
      </c>
      <c r="I477" s="118">
        <v>9.0277777777777784E-4</v>
      </c>
      <c r="J477" s="118">
        <v>5.8912037037037032E-3</v>
      </c>
      <c r="K477" s="118">
        <v>5.8912037037037032E-3</v>
      </c>
    </row>
    <row r="478" spans="1:11" x14ac:dyDescent="0.25">
      <c r="A478">
        <v>6</v>
      </c>
      <c r="B478">
        <v>3</v>
      </c>
      <c r="C478"/>
      <c r="D478" t="s">
        <v>31</v>
      </c>
      <c r="E478" t="s">
        <v>32</v>
      </c>
      <c r="F478" t="s">
        <v>36</v>
      </c>
      <c r="G478" s="118">
        <v>0.30384259259259261</v>
      </c>
      <c r="H478" s="118">
        <v>3.4722222222222224E-4</v>
      </c>
      <c r="I478" s="118">
        <v>1.0995370370370371E-3</v>
      </c>
      <c r="J478" s="118">
        <v>5.8912037037037032E-3</v>
      </c>
      <c r="K478" s="118">
        <v>5.8912037037037032E-3</v>
      </c>
    </row>
    <row r="479" spans="1:11" x14ac:dyDescent="0.25">
      <c r="A479">
        <v>1</v>
      </c>
      <c r="B479">
        <v>2</v>
      </c>
      <c r="C479"/>
      <c r="D479" t="s">
        <v>31</v>
      </c>
      <c r="E479" t="s">
        <v>32</v>
      </c>
      <c r="F479" t="s">
        <v>40</v>
      </c>
      <c r="G479" s="118">
        <v>0.3039236111111111</v>
      </c>
      <c r="H479" s="118">
        <v>4.6296296296296293E-4</v>
      </c>
      <c r="I479" s="118">
        <v>1.0069444444444444E-3</v>
      </c>
      <c r="J479" s="118">
        <v>5.8912037037037032E-3</v>
      </c>
      <c r="K479" s="118">
        <v>5.8912037037037032E-3</v>
      </c>
    </row>
    <row r="480" spans="1:11" x14ac:dyDescent="0.25">
      <c r="A480">
        <v>7</v>
      </c>
      <c r="B480">
        <v>1</v>
      </c>
      <c r="C480"/>
      <c r="D480" t="s">
        <v>31</v>
      </c>
      <c r="E480" t="s">
        <v>35</v>
      </c>
      <c r="F480" t="s">
        <v>47</v>
      </c>
      <c r="G480" s="118">
        <v>0.30438657407407405</v>
      </c>
      <c r="H480" s="118">
        <v>8.564814814814815E-4</v>
      </c>
      <c r="I480" s="118">
        <v>5.2083333333333333E-4</v>
      </c>
      <c r="J480"/>
      <c r="K480"/>
    </row>
    <row r="481" spans="1:11" x14ac:dyDescent="0.25">
      <c r="A481">
        <v>5</v>
      </c>
      <c r="B481">
        <v>3</v>
      </c>
      <c r="C481"/>
      <c r="D481" t="s">
        <v>31</v>
      </c>
      <c r="E481" t="s">
        <v>35</v>
      </c>
      <c r="F481" t="s">
        <v>42</v>
      </c>
      <c r="G481" s="118">
        <v>0.30471064814814813</v>
      </c>
      <c r="H481" s="118">
        <v>9.0277777777777784E-4</v>
      </c>
      <c r="I481" s="118">
        <v>3.4722222222222224E-4</v>
      </c>
      <c r="J481"/>
      <c r="K481"/>
    </row>
    <row r="482" spans="1:11" x14ac:dyDescent="0.25">
      <c r="A482">
        <v>3</v>
      </c>
      <c r="B482">
        <v>3</v>
      </c>
      <c r="C482"/>
      <c r="D482" t="s">
        <v>31</v>
      </c>
      <c r="E482" t="s">
        <v>35</v>
      </c>
      <c r="F482" t="s">
        <v>45</v>
      </c>
      <c r="G482" s="118">
        <v>0.30478009259259259</v>
      </c>
      <c r="H482" s="118">
        <v>1.2384259259259258E-3</v>
      </c>
      <c r="I482" s="118">
        <v>3.4722222222222224E-4</v>
      </c>
      <c r="J482"/>
      <c r="K482"/>
    </row>
    <row r="483" spans="1:11" x14ac:dyDescent="0.25">
      <c r="A483">
        <v>7</v>
      </c>
      <c r="B483">
        <v>1</v>
      </c>
      <c r="C483"/>
      <c r="D483" t="s">
        <v>31</v>
      </c>
      <c r="E483" t="s">
        <v>32</v>
      </c>
      <c r="F483" t="s">
        <v>47</v>
      </c>
      <c r="G483" s="118">
        <v>0.3049074074074074</v>
      </c>
      <c r="H483" s="118">
        <v>5.2083333333333333E-4</v>
      </c>
      <c r="I483" s="118">
        <v>8.7962962962962962E-4</v>
      </c>
      <c r="J483" s="118">
        <v>5.0462962962962961E-3</v>
      </c>
      <c r="K483" s="118">
        <v>5.0462962962962961E-3</v>
      </c>
    </row>
    <row r="484" spans="1:11" x14ac:dyDescent="0.25">
      <c r="A484">
        <v>1</v>
      </c>
      <c r="B484">
        <v>2</v>
      </c>
      <c r="C484"/>
      <c r="D484" t="s">
        <v>31</v>
      </c>
      <c r="E484" t="s">
        <v>35</v>
      </c>
      <c r="F484" t="s">
        <v>44</v>
      </c>
      <c r="G484" s="118">
        <v>0.30493055555555554</v>
      </c>
      <c r="H484" s="118">
        <v>1.0069444444444444E-3</v>
      </c>
      <c r="I484" s="118">
        <v>3.4722222222222224E-4</v>
      </c>
      <c r="J484"/>
      <c r="K484"/>
    </row>
    <row r="485" spans="1:11" x14ac:dyDescent="0.25">
      <c r="A485">
        <v>6</v>
      </c>
      <c r="B485">
        <v>3</v>
      </c>
      <c r="C485"/>
      <c r="D485" t="s">
        <v>31</v>
      </c>
      <c r="E485" t="s">
        <v>35</v>
      </c>
      <c r="F485" t="s">
        <v>43</v>
      </c>
      <c r="G485" s="118">
        <v>0.30494212962962963</v>
      </c>
      <c r="H485" s="118">
        <v>1.0995370370370371E-3</v>
      </c>
      <c r="I485" s="118">
        <v>3.4722222222222224E-4</v>
      </c>
      <c r="J485"/>
      <c r="K485"/>
    </row>
    <row r="486" spans="1:11" x14ac:dyDescent="0.25">
      <c r="A486">
        <v>5</v>
      </c>
      <c r="B486">
        <v>3</v>
      </c>
      <c r="C486"/>
      <c r="D486" t="s">
        <v>31</v>
      </c>
      <c r="E486" t="s">
        <v>32</v>
      </c>
      <c r="F486" t="s">
        <v>42</v>
      </c>
      <c r="G486" s="118">
        <v>0.30505787037037035</v>
      </c>
      <c r="H486" s="118">
        <v>3.4722222222222224E-4</v>
      </c>
      <c r="I486" s="118">
        <v>9.1435185185185185E-4</v>
      </c>
      <c r="J486" s="118">
        <v>5.8912037037037032E-3</v>
      </c>
      <c r="K486" s="118">
        <v>5.8912037037037032E-3</v>
      </c>
    </row>
    <row r="487" spans="1:11" x14ac:dyDescent="0.25">
      <c r="A487">
        <v>3</v>
      </c>
      <c r="B487">
        <v>3</v>
      </c>
      <c r="C487"/>
      <c r="D487" t="s">
        <v>31</v>
      </c>
      <c r="E487" t="s">
        <v>32</v>
      </c>
      <c r="F487" t="s">
        <v>45</v>
      </c>
      <c r="G487" s="118">
        <v>0.30512731481481481</v>
      </c>
      <c r="H487" s="118">
        <v>3.4722222222222224E-4</v>
      </c>
      <c r="I487" s="118">
        <v>1.0416666666666667E-3</v>
      </c>
      <c r="J487" s="118">
        <v>5.8912037037037032E-3</v>
      </c>
      <c r="K487" s="118">
        <v>5.0462962962962961E-3</v>
      </c>
    </row>
    <row r="488" spans="1:11" x14ac:dyDescent="0.25">
      <c r="A488">
        <v>1</v>
      </c>
      <c r="B488">
        <v>2</v>
      </c>
      <c r="C488"/>
      <c r="D488" t="s">
        <v>31</v>
      </c>
      <c r="E488" t="s">
        <v>32</v>
      </c>
      <c r="F488" t="s">
        <v>44</v>
      </c>
      <c r="G488" s="118">
        <v>0.30527777777777781</v>
      </c>
      <c r="H488" s="118">
        <v>3.4722222222222224E-4</v>
      </c>
      <c r="I488" s="118">
        <v>9.2592592592592585E-4</v>
      </c>
      <c r="J488" s="118">
        <v>5.8912037037037032E-3</v>
      </c>
      <c r="K488" s="118">
        <v>5.8912037037037032E-3</v>
      </c>
    </row>
    <row r="489" spans="1:11" x14ac:dyDescent="0.25">
      <c r="A489">
        <v>2</v>
      </c>
      <c r="B489">
        <v>3</v>
      </c>
      <c r="C489"/>
      <c r="D489" t="s">
        <v>31</v>
      </c>
      <c r="E489" t="s">
        <v>35</v>
      </c>
      <c r="F489" t="s">
        <v>46</v>
      </c>
      <c r="G489" s="118">
        <v>0.30528935185185185</v>
      </c>
      <c r="H489" s="118">
        <v>1.8055555555555557E-3</v>
      </c>
      <c r="I489" s="118">
        <v>3.4722222222222224E-4</v>
      </c>
      <c r="J489"/>
      <c r="K489"/>
    </row>
    <row r="490" spans="1:11" x14ac:dyDescent="0.25">
      <c r="A490">
        <v>6</v>
      </c>
      <c r="B490">
        <v>3</v>
      </c>
      <c r="C490"/>
      <c r="D490" t="s">
        <v>31</v>
      </c>
      <c r="E490" t="s">
        <v>32</v>
      </c>
      <c r="F490" t="s">
        <v>43</v>
      </c>
      <c r="G490" s="118">
        <v>0.30528935185185185</v>
      </c>
      <c r="H490" s="118">
        <v>3.4722222222222224E-4</v>
      </c>
      <c r="I490" s="118">
        <v>1.1458333333333333E-3</v>
      </c>
      <c r="J490" s="118">
        <v>5.8912037037037032E-3</v>
      </c>
      <c r="K490" s="118">
        <v>5.8912037037037032E-3</v>
      </c>
    </row>
    <row r="491" spans="1:11" x14ac:dyDescent="0.25">
      <c r="A491">
        <v>2</v>
      </c>
      <c r="B491">
        <v>3</v>
      </c>
      <c r="C491"/>
      <c r="D491" t="s">
        <v>31</v>
      </c>
      <c r="E491" t="s">
        <v>32</v>
      </c>
      <c r="F491" t="s">
        <v>46</v>
      </c>
      <c r="G491" s="118">
        <v>0.30563657407407407</v>
      </c>
      <c r="H491" s="118">
        <v>3.4722222222222224E-4</v>
      </c>
      <c r="I491" s="118">
        <v>9.1435185185185185E-4</v>
      </c>
      <c r="J491" s="118">
        <v>5.8912037037037032E-3</v>
      </c>
      <c r="K491" s="118">
        <v>5.8912037037037032E-3</v>
      </c>
    </row>
    <row r="492" spans="1:11" x14ac:dyDescent="0.25">
      <c r="A492">
        <v>7</v>
      </c>
      <c r="B492">
        <v>1</v>
      </c>
      <c r="C492"/>
      <c r="D492" t="s">
        <v>31</v>
      </c>
      <c r="E492" t="s">
        <v>35</v>
      </c>
      <c r="F492" t="s">
        <v>53</v>
      </c>
      <c r="G492" s="118">
        <v>0.30578703703703702</v>
      </c>
      <c r="H492" s="118">
        <v>8.7962962962962962E-4</v>
      </c>
      <c r="I492" s="118">
        <v>3.4722222222222224E-4</v>
      </c>
      <c r="J492"/>
      <c r="K492"/>
    </row>
    <row r="493" spans="1:11" x14ac:dyDescent="0.25">
      <c r="A493">
        <v>5</v>
      </c>
      <c r="B493">
        <v>3</v>
      </c>
      <c r="C493"/>
      <c r="D493" t="s">
        <v>31</v>
      </c>
      <c r="E493" t="s">
        <v>35</v>
      </c>
      <c r="F493" t="s">
        <v>48</v>
      </c>
      <c r="G493" s="118">
        <v>0.30597222222222226</v>
      </c>
      <c r="H493" s="118">
        <v>9.1435185185185185E-4</v>
      </c>
      <c r="I493" s="118">
        <v>5.2083333333333333E-4</v>
      </c>
      <c r="J493"/>
      <c r="K493"/>
    </row>
    <row r="494" spans="1:11" x14ac:dyDescent="0.25">
      <c r="A494">
        <v>7</v>
      </c>
      <c r="B494">
        <v>1</v>
      </c>
      <c r="C494"/>
      <c r="D494" t="s">
        <v>31</v>
      </c>
      <c r="E494" t="s">
        <v>32</v>
      </c>
      <c r="F494" t="s">
        <v>53</v>
      </c>
      <c r="G494" s="118">
        <v>0.30613425925925924</v>
      </c>
      <c r="H494" s="118">
        <v>3.4722222222222224E-4</v>
      </c>
      <c r="I494" s="118">
        <v>8.449074074074075E-4</v>
      </c>
      <c r="J494" s="118">
        <v>5.0462962962962961E-3</v>
      </c>
      <c r="K494" s="118">
        <v>5.0462962962962961E-3</v>
      </c>
    </row>
    <row r="495" spans="1:11" x14ac:dyDescent="0.25">
      <c r="A495">
        <v>3</v>
      </c>
      <c r="B495">
        <v>3</v>
      </c>
      <c r="C495"/>
      <c r="D495" t="s">
        <v>31</v>
      </c>
      <c r="E495" t="s">
        <v>35</v>
      </c>
      <c r="F495" t="s">
        <v>52</v>
      </c>
      <c r="G495" s="118">
        <v>0.30616898148148147</v>
      </c>
      <c r="H495" s="118">
        <v>1.0416666666666667E-3</v>
      </c>
      <c r="I495" s="118">
        <v>3.4722222222222224E-4</v>
      </c>
      <c r="J495"/>
      <c r="K495"/>
    </row>
    <row r="496" spans="1:11" x14ac:dyDescent="0.25">
      <c r="A496">
        <v>1</v>
      </c>
      <c r="B496">
        <v>2</v>
      </c>
      <c r="C496"/>
      <c r="D496" t="s">
        <v>31</v>
      </c>
      <c r="E496" t="s">
        <v>35</v>
      </c>
      <c r="F496" t="s">
        <v>49</v>
      </c>
      <c r="G496" s="118">
        <v>0.3062037037037037</v>
      </c>
      <c r="H496" s="118">
        <v>9.2592592592592585E-4</v>
      </c>
      <c r="I496" s="118">
        <v>3.4722222222222224E-4</v>
      </c>
      <c r="J496"/>
      <c r="K496"/>
    </row>
    <row r="497" spans="1:11" x14ac:dyDescent="0.25">
      <c r="A497">
        <v>6</v>
      </c>
      <c r="B497">
        <v>3</v>
      </c>
      <c r="C497"/>
      <c r="D497" t="s">
        <v>31</v>
      </c>
      <c r="E497" t="s">
        <v>35</v>
      </c>
      <c r="F497" t="s">
        <v>50</v>
      </c>
      <c r="G497" s="118">
        <v>0.3064351851851852</v>
      </c>
      <c r="H497" s="118">
        <v>1.1458333333333333E-3</v>
      </c>
      <c r="I497" s="118">
        <v>3.4722222222222224E-4</v>
      </c>
      <c r="J497"/>
      <c r="K497"/>
    </row>
    <row r="498" spans="1:11" x14ac:dyDescent="0.25">
      <c r="A498">
        <v>5</v>
      </c>
      <c r="B498">
        <v>3</v>
      </c>
      <c r="C498"/>
      <c r="D498" t="s">
        <v>31</v>
      </c>
      <c r="E498" t="s">
        <v>32</v>
      </c>
      <c r="F498" t="s">
        <v>48</v>
      </c>
      <c r="G498" s="118">
        <v>0.30649305555555556</v>
      </c>
      <c r="H498" s="118">
        <v>5.2083333333333333E-4</v>
      </c>
      <c r="I498" s="118">
        <v>8.6805555555555551E-4</v>
      </c>
      <c r="J498" s="118">
        <v>5.8912037037037032E-3</v>
      </c>
      <c r="K498" s="118">
        <v>5.8912037037037032E-3</v>
      </c>
    </row>
    <row r="499" spans="1:11" x14ac:dyDescent="0.25">
      <c r="A499">
        <v>3</v>
      </c>
      <c r="B499">
        <v>3</v>
      </c>
      <c r="C499"/>
      <c r="D499" t="s">
        <v>31</v>
      </c>
      <c r="E499" t="s">
        <v>32</v>
      </c>
      <c r="F499" t="s">
        <v>52</v>
      </c>
      <c r="G499" s="118">
        <v>0.30651620370370369</v>
      </c>
      <c r="H499" s="118">
        <v>3.4722222222222224E-4</v>
      </c>
      <c r="I499" s="118">
        <v>1.0532407407407407E-3</v>
      </c>
      <c r="J499" s="118">
        <v>5.8912037037037032E-3</v>
      </c>
      <c r="K499" s="118">
        <v>5.0462962962962961E-3</v>
      </c>
    </row>
    <row r="500" spans="1:11" x14ac:dyDescent="0.25">
      <c r="A500">
        <v>1</v>
      </c>
      <c r="B500">
        <v>2</v>
      </c>
      <c r="C500"/>
      <c r="D500" t="s">
        <v>31</v>
      </c>
      <c r="E500" t="s">
        <v>32</v>
      </c>
      <c r="F500" t="s">
        <v>49</v>
      </c>
      <c r="G500" s="118">
        <v>0.30655092592592592</v>
      </c>
      <c r="H500" s="118">
        <v>3.4722222222222224E-4</v>
      </c>
      <c r="I500" s="118">
        <v>1.3541666666666667E-3</v>
      </c>
      <c r="J500" s="118">
        <v>5.8912037037037032E-3</v>
      </c>
      <c r="K500" s="118">
        <v>5.8912037037037032E-3</v>
      </c>
    </row>
    <row r="501" spans="1:11" x14ac:dyDescent="0.25">
      <c r="A501">
        <v>2</v>
      </c>
      <c r="B501">
        <v>3</v>
      </c>
      <c r="C501"/>
      <c r="D501" t="s">
        <v>31</v>
      </c>
      <c r="E501" t="s">
        <v>35</v>
      </c>
      <c r="F501" t="s">
        <v>51</v>
      </c>
      <c r="G501" s="118">
        <v>0.30655092592592592</v>
      </c>
      <c r="H501" s="118">
        <v>9.1435185185185185E-4</v>
      </c>
      <c r="I501" s="118">
        <v>3.4722222222222224E-4</v>
      </c>
      <c r="J501"/>
      <c r="K501"/>
    </row>
    <row r="502" spans="1:11" x14ac:dyDescent="0.25">
      <c r="A502">
        <v>6</v>
      </c>
      <c r="B502">
        <v>3</v>
      </c>
      <c r="C502"/>
      <c r="D502" t="s">
        <v>31</v>
      </c>
      <c r="E502" t="s">
        <v>32</v>
      </c>
      <c r="F502" t="s">
        <v>50</v>
      </c>
      <c r="G502" s="118">
        <v>0.30678240740740742</v>
      </c>
      <c r="H502" s="118">
        <v>3.4722222222222224E-4</v>
      </c>
      <c r="I502" s="118">
        <v>1.261574074074074E-3</v>
      </c>
      <c r="J502" s="118">
        <v>5.8912037037037032E-3</v>
      </c>
      <c r="K502" s="118">
        <v>5.8912037037037032E-3</v>
      </c>
    </row>
    <row r="503" spans="1:11" x14ac:dyDescent="0.25">
      <c r="A503">
        <v>2</v>
      </c>
      <c r="B503">
        <v>3</v>
      </c>
      <c r="C503"/>
      <c r="D503" t="s">
        <v>31</v>
      </c>
      <c r="E503" t="s">
        <v>32</v>
      </c>
      <c r="F503" t="s">
        <v>51</v>
      </c>
      <c r="G503" s="118">
        <v>0.30689814814814814</v>
      </c>
      <c r="H503" s="118">
        <v>3.4722222222222224E-4</v>
      </c>
      <c r="I503" s="118">
        <v>1.0069444444444444E-3</v>
      </c>
      <c r="J503" s="118">
        <v>5.8912037037037032E-3</v>
      </c>
      <c r="K503" s="118">
        <v>5.8912037037037032E-3</v>
      </c>
    </row>
    <row r="504" spans="1:11" x14ac:dyDescent="0.25">
      <c r="A504">
        <v>7</v>
      </c>
      <c r="B504">
        <v>1</v>
      </c>
      <c r="C504"/>
      <c r="D504" t="s">
        <v>31</v>
      </c>
      <c r="E504" t="s">
        <v>35</v>
      </c>
      <c r="F504" t="s">
        <v>34</v>
      </c>
      <c r="G504" s="118">
        <v>0.30697916666666664</v>
      </c>
      <c r="H504" s="118">
        <v>8.449074074074075E-4</v>
      </c>
      <c r="I504" s="118">
        <v>3.4722222222222224E-4</v>
      </c>
      <c r="J504"/>
      <c r="K504"/>
    </row>
    <row r="505" spans="1:11" x14ac:dyDescent="0.25">
      <c r="A505">
        <v>4</v>
      </c>
      <c r="B505">
        <v>3</v>
      </c>
      <c r="C505"/>
      <c r="D505" t="s">
        <v>31</v>
      </c>
      <c r="E505" t="s">
        <v>32</v>
      </c>
      <c r="F505" t="s">
        <v>92</v>
      </c>
      <c r="G505" s="118">
        <v>0.30722222222222223</v>
      </c>
      <c r="H505" s="118">
        <v>3.472222222222222E-3</v>
      </c>
      <c r="I505" s="118">
        <v>1.0069444444444444E-3</v>
      </c>
      <c r="J505" s="118">
        <v>5.0462962962962961E-3</v>
      </c>
      <c r="K505" s="118">
        <v>5.0462962962962961E-3</v>
      </c>
    </row>
    <row r="506" spans="1:11" x14ac:dyDescent="0.25">
      <c r="A506">
        <v>7</v>
      </c>
      <c r="B506">
        <v>1</v>
      </c>
      <c r="C506"/>
      <c r="D506" t="s">
        <v>31</v>
      </c>
      <c r="E506" t="s">
        <v>32</v>
      </c>
      <c r="F506" t="s">
        <v>34</v>
      </c>
      <c r="G506" s="118">
        <v>0.30732638888888891</v>
      </c>
      <c r="H506" s="118">
        <v>3.4722222222222224E-4</v>
      </c>
      <c r="I506" s="118">
        <v>9.1435185185185185E-4</v>
      </c>
      <c r="J506" s="118">
        <v>5.0462962962962961E-3</v>
      </c>
      <c r="K506" s="118">
        <v>5.0462962962962961E-3</v>
      </c>
    </row>
    <row r="507" spans="1:11" x14ac:dyDescent="0.25">
      <c r="A507">
        <v>5</v>
      </c>
      <c r="B507">
        <v>3</v>
      </c>
      <c r="C507"/>
      <c r="D507" t="s">
        <v>31</v>
      </c>
      <c r="E507" t="s">
        <v>35</v>
      </c>
      <c r="F507" t="s">
        <v>54</v>
      </c>
      <c r="G507" s="118">
        <v>0.30736111111111114</v>
      </c>
      <c r="H507" s="118">
        <v>8.6805555555555551E-4</v>
      </c>
      <c r="I507" s="118">
        <v>3.4722222222222224E-4</v>
      </c>
      <c r="J507"/>
      <c r="K507"/>
    </row>
    <row r="508" spans="1:11" x14ac:dyDescent="0.25">
      <c r="A508">
        <v>3</v>
      </c>
      <c r="B508">
        <v>3</v>
      </c>
      <c r="C508"/>
      <c r="D508" t="s">
        <v>31</v>
      </c>
      <c r="E508" t="s">
        <v>35</v>
      </c>
      <c r="F508" t="s">
        <v>57</v>
      </c>
      <c r="G508" s="118">
        <v>0.30756944444444445</v>
      </c>
      <c r="H508" s="118">
        <v>1.0532407407407407E-3</v>
      </c>
      <c r="I508" s="118">
        <v>3.4722222222222224E-4</v>
      </c>
      <c r="J508"/>
      <c r="K508"/>
    </row>
    <row r="509" spans="1:11" x14ac:dyDescent="0.25">
      <c r="A509">
        <v>5</v>
      </c>
      <c r="B509">
        <v>3</v>
      </c>
      <c r="C509"/>
      <c r="D509" t="s">
        <v>31</v>
      </c>
      <c r="E509" t="s">
        <v>32</v>
      </c>
      <c r="F509" t="s">
        <v>54</v>
      </c>
      <c r="G509" s="118">
        <v>0.30770833333333331</v>
      </c>
      <c r="H509" s="118">
        <v>3.4722222222222224E-4</v>
      </c>
      <c r="I509" s="118">
        <v>1.1921296296296296E-3</v>
      </c>
      <c r="J509" s="118">
        <v>5.8912037037037032E-3</v>
      </c>
      <c r="K509" s="118">
        <v>5.8912037037037032E-3</v>
      </c>
    </row>
    <row r="510" spans="1:11" x14ac:dyDescent="0.25">
      <c r="A510">
        <v>1</v>
      </c>
      <c r="B510">
        <v>2</v>
      </c>
      <c r="C510"/>
      <c r="D510" t="s">
        <v>31</v>
      </c>
      <c r="E510" t="s">
        <v>35</v>
      </c>
      <c r="F510" t="s">
        <v>33</v>
      </c>
      <c r="G510" s="118">
        <v>0.30790509259259258</v>
      </c>
      <c r="H510" s="118">
        <v>1.3541666666666667E-3</v>
      </c>
      <c r="I510" s="118">
        <v>5.2083333333333333E-4</v>
      </c>
      <c r="J510"/>
      <c r="K510"/>
    </row>
    <row r="511" spans="1:11" x14ac:dyDescent="0.25">
      <c r="A511">
        <v>2</v>
      </c>
      <c r="B511">
        <v>3</v>
      </c>
      <c r="C511"/>
      <c r="D511" t="s">
        <v>31</v>
      </c>
      <c r="E511" t="s">
        <v>35</v>
      </c>
      <c r="F511" t="s">
        <v>55</v>
      </c>
      <c r="G511" s="118">
        <v>0.30790509259259258</v>
      </c>
      <c r="H511" s="118">
        <v>1.0069444444444444E-3</v>
      </c>
      <c r="I511" s="118">
        <v>4.6296296296296293E-4</v>
      </c>
      <c r="J511"/>
      <c r="K511"/>
    </row>
    <row r="512" spans="1:11" x14ac:dyDescent="0.25">
      <c r="A512">
        <v>3</v>
      </c>
      <c r="B512">
        <v>3</v>
      </c>
      <c r="C512"/>
      <c r="D512" t="s">
        <v>31</v>
      </c>
      <c r="E512" t="s">
        <v>32</v>
      </c>
      <c r="F512" t="s">
        <v>57</v>
      </c>
      <c r="G512" s="118">
        <v>0.30791666666666667</v>
      </c>
      <c r="H512" s="118">
        <v>3.4722222222222224E-4</v>
      </c>
      <c r="I512" s="118">
        <v>9.3750000000000007E-4</v>
      </c>
      <c r="J512" s="118">
        <v>5.8912037037037032E-3</v>
      </c>
      <c r="K512" s="118">
        <v>5.0462962962962961E-3</v>
      </c>
    </row>
    <row r="513" spans="1:11" x14ac:dyDescent="0.25">
      <c r="A513">
        <v>6</v>
      </c>
      <c r="B513">
        <v>3</v>
      </c>
      <c r="C513"/>
      <c r="D513" t="s">
        <v>31</v>
      </c>
      <c r="E513" t="s">
        <v>35</v>
      </c>
      <c r="F513" t="s">
        <v>56</v>
      </c>
      <c r="G513" s="118">
        <v>0.30804398148148149</v>
      </c>
      <c r="H513" s="118">
        <v>1.261574074074074E-3</v>
      </c>
      <c r="I513" s="118">
        <v>3.4722222222222224E-4</v>
      </c>
      <c r="J513"/>
      <c r="K513"/>
    </row>
    <row r="514" spans="1:11" x14ac:dyDescent="0.25">
      <c r="A514">
        <v>4</v>
      </c>
      <c r="B514">
        <v>3</v>
      </c>
      <c r="C514"/>
      <c r="D514" t="s">
        <v>31</v>
      </c>
      <c r="E514" t="s">
        <v>35</v>
      </c>
      <c r="F514" t="s">
        <v>41</v>
      </c>
      <c r="G514" s="118">
        <v>0.30822916666666667</v>
      </c>
      <c r="H514" s="118">
        <v>1.0069444444444444E-3</v>
      </c>
      <c r="I514" s="118">
        <v>3.4722222222222224E-4</v>
      </c>
      <c r="J514"/>
      <c r="K514"/>
    </row>
    <row r="515" spans="1:11" x14ac:dyDescent="0.25">
      <c r="A515">
        <v>7</v>
      </c>
      <c r="B515">
        <v>1</v>
      </c>
      <c r="C515"/>
      <c r="D515" t="s">
        <v>31</v>
      </c>
      <c r="E515" t="s">
        <v>35</v>
      </c>
      <c r="F515" t="s">
        <v>38</v>
      </c>
      <c r="G515" s="118">
        <v>0.30824074074074076</v>
      </c>
      <c r="H515" s="118">
        <v>9.1435185185185185E-4</v>
      </c>
      <c r="I515" s="118">
        <v>3.4722222222222224E-4</v>
      </c>
      <c r="J515"/>
      <c r="K515"/>
    </row>
    <row r="516" spans="1:11" x14ac:dyDescent="0.25">
      <c r="A516">
        <v>2</v>
      </c>
      <c r="B516">
        <v>3</v>
      </c>
      <c r="C516"/>
      <c r="D516" t="s">
        <v>31</v>
      </c>
      <c r="E516" t="s">
        <v>32</v>
      </c>
      <c r="F516" t="s">
        <v>55</v>
      </c>
      <c r="G516" s="118">
        <v>0.30836805555555552</v>
      </c>
      <c r="H516" s="118">
        <v>4.6296296296296293E-4</v>
      </c>
      <c r="I516" s="118">
        <v>4.3981481481481481E-4</v>
      </c>
      <c r="J516" s="118">
        <v>5.8912037037037032E-3</v>
      </c>
      <c r="K516" s="118">
        <v>5.8912037037037032E-3</v>
      </c>
    </row>
    <row r="517" spans="1:11" x14ac:dyDescent="0.25">
      <c r="A517">
        <v>6</v>
      </c>
      <c r="B517">
        <v>3</v>
      </c>
      <c r="C517"/>
      <c r="D517" t="s">
        <v>31</v>
      </c>
      <c r="E517" t="s">
        <v>32</v>
      </c>
      <c r="F517" t="s">
        <v>56</v>
      </c>
      <c r="G517" s="118">
        <v>0.30839120370370371</v>
      </c>
      <c r="H517" s="118">
        <v>3.4722222222222224E-4</v>
      </c>
      <c r="I517" s="118">
        <v>9.6064814814814808E-4</v>
      </c>
      <c r="J517" s="118">
        <v>5.8912037037037032E-3</v>
      </c>
      <c r="K517" s="118">
        <v>5.8912037037037032E-3</v>
      </c>
    </row>
    <row r="518" spans="1:11" x14ac:dyDescent="0.25">
      <c r="A518">
        <v>1</v>
      </c>
      <c r="B518">
        <v>2</v>
      </c>
      <c r="C518"/>
      <c r="D518" t="s">
        <v>31</v>
      </c>
      <c r="E518" t="s">
        <v>32</v>
      </c>
      <c r="F518" t="s">
        <v>33</v>
      </c>
      <c r="G518" s="118">
        <v>0.30842592592592594</v>
      </c>
      <c r="H518" s="118">
        <v>5.2083333333333333E-4</v>
      </c>
      <c r="I518" s="118">
        <v>9.6064814814814808E-4</v>
      </c>
      <c r="J518" s="118">
        <v>5.8912037037037032E-3</v>
      </c>
      <c r="K518" s="118">
        <v>5.8912037037037032E-3</v>
      </c>
    </row>
    <row r="519" spans="1:11" x14ac:dyDescent="0.25">
      <c r="A519">
        <v>4</v>
      </c>
      <c r="B519">
        <v>3</v>
      </c>
      <c r="C519"/>
      <c r="D519" t="s">
        <v>31</v>
      </c>
      <c r="E519" t="s">
        <v>32</v>
      </c>
      <c r="F519" t="s">
        <v>41</v>
      </c>
      <c r="G519" s="118">
        <v>0.30857638888888889</v>
      </c>
      <c r="H519" s="118">
        <v>3.4722222222222224E-4</v>
      </c>
      <c r="I519" s="118">
        <v>8.564814814814815E-4</v>
      </c>
      <c r="J519" s="118">
        <v>5.0462962962962961E-3</v>
      </c>
      <c r="K519" s="118">
        <v>5.0462962962962961E-3</v>
      </c>
    </row>
    <row r="520" spans="1:11" x14ac:dyDescent="0.25">
      <c r="A520">
        <v>7</v>
      </c>
      <c r="B520">
        <v>1</v>
      </c>
      <c r="C520"/>
      <c r="D520" t="s">
        <v>31</v>
      </c>
      <c r="E520" t="s">
        <v>32</v>
      </c>
      <c r="F520" t="s">
        <v>38</v>
      </c>
      <c r="G520" s="118">
        <v>0.30858796296296298</v>
      </c>
      <c r="H520" s="118">
        <v>3.4722222222222224E-4</v>
      </c>
      <c r="I520" s="118">
        <v>1.2384259259259258E-3</v>
      </c>
      <c r="J520" s="118">
        <v>5.0462962962962961E-3</v>
      </c>
      <c r="K520" s="118">
        <v>5.0462962962962961E-3</v>
      </c>
    </row>
    <row r="521" spans="1:11" x14ac:dyDescent="0.25">
      <c r="A521">
        <v>2</v>
      </c>
      <c r="B521">
        <v>3</v>
      </c>
      <c r="C521"/>
      <c r="D521" t="s">
        <v>31</v>
      </c>
      <c r="E521" t="s">
        <v>35</v>
      </c>
      <c r="F521" t="s">
        <v>58</v>
      </c>
      <c r="G521" s="118">
        <v>0.30880787037037039</v>
      </c>
      <c r="H521" s="118">
        <v>4.3981481481481481E-4</v>
      </c>
      <c r="I521" s="118">
        <v>5.7870370370370366E-5</v>
      </c>
      <c r="J521"/>
      <c r="K521"/>
    </row>
    <row r="522" spans="1:11" x14ac:dyDescent="0.25">
      <c r="A522">
        <v>3</v>
      </c>
      <c r="B522">
        <v>3</v>
      </c>
      <c r="C522"/>
      <c r="D522" t="s">
        <v>31</v>
      </c>
      <c r="E522" t="s">
        <v>35</v>
      </c>
      <c r="F522" t="s">
        <v>39</v>
      </c>
      <c r="G522" s="118">
        <v>0.30885416666666665</v>
      </c>
      <c r="H522" s="118">
        <v>9.3750000000000007E-4</v>
      </c>
      <c r="I522" s="118">
        <v>5.2083333333333333E-4</v>
      </c>
      <c r="J522"/>
      <c r="K522"/>
    </row>
    <row r="523" spans="1:11" x14ac:dyDescent="0.25">
      <c r="A523">
        <v>2</v>
      </c>
      <c r="B523">
        <v>3</v>
      </c>
      <c r="C523"/>
      <c r="D523" t="s">
        <v>31</v>
      </c>
      <c r="E523" t="s">
        <v>32</v>
      </c>
      <c r="F523" t="s">
        <v>58</v>
      </c>
      <c r="G523" s="118">
        <v>0.30886574074074075</v>
      </c>
      <c r="H523" s="118">
        <v>5.7870370370370366E-5</v>
      </c>
      <c r="I523" s="118">
        <v>4.8611111111111104E-4</v>
      </c>
      <c r="J523" s="118">
        <v>5.8912037037037032E-3</v>
      </c>
      <c r="K523" s="118">
        <v>5.8912037037037032E-3</v>
      </c>
    </row>
    <row r="524" spans="1:11" x14ac:dyDescent="0.25">
      <c r="A524">
        <v>5</v>
      </c>
      <c r="B524">
        <v>3</v>
      </c>
      <c r="C524"/>
      <c r="D524" t="s">
        <v>31</v>
      </c>
      <c r="E524" t="s">
        <v>35</v>
      </c>
      <c r="F524" t="s">
        <v>92</v>
      </c>
      <c r="G524" s="118">
        <v>0.30890046296296297</v>
      </c>
      <c r="H524" s="118">
        <v>1.1921296296296296E-3</v>
      </c>
      <c r="I524" s="118">
        <v>3.3680555555555551E-3</v>
      </c>
      <c r="J524"/>
      <c r="K524"/>
    </row>
    <row r="525" spans="1:11" x14ac:dyDescent="0.25">
      <c r="A525">
        <v>2</v>
      </c>
      <c r="B525">
        <v>3</v>
      </c>
      <c r="C525"/>
      <c r="D525" t="s">
        <v>31</v>
      </c>
      <c r="E525" t="s">
        <v>35</v>
      </c>
      <c r="F525" t="s">
        <v>40</v>
      </c>
      <c r="G525" s="118">
        <v>0.30935185185185182</v>
      </c>
      <c r="H525" s="118">
        <v>4.8611111111111104E-4</v>
      </c>
      <c r="I525" s="118">
        <v>4.6296296296296293E-4</v>
      </c>
      <c r="J525"/>
      <c r="K525"/>
    </row>
    <row r="526" spans="1:11" x14ac:dyDescent="0.25">
      <c r="A526">
        <v>6</v>
      </c>
      <c r="B526">
        <v>3</v>
      </c>
      <c r="C526"/>
      <c r="D526" t="s">
        <v>31</v>
      </c>
      <c r="E526" t="s">
        <v>35</v>
      </c>
      <c r="F526" t="s">
        <v>37</v>
      </c>
      <c r="G526" s="118">
        <v>0.30935185185185182</v>
      </c>
      <c r="H526" s="118">
        <v>9.6064814814814808E-4</v>
      </c>
      <c r="I526" s="118">
        <v>3.4722222222222224E-4</v>
      </c>
      <c r="J526"/>
      <c r="K526"/>
    </row>
    <row r="527" spans="1:11" x14ac:dyDescent="0.25">
      <c r="A527">
        <v>3</v>
      </c>
      <c r="B527">
        <v>3</v>
      </c>
      <c r="C527"/>
      <c r="D527" t="s">
        <v>31</v>
      </c>
      <c r="E527" t="s">
        <v>32</v>
      </c>
      <c r="F527" t="s">
        <v>39</v>
      </c>
      <c r="G527" s="118">
        <v>0.30937500000000001</v>
      </c>
      <c r="H527" s="118">
        <v>5.2083333333333333E-4</v>
      </c>
      <c r="I527" s="118">
        <v>1.8055555555555557E-3</v>
      </c>
      <c r="J527" s="118">
        <v>5.8912037037037032E-3</v>
      </c>
      <c r="K527" s="118">
        <v>5.0462962962962961E-3</v>
      </c>
    </row>
    <row r="528" spans="1:11" x14ac:dyDescent="0.25">
      <c r="A528">
        <v>1</v>
      </c>
      <c r="B528">
        <v>2</v>
      </c>
      <c r="C528"/>
      <c r="D528" t="s">
        <v>31</v>
      </c>
      <c r="E528" t="s">
        <v>35</v>
      </c>
      <c r="F528" t="s">
        <v>36</v>
      </c>
      <c r="G528" s="118">
        <v>0.30938657407407405</v>
      </c>
      <c r="H528" s="118">
        <v>9.6064814814814808E-4</v>
      </c>
      <c r="I528" s="118">
        <v>3.4722222222222224E-4</v>
      </c>
      <c r="J528"/>
      <c r="K528"/>
    </row>
    <row r="529" spans="1:11" x14ac:dyDescent="0.25">
      <c r="A529">
        <v>4</v>
      </c>
      <c r="B529">
        <v>3</v>
      </c>
      <c r="C529"/>
      <c r="D529" t="s">
        <v>31</v>
      </c>
      <c r="E529" t="s">
        <v>35</v>
      </c>
      <c r="F529" t="s">
        <v>47</v>
      </c>
      <c r="G529" s="118">
        <v>0.30943287037037037</v>
      </c>
      <c r="H529" s="118">
        <v>8.564814814814815E-4</v>
      </c>
      <c r="I529" s="118">
        <v>5.2083333333333333E-4</v>
      </c>
      <c r="J529"/>
      <c r="K529"/>
    </row>
    <row r="530" spans="1:11" x14ac:dyDescent="0.25">
      <c r="A530">
        <v>6</v>
      </c>
      <c r="B530">
        <v>3</v>
      </c>
      <c r="C530"/>
      <c r="D530" t="s">
        <v>31</v>
      </c>
      <c r="E530" t="s">
        <v>32</v>
      </c>
      <c r="F530" t="s">
        <v>37</v>
      </c>
      <c r="G530" s="118">
        <v>0.3096990740740741</v>
      </c>
      <c r="H530" s="118">
        <v>3.4722222222222224E-4</v>
      </c>
      <c r="I530" s="118">
        <v>9.0277777777777784E-4</v>
      </c>
      <c r="J530" s="118">
        <v>5.8912037037037032E-3</v>
      </c>
      <c r="K530" s="118">
        <v>5.8912037037037032E-3</v>
      </c>
    </row>
    <row r="531" spans="1:11" x14ac:dyDescent="0.25">
      <c r="A531">
        <v>1</v>
      </c>
      <c r="B531">
        <v>2</v>
      </c>
      <c r="C531"/>
      <c r="D531" t="s">
        <v>31</v>
      </c>
      <c r="E531" t="s">
        <v>32</v>
      </c>
      <c r="F531" t="s">
        <v>36</v>
      </c>
      <c r="G531" s="118">
        <v>0.30973379629629633</v>
      </c>
      <c r="H531" s="118">
        <v>3.4722222222222224E-4</v>
      </c>
      <c r="I531" s="118">
        <v>1.0995370370370371E-3</v>
      </c>
      <c r="J531" s="118">
        <v>5.8912037037037032E-3</v>
      </c>
      <c r="K531" s="118">
        <v>5.8912037037037032E-3</v>
      </c>
    </row>
    <row r="532" spans="1:11" x14ac:dyDescent="0.25">
      <c r="A532">
        <v>2</v>
      </c>
      <c r="B532">
        <v>3</v>
      </c>
      <c r="C532"/>
      <c r="D532" t="s">
        <v>31</v>
      </c>
      <c r="E532" t="s">
        <v>32</v>
      </c>
      <c r="F532" t="s">
        <v>40</v>
      </c>
      <c r="G532" s="118">
        <v>0.30981481481481482</v>
      </c>
      <c r="H532" s="118">
        <v>4.6296296296296293E-4</v>
      </c>
      <c r="I532" s="118">
        <v>1.0069444444444444E-3</v>
      </c>
      <c r="J532" s="118">
        <v>5.8912037037037032E-3</v>
      </c>
      <c r="K532" s="118">
        <v>5.8912037037037032E-3</v>
      </c>
    </row>
    <row r="533" spans="1:11" x14ac:dyDescent="0.25">
      <c r="A533">
        <v>7</v>
      </c>
      <c r="B533">
        <v>1</v>
      </c>
      <c r="C533"/>
      <c r="D533" t="s">
        <v>31</v>
      </c>
      <c r="E533" t="s">
        <v>35</v>
      </c>
      <c r="F533" t="s">
        <v>45</v>
      </c>
      <c r="G533" s="118">
        <v>0.30982638888888886</v>
      </c>
      <c r="H533" s="118">
        <v>1.2384259259259258E-3</v>
      </c>
      <c r="I533" s="118">
        <v>3.4722222222222224E-4</v>
      </c>
      <c r="J533"/>
      <c r="K533"/>
    </row>
    <row r="534" spans="1:11" x14ac:dyDescent="0.25">
      <c r="A534">
        <v>4</v>
      </c>
      <c r="B534">
        <v>3</v>
      </c>
      <c r="C534"/>
      <c r="D534" t="s">
        <v>31</v>
      </c>
      <c r="E534" t="s">
        <v>32</v>
      </c>
      <c r="F534" t="s">
        <v>47</v>
      </c>
      <c r="G534" s="118">
        <v>0.30995370370370373</v>
      </c>
      <c r="H534" s="118">
        <v>5.2083333333333333E-4</v>
      </c>
      <c r="I534" s="118">
        <v>8.7962962962962962E-4</v>
      </c>
      <c r="J534" s="118">
        <v>5.0462962962962961E-3</v>
      </c>
      <c r="K534" s="118">
        <v>5.0462962962962961E-3</v>
      </c>
    </row>
    <row r="535" spans="1:11" x14ac:dyDescent="0.25">
      <c r="A535">
        <v>7</v>
      </c>
      <c r="B535">
        <v>1</v>
      </c>
      <c r="C535"/>
      <c r="D535" t="s">
        <v>31</v>
      </c>
      <c r="E535" t="s">
        <v>32</v>
      </c>
      <c r="F535" t="s">
        <v>45</v>
      </c>
      <c r="G535" s="118">
        <v>0.31017361111111114</v>
      </c>
      <c r="H535" s="118">
        <v>3.4722222222222224E-4</v>
      </c>
      <c r="I535" s="118">
        <v>1.0416666666666667E-3</v>
      </c>
      <c r="J535" s="118">
        <v>5.0462962962962961E-3</v>
      </c>
      <c r="K535" s="118">
        <v>5.0462962962962961E-3</v>
      </c>
    </row>
    <row r="536" spans="1:11" x14ac:dyDescent="0.25">
      <c r="A536">
        <v>6</v>
      </c>
      <c r="B536">
        <v>3</v>
      </c>
      <c r="C536"/>
      <c r="D536" t="s">
        <v>31</v>
      </c>
      <c r="E536" t="s">
        <v>35</v>
      </c>
      <c r="F536" t="s">
        <v>42</v>
      </c>
      <c r="G536" s="118">
        <v>0.31060185185185185</v>
      </c>
      <c r="H536" s="118">
        <v>9.0277777777777784E-4</v>
      </c>
      <c r="I536" s="118">
        <v>3.4722222222222224E-4</v>
      </c>
      <c r="J536"/>
      <c r="K536"/>
    </row>
    <row r="537" spans="1:11" x14ac:dyDescent="0.25">
      <c r="A537">
        <v>2</v>
      </c>
      <c r="B537">
        <v>3</v>
      </c>
      <c r="C537"/>
      <c r="D537" t="s">
        <v>31</v>
      </c>
      <c r="E537" t="s">
        <v>35</v>
      </c>
      <c r="F537" t="s">
        <v>44</v>
      </c>
      <c r="G537" s="118">
        <v>0.31082175925925926</v>
      </c>
      <c r="H537" s="118">
        <v>1.0069444444444444E-3</v>
      </c>
      <c r="I537" s="118">
        <v>3.4722222222222224E-4</v>
      </c>
      <c r="J537"/>
      <c r="K537"/>
    </row>
    <row r="538" spans="1:11" x14ac:dyDescent="0.25">
      <c r="A538">
        <v>1</v>
      </c>
      <c r="B538">
        <v>2</v>
      </c>
      <c r="C538"/>
      <c r="D538" t="s">
        <v>31</v>
      </c>
      <c r="E538" t="s">
        <v>35</v>
      </c>
      <c r="F538" t="s">
        <v>43</v>
      </c>
      <c r="G538" s="118">
        <v>0.31083333333333335</v>
      </c>
      <c r="H538" s="118">
        <v>1.0995370370370371E-3</v>
      </c>
      <c r="I538" s="118">
        <v>3.4722222222222224E-4</v>
      </c>
      <c r="J538"/>
      <c r="K538"/>
    </row>
    <row r="539" spans="1:11" x14ac:dyDescent="0.25">
      <c r="A539">
        <v>4</v>
      </c>
      <c r="B539">
        <v>3</v>
      </c>
      <c r="C539"/>
      <c r="D539" t="s">
        <v>31</v>
      </c>
      <c r="E539" t="s">
        <v>35</v>
      </c>
      <c r="F539" t="s">
        <v>53</v>
      </c>
      <c r="G539" s="118">
        <v>0.31083333333333335</v>
      </c>
      <c r="H539" s="118">
        <v>8.7962962962962962E-4</v>
      </c>
      <c r="I539" s="118">
        <v>3.4722222222222224E-4</v>
      </c>
      <c r="J539"/>
      <c r="K539"/>
    </row>
    <row r="540" spans="1:11" x14ac:dyDescent="0.25">
      <c r="A540">
        <v>6</v>
      </c>
      <c r="B540">
        <v>3</v>
      </c>
      <c r="C540"/>
      <c r="D540" t="s">
        <v>31</v>
      </c>
      <c r="E540" t="s">
        <v>32</v>
      </c>
      <c r="F540" t="s">
        <v>42</v>
      </c>
      <c r="G540" s="118">
        <v>0.31094907407407407</v>
      </c>
      <c r="H540" s="118">
        <v>3.4722222222222224E-4</v>
      </c>
      <c r="I540" s="118">
        <v>9.1435185185185185E-4</v>
      </c>
      <c r="J540" s="118">
        <v>5.8912037037037032E-3</v>
      </c>
      <c r="K540" s="118">
        <v>5.8912037037037032E-3</v>
      </c>
    </row>
    <row r="541" spans="1:11" x14ac:dyDescent="0.25">
      <c r="A541">
        <v>2</v>
      </c>
      <c r="B541">
        <v>3</v>
      </c>
      <c r="C541"/>
      <c r="D541" t="s">
        <v>31</v>
      </c>
      <c r="E541" t="s">
        <v>32</v>
      </c>
      <c r="F541" t="s">
        <v>44</v>
      </c>
      <c r="G541" s="118">
        <v>0.31116898148148148</v>
      </c>
      <c r="H541" s="118">
        <v>3.4722222222222224E-4</v>
      </c>
      <c r="I541" s="118">
        <v>9.2592592592592585E-4</v>
      </c>
      <c r="J541" s="118">
        <v>5.8912037037037032E-3</v>
      </c>
      <c r="K541" s="118">
        <v>5.8912037037037032E-3</v>
      </c>
    </row>
    <row r="542" spans="1:11" x14ac:dyDescent="0.25">
      <c r="A542">
        <v>1</v>
      </c>
      <c r="B542">
        <v>2</v>
      </c>
      <c r="C542"/>
      <c r="D542" t="s">
        <v>31</v>
      </c>
      <c r="E542" t="s">
        <v>32</v>
      </c>
      <c r="F542" t="s">
        <v>43</v>
      </c>
      <c r="G542" s="118">
        <v>0.31118055555555557</v>
      </c>
      <c r="H542" s="118">
        <v>3.4722222222222224E-4</v>
      </c>
      <c r="I542" s="118">
        <v>1.1458333333333333E-3</v>
      </c>
      <c r="J542" s="118">
        <v>5.8912037037037032E-3</v>
      </c>
      <c r="K542" s="118">
        <v>5.8912037037037032E-3</v>
      </c>
    </row>
    <row r="543" spans="1:11" x14ac:dyDescent="0.25">
      <c r="A543">
        <v>3</v>
      </c>
      <c r="B543">
        <v>3</v>
      </c>
      <c r="C543"/>
      <c r="D543" t="s">
        <v>31</v>
      </c>
      <c r="E543" t="s">
        <v>35</v>
      </c>
      <c r="F543" t="s">
        <v>46</v>
      </c>
      <c r="G543" s="118">
        <v>0.31118055555555557</v>
      </c>
      <c r="H543" s="118">
        <v>1.8055555555555557E-3</v>
      </c>
      <c r="I543" s="118">
        <v>3.4722222222222224E-4</v>
      </c>
      <c r="J543"/>
      <c r="K543"/>
    </row>
    <row r="544" spans="1:11" x14ac:dyDescent="0.25">
      <c r="A544">
        <v>4</v>
      </c>
      <c r="B544">
        <v>3</v>
      </c>
      <c r="C544"/>
      <c r="D544" t="s">
        <v>31</v>
      </c>
      <c r="E544" t="s">
        <v>32</v>
      </c>
      <c r="F544" t="s">
        <v>53</v>
      </c>
      <c r="G544" s="118">
        <v>0.31118055555555557</v>
      </c>
      <c r="H544" s="118">
        <v>3.4722222222222224E-4</v>
      </c>
      <c r="I544" s="118">
        <v>8.449074074074075E-4</v>
      </c>
      <c r="J544" s="118">
        <v>5.0462962962962961E-3</v>
      </c>
      <c r="K544" s="118">
        <v>5.0462962962962961E-3</v>
      </c>
    </row>
    <row r="545" spans="1:11" x14ac:dyDescent="0.25">
      <c r="A545">
        <v>7</v>
      </c>
      <c r="B545">
        <v>1</v>
      </c>
      <c r="C545"/>
      <c r="D545" t="s">
        <v>31</v>
      </c>
      <c r="E545" t="s">
        <v>35</v>
      </c>
      <c r="F545" t="s">
        <v>52</v>
      </c>
      <c r="G545" s="118">
        <v>0.31121527777777774</v>
      </c>
      <c r="H545" s="118">
        <v>1.0416666666666667E-3</v>
      </c>
      <c r="I545" s="118">
        <v>3.4722222222222224E-4</v>
      </c>
      <c r="J545"/>
      <c r="K545"/>
    </row>
    <row r="546" spans="1:11" x14ac:dyDescent="0.25">
      <c r="A546">
        <v>3</v>
      </c>
      <c r="B546">
        <v>3</v>
      </c>
      <c r="C546"/>
      <c r="D546" t="s">
        <v>31</v>
      </c>
      <c r="E546" t="s">
        <v>32</v>
      </c>
      <c r="F546" t="s">
        <v>46</v>
      </c>
      <c r="G546" s="118">
        <v>0.31152777777777779</v>
      </c>
      <c r="H546" s="118">
        <v>3.4722222222222224E-4</v>
      </c>
      <c r="I546" s="118">
        <v>9.1435185185185185E-4</v>
      </c>
      <c r="J546" s="118">
        <v>5.8912037037037032E-3</v>
      </c>
      <c r="K546" s="118">
        <v>5.0462962962962961E-3</v>
      </c>
    </row>
    <row r="547" spans="1:11" x14ac:dyDescent="0.25">
      <c r="A547">
        <v>7</v>
      </c>
      <c r="B547">
        <v>1</v>
      </c>
      <c r="C547"/>
      <c r="D547" t="s">
        <v>31</v>
      </c>
      <c r="E547" t="s">
        <v>32</v>
      </c>
      <c r="F547" t="s">
        <v>52</v>
      </c>
      <c r="G547" s="118">
        <v>0.31156250000000002</v>
      </c>
      <c r="H547" s="118">
        <v>3.4722222222222224E-4</v>
      </c>
      <c r="I547" s="118">
        <v>1.0532407407407407E-3</v>
      </c>
      <c r="J547" s="118">
        <v>5.0462962962962961E-3</v>
      </c>
      <c r="K547" s="118">
        <v>5.0462962962962961E-3</v>
      </c>
    </row>
    <row r="548" spans="1:11" x14ac:dyDescent="0.25">
      <c r="A548">
        <v>6</v>
      </c>
      <c r="B548">
        <v>3</v>
      </c>
      <c r="C548"/>
      <c r="D548" t="s">
        <v>31</v>
      </c>
      <c r="E548" t="s">
        <v>35</v>
      </c>
      <c r="F548" t="s">
        <v>48</v>
      </c>
      <c r="G548" s="118">
        <v>0.31186342592592592</v>
      </c>
      <c r="H548" s="118">
        <v>9.1435185185185185E-4</v>
      </c>
      <c r="I548" s="118">
        <v>5.2083333333333333E-4</v>
      </c>
      <c r="J548"/>
      <c r="K548"/>
    </row>
    <row r="549" spans="1:11" x14ac:dyDescent="0.25">
      <c r="A549">
        <v>4</v>
      </c>
      <c r="B549">
        <v>3</v>
      </c>
      <c r="C549"/>
      <c r="D549" t="s">
        <v>31</v>
      </c>
      <c r="E549" t="s">
        <v>35</v>
      </c>
      <c r="F549" t="s">
        <v>34</v>
      </c>
      <c r="G549" s="118">
        <v>0.31202546296296296</v>
      </c>
      <c r="H549" s="118">
        <v>8.449074074074075E-4</v>
      </c>
      <c r="I549" s="118">
        <v>3.4722222222222224E-4</v>
      </c>
      <c r="J549"/>
      <c r="K549"/>
    </row>
    <row r="550" spans="1:11" x14ac:dyDescent="0.25">
      <c r="A550">
        <v>2</v>
      </c>
      <c r="B550">
        <v>3</v>
      </c>
      <c r="C550"/>
      <c r="D550" t="s">
        <v>31</v>
      </c>
      <c r="E550" t="s">
        <v>35</v>
      </c>
      <c r="F550" t="s">
        <v>49</v>
      </c>
      <c r="G550" s="118">
        <v>0.31209490740740742</v>
      </c>
      <c r="H550" s="118">
        <v>9.2592592592592585E-4</v>
      </c>
      <c r="I550" s="118">
        <v>3.4722222222222224E-4</v>
      </c>
      <c r="J550"/>
      <c r="K550"/>
    </row>
    <row r="551" spans="1:11" x14ac:dyDescent="0.25">
      <c r="A551">
        <v>5</v>
      </c>
      <c r="B551">
        <v>4</v>
      </c>
      <c r="C551"/>
      <c r="D551" t="s">
        <v>31</v>
      </c>
      <c r="E551" t="s">
        <v>32</v>
      </c>
      <c r="F551" t="s">
        <v>92</v>
      </c>
      <c r="G551" s="118">
        <v>0.3122685185185185</v>
      </c>
      <c r="H551" s="118">
        <v>3.3680555555555551E-3</v>
      </c>
      <c r="I551" s="118">
        <v>1.0069444444444444E-3</v>
      </c>
      <c r="J551" s="118">
        <v>5.0462962962962961E-3</v>
      </c>
      <c r="K551" s="118">
        <v>5.0462962962962961E-3</v>
      </c>
    </row>
    <row r="552" spans="1:11" x14ac:dyDescent="0.25">
      <c r="A552">
        <v>1</v>
      </c>
      <c r="B552">
        <v>2</v>
      </c>
      <c r="C552"/>
      <c r="D552" t="s">
        <v>31</v>
      </c>
      <c r="E552" t="s">
        <v>35</v>
      </c>
      <c r="F552" t="s">
        <v>50</v>
      </c>
      <c r="G552" s="118">
        <v>0.31232638888888892</v>
      </c>
      <c r="H552" s="118">
        <v>1.1458333333333333E-3</v>
      </c>
      <c r="I552" s="118">
        <v>3.4722222222222224E-4</v>
      </c>
      <c r="J552"/>
      <c r="K552"/>
    </row>
    <row r="553" spans="1:11" x14ac:dyDescent="0.25">
      <c r="A553">
        <v>4</v>
      </c>
      <c r="B553">
        <v>3</v>
      </c>
      <c r="C553"/>
      <c r="D553" t="s">
        <v>31</v>
      </c>
      <c r="E553" t="s">
        <v>32</v>
      </c>
      <c r="F553" t="s">
        <v>34</v>
      </c>
      <c r="G553" s="118">
        <v>0.31237268518518518</v>
      </c>
      <c r="H553" s="118">
        <v>3.4722222222222224E-4</v>
      </c>
      <c r="I553" s="118">
        <v>9.1435185185185185E-4</v>
      </c>
      <c r="J553" s="118">
        <v>5.0462962962962961E-3</v>
      </c>
      <c r="K553" s="118">
        <v>5.0462962962962961E-3</v>
      </c>
    </row>
    <row r="554" spans="1:11" x14ac:dyDescent="0.25">
      <c r="A554">
        <v>6</v>
      </c>
      <c r="B554">
        <v>3</v>
      </c>
      <c r="C554"/>
      <c r="D554" t="s">
        <v>31</v>
      </c>
      <c r="E554" t="s">
        <v>32</v>
      </c>
      <c r="F554" t="s">
        <v>48</v>
      </c>
      <c r="G554" s="118">
        <v>0.31238425925925922</v>
      </c>
      <c r="H554" s="118">
        <v>5.2083333333333333E-4</v>
      </c>
      <c r="I554" s="118">
        <v>8.6805555555555551E-4</v>
      </c>
      <c r="J554" s="118">
        <v>5.8912037037037032E-3</v>
      </c>
      <c r="K554" s="118">
        <v>5.8912037037037032E-3</v>
      </c>
    </row>
    <row r="555" spans="1:11" x14ac:dyDescent="0.25">
      <c r="A555">
        <v>2</v>
      </c>
      <c r="B555">
        <v>3</v>
      </c>
      <c r="C555"/>
      <c r="D555" t="s">
        <v>31</v>
      </c>
      <c r="E555" t="s">
        <v>32</v>
      </c>
      <c r="F555" t="s">
        <v>49</v>
      </c>
      <c r="G555" s="118">
        <v>0.31244212962962964</v>
      </c>
      <c r="H555" s="118">
        <v>3.4722222222222224E-4</v>
      </c>
      <c r="I555" s="118">
        <v>1.3541666666666667E-3</v>
      </c>
      <c r="J555" s="118">
        <v>5.8912037037037032E-3</v>
      </c>
      <c r="K555" s="118">
        <v>5.8912037037037032E-3</v>
      </c>
    </row>
    <row r="556" spans="1:11" x14ac:dyDescent="0.25">
      <c r="A556">
        <v>3</v>
      </c>
      <c r="B556">
        <v>3</v>
      </c>
      <c r="C556"/>
      <c r="D556" t="s">
        <v>31</v>
      </c>
      <c r="E556" t="s">
        <v>35</v>
      </c>
      <c r="F556" t="s">
        <v>51</v>
      </c>
      <c r="G556" s="118">
        <v>0.31244212962962964</v>
      </c>
      <c r="H556" s="118">
        <v>9.1435185185185185E-4</v>
      </c>
      <c r="I556" s="118">
        <v>3.4722222222222224E-4</v>
      </c>
      <c r="J556"/>
      <c r="K556"/>
    </row>
    <row r="557" spans="1:11" x14ac:dyDescent="0.25">
      <c r="A557">
        <v>7</v>
      </c>
      <c r="B557">
        <v>1</v>
      </c>
      <c r="C557"/>
      <c r="D557" t="s">
        <v>31</v>
      </c>
      <c r="E557" t="s">
        <v>35</v>
      </c>
      <c r="F557" t="s">
        <v>57</v>
      </c>
      <c r="G557" s="118">
        <v>0.31261574074074078</v>
      </c>
      <c r="H557" s="118">
        <v>1.0532407407407407E-3</v>
      </c>
      <c r="I557" s="118">
        <v>3.4722222222222224E-4</v>
      </c>
      <c r="J557"/>
      <c r="K557"/>
    </row>
    <row r="558" spans="1:11" x14ac:dyDescent="0.25">
      <c r="A558">
        <v>1</v>
      </c>
      <c r="B558">
        <v>2</v>
      </c>
      <c r="C558"/>
      <c r="D558" t="s">
        <v>31</v>
      </c>
      <c r="E558" t="s">
        <v>32</v>
      </c>
      <c r="F558" t="s">
        <v>50</v>
      </c>
      <c r="G558" s="118">
        <v>0.31267361111111108</v>
      </c>
      <c r="H558" s="118">
        <v>3.4722222222222224E-4</v>
      </c>
      <c r="I558" s="118">
        <v>1.261574074074074E-3</v>
      </c>
      <c r="J558" s="118">
        <v>5.8912037037037032E-3</v>
      </c>
      <c r="K558" s="118">
        <v>5.8912037037037032E-3</v>
      </c>
    </row>
    <row r="559" spans="1:11" x14ac:dyDescent="0.25">
      <c r="A559">
        <v>3</v>
      </c>
      <c r="B559">
        <v>3</v>
      </c>
      <c r="C559"/>
      <c r="D559" t="s">
        <v>31</v>
      </c>
      <c r="E559" t="s">
        <v>32</v>
      </c>
      <c r="F559" t="s">
        <v>51</v>
      </c>
      <c r="G559" s="118">
        <v>0.31278935185185186</v>
      </c>
      <c r="H559" s="118">
        <v>3.4722222222222224E-4</v>
      </c>
      <c r="I559" s="118">
        <v>1.0069444444444444E-3</v>
      </c>
      <c r="J559" s="118">
        <v>5.8912037037037032E-3</v>
      </c>
      <c r="K559" s="118">
        <v>5.0462962962962961E-3</v>
      </c>
    </row>
    <row r="560" spans="1:11" x14ac:dyDescent="0.25">
      <c r="A560">
        <v>7</v>
      </c>
      <c r="B560">
        <v>1</v>
      </c>
      <c r="C560"/>
      <c r="D560" t="s">
        <v>31</v>
      </c>
      <c r="E560" t="s">
        <v>32</v>
      </c>
      <c r="F560" t="s">
        <v>57</v>
      </c>
      <c r="G560" s="118">
        <v>0.31296296296296294</v>
      </c>
      <c r="H560" s="118">
        <v>3.4722222222222224E-4</v>
      </c>
      <c r="I560" s="118">
        <v>9.3750000000000007E-4</v>
      </c>
      <c r="J560" s="118">
        <v>5.0462962962962961E-3</v>
      </c>
      <c r="K560" s="118">
        <v>5.0462962962962961E-3</v>
      </c>
    </row>
    <row r="561" spans="1:11" x14ac:dyDescent="0.25">
      <c r="A561">
        <v>6</v>
      </c>
      <c r="B561">
        <v>3</v>
      </c>
      <c r="C561"/>
      <c r="D561" t="s">
        <v>31</v>
      </c>
      <c r="E561" t="s">
        <v>35</v>
      </c>
      <c r="F561" t="s">
        <v>54</v>
      </c>
      <c r="G561" s="118">
        <v>0.3132523148148148</v>
      </c>
      <c r="H561" s="118">
        <v>8.6805555555555551E-4</v>
      </c>
      <c r="I561" s="118">
        <v>3.4722222222222224E-4</v>
      </c>
      <c r="J561"/>
      <c r="K561"/>
    </row>
    <row r="562" spans="1:11" x14ac:dyDescent="0.25">
      <c r="A562">
        <v>5</v>
      </c>
      <c r="B562">
        <v>4</v>
      </c>
      <c r="C562"/>
      <c r="D562" t="s">
        <v>31</v>
      </c>
      <c r="E562" t="s">
        <v>35</v>
      </c>
      <c r="F562" t="s">
        <v>41</v>
      </c>
      <c r="G562" s="118">
        <v>0.31327546296296299</v>
      </c>
      <c r="H562" s="118">
        <v>1.0069444444444444E-3</v>
      </c>
      <c r="I562" s="118">
        <v>3.4722222222222224E-4</v>
      </c>
      <c r="J562"/>
      <c r="K562"/>
    </row>
    <row r="563" spans="1:11" x14ac:dyDescent="0.25">
      <c r="A563">
        <v>4</v>
      </c>
      <c r="B563">
        <v>3</v>
      </c>
      <c r="C563"/>
      <c r="D563" t="s">
        <v>31</v>
      </c>
      <c r="E563" t="s">
        <v>35</v>
      </c>
      <c r="F563" t="s">
        <v>38</v>
      </c>
      <c r="G563" s="118">
        <v>0.31328703703703703</v>
      </c>
      <c r="H563" s="118">
        <v>9.1435185185185185E-4</v>
      </c>
      <c r="I563" s="118">
        <v>3.4722222222222224E-4</v>
      </c>
      <c r="J563"/>
      <c r="K563"/>
    </row>
    <row r="564" spans="1:11" x14ac:dyDescent="0.25">
      <c r="A564">
        <v>6</v>
      </c>
      <c r="B564">
        <v>3</v>
      </c>
      <c r="C564"/>
      <c r="D564" t="s">
        <v>31</v>
      </c>
      <c r="E564" t="s">
        <v>32</v>
      </c>
      <c r="F564" t="s">
        <v>54</v>
      </c>
      <c r="G564" s="118">
        <v>0.31359953703703702</v>
      </c>
      <c r="H564" s="118">
        <v>3.4722222222222224E-4</v>
      </c>
      <c r="I564" s="118">
        <v>1.1921296296296296E-3</v>
      </c>
      <c r="J564" s="118">
        <v>5.8912037037037032E-3</v>
      </c>
      <c r="K564" s="118">
        <v>5.8912037037037032E-3</v>
      </c>
    </row>
    <row r="565" spans="1:11" x14ac:dyDescent="0.25">
      <c r="A565">
        <v>5</v>
      </c>
      <c r="B565">
        <v>4</v>
      </c>
      <c r="C565"/>
      <c r="D565" t="s">
        <v>31</v>
      </c>
      <c r="E565" t="s">
        <v>32</v>
      </c>
      <c r="F565" t="s">
        <v>41</v>
      </c>
      <c r="G565" s="118">
        <v>0.31362268518518516</v>
      </c>
      <c r="H565" s="118">
        <v>3.4722222222222224E-4</v>
      </c>
      <c r="I565" s="118">
        <v>8.564814814814815E-4</v>
      </c>
      <c r="J565" s="118">
        <v>5.0462962962962961E-3</v>
      </c>
      <c r="K565" s="118">
        <v>5.0462962962962961E-3</v>
      </c>
    </row>
    <row r="566" spans="1:11" x14ac:dyDescent="0.25">
      <c r="A566">
        <v>4</v>
      </c>
      <c r="B566">
        <v>3</v>
      </c>
      <c r="C566"/>
      <c r="D566" t="s">
        <v>31</v>
      </c>
      <c r="E566" t="s">
        <v>32</v>
      </c>
      <c r="F566" t="s">
        <v>38</v>
      </c>
      <c r="G566" s="118">
        <v>0.31363425925925925</v>
      </c>
      <c r="H566" s="118">
        <v>3.4722222222222224E-4</v>
      </c>
      <c r="I566" s="118">
        <v>1.2384259259259258E-3</v>
      </c>
      <c r="J566" s="118">
        <v>5.0462962962962961E-3</v>
      </c>
      <c r="K566" s="118">
        <v>5.0462962962962961E-3</v>
      </c>
    </row>
    <row r="567" spans="1:11" x14ac:dyDescent="0.25">
      <c r="A567">
        <v>2</v>
      </c>
      <c r="B567">
        <v>3</v>
      </c>
      <c r="C567"/>
      <c r="D567" t="s">
        <v>31</v>
      </c>
      <c r="E567" t="s">
        <v>35</v>
      </c>
      <c r="F567" t="s">
        <v>33</v>
      </c>
      <c r="G567" s="118">
        <v>0.3137962962962963</v>
      </c>
      <c r="H567" s="118">
        <v>1.3541666666666667E-3</v>
      </c>
      <c r="I567" s="118">
        <v>5.2083333333333333E-4</v>
      </c>
      <c r="J567"/>
      <c r="K567"/>
    </row>
    <row r="568" spans="1:11" x14ac:dyDescent="0.25">
      <c r="A568">
        <v>3</v>
      </c>
      <c r="B568">
        <v>3</v>
      </c>
      <c r="C568"/>
      <c r="D568" t="s">
        <v>31</v>
      </c>
      <c r="E568" t="s">
        <v>35</v>
      </c>
      <c r="F568" t="s">
        <v>55</v>
      </c>
      <c r="G568" s="118">
        <v>0.3137962962962963</v>
      </c>
      <c r="H568" s="118">
        <v>1.0069444444444444E-3</v>
      </c>
      <c r="I568" s="118">
        <v>4.6296296296296293E-4</v>
      </c>
      <c r="J568"/>
      <c r="K568"/>
    </row>
    <row r="569" spans="1:11" x14ac:dyDescent="0.25">
      <c r="A569">
        <v>7</v>
      </c>
      <c r="B569">
        <v>1</v>
      </c>
      <c r="C569"/>
      <c r="D569" t="s">
        <v>31</v>
      </c>
      <c r="E569" t="s">
        <v>35</v>
      </c>
      <c r="F569" t="s">
        <v>39</v>
      </c>
      <c r="G569" s="118">
        <v>0.31390046296296298</v>
      </c>
      <c r="H569" s="118">
        <v>9.3750000000000007E-4</v>
      </c>
      <c r="I569" s="118">
        <v>5.2083333333333333E-4</v>
      </c>
      <c r="J569"/>
      <c r="K569"/>
    </row>
    <row r="570" spans="1:11" x14ac:dyDescent="0.25">
      <c r="A570">
        <v>1</v>
      </c>
      <c r="B570">
        <v>2</v>
      </c>
      <c r="C570"/>
      <c r="D570" t="s">
        <v>31</v>
      </c>
      <c r="E570" t="s">
        <v>35</v>
      </c>
      <c r="F570" t="s">
        <v>56</v>
      </c>
      <c r="G570" s="118">
        <v>0.31393518518518521</v>
      </c>
      <c r="H570" s="118">
        <v>1.261574074074074E-3</v>
      </c>
      <c r="I570" s="118">
        <v>3.4722222222222224E-4</v>
      </c>
      <c r="J570"/>
      <c r="K570"/>
    </row>
    <row r="571" spans="1:11" x14ac:dyDescent="0.25">
      <c r="A571">
        <v>3</v>
      </c>
      <c r="B571">
        <v>3</v>
      </c>
      <c r="C571"/>
      <c r="D571" t="s">
        <v>31</v>
      </c>
      <c r="E571" t="s">
        <v>32</v>
      </c>
      <c r="F571" t="s">
        <v>55</v>
      </c>
      <c r="G571" s="118">
        <v>0.31425925925925924</v>
      </c>
      <c r="H571" s="118">
        <v>4.6296296296296293E-4</v>
      </c>
      <c r="I571" s="118">
        <v>4.3981481481481481E-4</v>
      </c>
      <c r="J571" s="118">
        <v>5.8912037037037032E-3</v>
      </c>
      <c r="K571" s="118">
        <v>5.0462962962962961E-3</v>
      </c>
    </row>
    <row r="572" spans="1:11" x14ac:dyDescent="0.25">
      <c r="A572">
        <v>1</v>
      </c>
      <c r="B572">
        <v>2</v>
      </c>
      <c r="C572"/>
      <c r="D572" t="s">
        <v>31</v>
      </c>
      <c r="E572" t="s">
        <v>32</v>
      </c>
      <c r="F572" t="s">
        <v>56</v>
      </c>
      <c r="G572" s="118">
        <v>0.31428240740740737</v>
      </c>
      <c r="H572" s="118">
        <v>3.4722222222222224E-4</v>
      </c>
      <c r="I572" s="118">
        <v>9.6064814814814808E-4</v>
      </c>
      <c r="J572" s="118">
        <v>5.8912037037037032E-3</v>
      </c>
      <c r="K572" s="118">
        <v>5.8912037037037032E-3</v>
      </c>
    </row>
    <row r="573" spans="1:11" x14ac:dyDescent="0.25">
      <c r="A573">
        <v>2</v>
      </c>
      <c r="B573">
        <v>3</v>
      </c>
      <c r="C573"/>
      <c r="D573" t="s">
        <v>31</v>
      </c>
      <c r="E573" t="s">
        <v>32</v>
      </c>
      <c r="F573" t="s">
        <v>33</v>
      </c>
      <c r="G573" s="118">
        <v>0.3143171296296296</v>
      </c>
      <c r="H573" s="118">
        <v>5.2083333333333333E-4</v>
      </c>
      <c r="I573" s="118">
        <v>9.6064814814814808E-4</v>
      </c>
      <c r="J573" s="118">
        <v>5.8912037037037032E-3</v>
      </c>
      <c r="K573" s="118">
        <v>5.8912037037037032E-3</v>
      </c>
    </row>
    <row r="574" spans="1:11" x14ac:dyDescent="0.25">
      <c r="A574">
        <v>7</v>
      </c>
      <c r="B574">
        <v>1</v>
      </c>
      <c r="C574"/>
      <c r="D574" t="s">
        <v>31</v>
      </c>
      <c r="E574" t="s">
        <v>32</v>
      </c>
      <c r="F574" t="s">
        <v>39</v>
      </c>
      <c r="G574" s="118">
        <v>0.31442129629629628</v>
      </c>
      <c r="H574" s="118">
        <v>5.2083333333333333E-4</v>
      </c>
      <c r="I574" s="118">
        <v>1.8055555555555557E-3</v>
      </c>
      <c r="J574" s="118">
        <v>5.0462962962962961E-3</v>
      </c>
      <c r="K574" s="118">
        <v>5.0462962962962961E-3</v>
      </c>
    </row>
    <row r="575" spans="1:11" x14ac:dyDescent="0.25">
      <c r="A575">
        <v>5</v>
      </c>
      <c r="B575">
        <v>4</v>
      </c>
      <c r="C575"/>
      <c r="D575" t="s">
        <v>31</v>
      </c>
      <c r="E575" t="s">
        <v>35</v>
      </c>
      <c r="F575" t="s">
        <v>47</v>
      </c>
      <c r="G575" s="118">
        <v>0.3144791666666667</v>
      </c>
      <c r="H575" s="118">
        <v>8.564814814814815E-4</v>
      </c>
      <c r="I575" s="118">
        <v>5.2083333333333333E-4</v>
      </c>
      <c r="J575"/>
      <c r="K575"/>
    </row>
    <row r="576" spans="1:11" x14ac:dyDescent="0.25">
      <c r="A576">
        <v>3</v>
      </c>
      <c r="B576">
        <v>3</v>
      </c>
      <c r="C576"/>
      <c r="D576" t="s">
        <v>31</v>
      </c>
      <c r="E576" t="s">
        <v>35</v>
      </c>
      <c r="F576" t="s">
        <v>58</v>
      </c>
      <c r="G576" s="118">
        <v>0.3146990740740741</v>
      </c>
      <c r="H576" s="118">
        <v>4.3981481481481481E-4</v>
      </c>
      <c r="I576" s="118">
        <v>5.7870370370370366E-5</v>
      </c>
      <c r="J576"/>
      <c r="K576"/>
    </row>
    <row r="577" spans="1:11" x14ac:dyDescent="0.25">
      <c r="A577">
        <v>3</v>
      </c>
      <c r="B577">
        <v>3</v>
      </c>
      <c r="C577"/>
      <c r="D577" t="s">
        <v>31</v>
      </c>
      <c r="E577" t="s">
        <v>32</v>
      </c>
      <c r="F577" t="s">
        <v>58</v>
      </c>
      <c r="G577" s="118">
        <v>0.31475694444444446</v>
      </c>
      <c r="H577" s="118">
        <v>5.7870370370370366E-5</v>
      </c>
      <c r="I577" s="118">
        <v>4.8611111111111104E-4</v>
      </c>
      <c r="J577" s="118">
        <v>5.8912037037037032E-3</v>
      </c>
      <c r="K577" s="118">
        <v>5.0462962962962961E-3</v>
      </c>
    </row>
    <row r="578" spans="1:11" x14ac:dyDescent="0.25">
      <c r="A578">
        <v>6</v>
      </c>
      <c r="B578">
        <v>3</v>
      </c>
      <c r="C578"/>
      <c r="D578" t="s">
        <v>31</v>
      </c>
      <c r="E578" t="s">
        <v>35</v>
      </c>
      <c r="F578" t="s">
        <v>92</v>
      </c>
      <c r="G578" s="118">
        <v>0.31479166666666664</v>
      </c>
      <c r="H578" s="118">
        <v>1.1921296296296296E-3</v>
      </c>
      <c r="I578" s="118">
        <v>2.5231481481481481E-3</v>
      </c>
      <c r="J578"/>
      <c r="K578"/>
    </row>
    <row r="579" spans="1:11" x14ac:dyDescent="0.25">
      <c r="A579">
        <v>4</v>
      </c>
      <c r="B579">
        <v>3</v>
      </c>
      <c r="C579"/>
      <c r="D579" t="s">
        <v>31</v>
      </c>
      <c r="E579" t="s">
        <v>35</v>
      </c>
      <c r="F579" t="s">
        <v>45</v>
      </c>
      <c r="G579" s="118">
        <v>0.31487268518518519</v>
      </c>
      <c r="H579" s="118">
        <v>1.2384259259259258E-3</v>
      </c>
      <c r="I579" s="118">
        <v>3.4722222222222224E-4</v>
      </c>
      <c r="J579"/>
      <c r="K579"/>
    </row>
    <row r="580" spans="1:11" x14ac:dyDescent="0.25">
      <c r="A580">
        <v>5</v>
      </c>
      <c r="B580">
        <v>4</v>
      </c>
      <c r="C580"/>
      <c r="D580" t="s">
        <v>31</v>
      </c>
      <c r="E580" t="s">
        <v>32</v>
      </c>
      <c r="F580" t="s">
        <v>47</v>
      </c>
      <c r="G580" s="118">
        <v>0.315</v>
      </c>
      <c r="H580" s="118">
        <v>5.2083333333333333E-4</v>
      </c>
      <c r="I580" s="118">
        <v>8.7962962962962962E-4</v>
      </c>
      <c r="J580" s="118">
        <v>5.0462962962962961E-3</v>
      </c>
      <c r="K580" s="118">
        <v>5.0462962962962961E-3</v>
      </c>
    </row>
    <row r="581" spans="1:11" x14ac:dyDescent="0.25">
      <c r="A581">
        <v>4</v>
      </c>
      <c r="B581">
        <v>3</v>
      </c>
      <c r="C581"/>
      <c r="D581" t="s">
        <v>31</v>
      </c>
      <c r="E581" t="s">
        <v>32</v>
      </c>
      <c r="F581" t="s">
        <v>45</v>
      </c>
      <c r="G581" s="118">
        <v>0.31521990740740741</v>
      </c>
      <c r="H581" s="118">
        <v>3.4722222222222224E-4</v>
      </c>
      <c r="I581" s="118">
        <v>1.0416666666666667E-3</v>
      </c>
      <c r="J581" s="118">
        <v>5.0462962962962961E-3</v>
      </c>
      <c r="K581" s="118">
        <v>5.0462962962962961E-3</v>
      </c>
    </row>
    <row r="582" spans="1:11" x14ac:dyDescent="0.25">
      <c r="A582">
        <v>1</v>
      </c>
      <c r="B582">
        <v>2</v>
      </c>
      <c r="C582"/>
      <c r="D582" t="s">
        <v>31</v>
      </c>
      <c r="E582" t="s">
        <v>35</v>
      </c>
      <c r="F582" t="s">
        <v>37</v>
      </c>
      <c r="G582" s="118">
        <v>0.3152430555555556</v>
      </c>
      <c r="H582" s="118">
        <v>9.6064814814814808E-4</v>
      </c>
      <c r="I582" s="118">
        <v>3.4722222222222224E-4</v>
      </c>
      <c r="J582"/>
      <c r="K582"/>
    </row>
    <row r="583" spans="1:11" x14ac:dyDescent="0.25">
      <c r="A583">
        <v>3</v>
      </c>
      <c r="B583">
        <v>3</v>
      </c>
      <c r="C583"/>
      <c r="D583" t="s">
        <v>31</v>
      </c>
      <c r="E583" t="s">
        <v>35</v>
      </c>
      <c r="F583" t="s">
        <v>40</v>
      </c>
      <c r="G583" s="118">
        <v>0.3152430555555556</v>
      </c>
      <c r="H583" s="118">
        <v>4.8611111111111104E-4</v>
      </c>
      <c r="I583" s="118">
        <v>4.6296296296296293E-4</v>
      </c>
      <c r="J583"/>
      <c r="K583"/>
    </row>
    <row r="584" spans="1:11" x14ac:dyDescent="0.25">
      <c r="A584">
        <v>2</v>
      </c>
      <c r="B584">
        <v>3</v>
      </c>
      <c r="C584"/>
      <c r="D584" t="s">
        <v>31</v>
      </c>
      <c r="E584" t="s">
        <v>35</v>
      </c>
      <c r="F584" t="s">
        <v>36</v>
      </c>
      <c r="G584" s="118">
        <v>0.31527777777777777</v>
      </c>
      <c r="H584" s="118">
        <v>9.6064814814814808E-4</v>
      </c>
      <c r="I584" s="118">
        <v>3.4722222222222224E-4</v>
      </c>
      <c r="J584"/>
      <c r="K584"/>
    </row>
    <row r="585" spans="1:11" x14ac:dyDescent="0.25">
      <c r="A585">
        <v>1</v>
      </c>
      <c r="B585">
        <v>2</v>
      </c>
      <c r="C585"/>
      <c r="D585" t="s">
        <v>31</v>
      </c>
      <c r="E585" t="s">
        <v>32</v>
      </c>
      <c r="F585" t="s">
        <v>37</v>
      </c>
      <c r="G585" s="118">
        <v>0.31559027777777776</v>
      </c>
      <c r="H585" s="118">
        <v>3.4722222222222224E-4</v>
      </c>
      <c r="I585" s="118">
        <v>9.0277777777777784E-4</v>
      </c>
      <c r="J585" s="118">
        <v>5.8912037037037032E-3</v>
      </c>
      <c r="K585" s="118">
        <v>5.8912037037037032E-3</v>
      </c>
    </row>
    <row r="586" spans="1:11" x14ac:dyDescent="0.25">
      <c r="A586">
        <v>2</v>
      </c>
      <c r="B586">
        <v>3</v>
      </c>
      <c r="C586"/>
      <c r="D586" t="s">
        <v>31</v>
      </c>
      <c r="E586" t="s">
        <v>32</v>
      </c>
      <c r="F586" t="s">
        <v>36</v>
      </c>
      <c r="G586" s="118">
        <v>0.31562499999999999</v>
      </c>
      <c r="H586" s="118">
        <v>3.4722222222222224E-4</v>
      </c>
      <c r="I586" s="118">
        <v>1.0995370370370371E-3</v>
      </c>
      <c r="J586" s="118">
        <v>5.8912037037037032E-3</v>
      </c>
      <c r="K586" s="118">
        <v>5.8912037037037032E-3</v>
      </c>
    </row>
    <row r="587" spans="1:11" x14ac:dyDescent="0.25">
      <c r="A587">
        <v>3</v>
      </c>
      <c r="B587">
        <v>3</v>
      </c>
      <c r="C587"/>
      <c r="D587" t="s">
        <v>31</v>
      </c>
      <c r="E587" t="s">
        <v>32</v>
      </c>
      <c r="F587" t="s">
        <v>40</v>
      </c>
      <c r="G587" s="118">
        <v>0.31570601851851854</v>
      </c>
      <c r="H587" s="118">
        <v>4.6296296296296293E-4</v>
      </c>
      <c r="I587" s="118">
        <v>1.0069444444444444E-3</v>
      </c>
      <c r="J587" s="118">
        <v>5.8912037037037032E-3</v>
      </c>
      <c r="K587" s="118">
        <v>5.0462962962962961E-3</v>
      </c>
    </row>
    <row r="588" spans="1:11" x14ac:dyDescent="0.25">
      <c r="A588">
        <v>5</v>
      </c>
      <c r="B588">
        <v>4</v>
      </c>
      <c r="C588"/>
      <c r="D588" t="s">
        <v>31</v>
      </c>
      <c r="E588" t="s">
        <v>35</v>
      </c>
      <c r="F588" t="s">
        <v>53</v>
      </c>
      <c r="G588" s="118">
        <v>0.31587962962962962</v>
      </c>
      <c r="H588" s="118">
        <v>8.7962962962962962E-4</v>
      </c>
      <c r="I588" s="118">
        <v>3.4722222222222224E-4</v>
      </c>
      <c r="J588"/>
      <c r="K588"/>
    </row>
    <row r="589" spans="1:11" x14ac:dyDescent="0.25">
      <c r="A589">
        <v>5</v>
      </c>
      <c r="B589">
        <v>4</v>
      </c>
      <c r="C589"/>
      <c r="D589" t="s">
        <v>31</v>
      </c>
      <c r="E589" t="s">
        <v>32</v>
      </c>
      <c r="F589" t="s">
        <v>53</v>
      </c>
      <c r="G589" s="118">
        <v>0.31622685185185184</v>
      </c>
      <c r="H589" s="118">
        <v>3.4722222222222224E-4</v>
      </c>
      <c r="I589" s="118">
        <v>8.449074074074075E-4</v>
      </c>
      <c r="J589" s="118">
        <v>5.0462962962962961E-3</v>
      </c>
      <c r="K589" s="118">
        <v>5.0462962962962961E-3</v>
      </c>
    </row>
    <row r="590" spans="1:11" x14ac:dyDescent="0.25">
      <c r="A590">
        <v>7</v>
      </c>
      <c r="B590">
        <v>1</v>
      </c>
      <c r="C590"/>
      <c r="D590" t="s">
        <v>31</v>
      </c>
      <c r="E590" t="s">
        <v>35</v>
      </c>
      <c r="F590" t="s">
        <v>46</v>
      </c>
      <c r="G590" s="118">
        <v>0.31622685185185184</v>
      </c>
      <c r="H590" s="118">
        <v>1.8055555555555557E-3</v>
      </c>
      <c r="I590" s="118">
        <v>3.4722222222222224E-4</v>
      </c>
      <c r="J590"/>
      <c r="K590"/>
    </row>
    <row r="591" spans="1:11" x14ac:dyDescent="0.25">
      <c r="A591">
        <v>4</v>
      </c>
      <c r="B591">
        <v>3</v>
      </c>
      <c r="C591"/>
      <c r="D591" t="s">
        <v>31</v>
      </c>
      <c r="E591" t="s">
        <v>35</v>
      </c>
      <c r="F591" t="s">
        <v>52</v>
      </c>
      <c r="G591" s="118">
        <v>0.31626157407407407</v>
      </c>
      <c r="H591" s="118">
        <v>1.0416666666666667E-3</v>
      </c>
      <c r="I591" s="118">
        <v>3.4722222222222224E-4</v>
      </c>
      <c r="J591"/>
      <c r="K591"/>
    </row>
    <row r="592" spans="1:11" x14ac:dyDescent="0.25">
      <c r="A592">
        <v>1</v>
      </c>
      <c r="B592">
        <v>2</v>
      </c>
      <c r="C592"/>
      <c r="D592" t="s">
        <v>31</v>
      </c>
      <c r="E592" t="s">
        <v>35</v>
      </c>
      <c r="F592" t="s">
        <v>42</v>
      </c>
      <c r="G592" s="118">
        <v>0.31649305555555557</v>
      </c>
      <c r="H592" s="118">
        <v>9.0277777777777784E-4</v>
      </c>
      <c r="I592" s="118">
        <v>3.4722222222222224E-4</v>
      </c>
      <c r="J592"/>
      <c r="K592"/>
    </row>
    <row r="593" spans="1:11" x14ac:dyDescent="0.25">
      <c r="A593">
        <v>7</v>
      </c>
      <c r="B593">
        <v>1</v>
      </c>
      <c r="C593"/>
      <c r="D593" t="s">
        <v>31</v>
      </c>
      <c r="E593" t="s">
        <v>32</v>
      </c>
      <c r="F593" t="s">
        <v>46</v>
      </c>
      <c r="G593" s="118">
        <v>0.31657407407407406</v>
      </c>
      <c r="H593" s="118">
        <v>3.4722222222222224E-4</v>
      </c>
      <c r="I593" s="118">
        <v>9.1435185185185185E-4</v>
      </c>
      <c r="J593" s="118">
        <v>5.0462962962962961E-3</v>
      </c>
      <c r="K593" s="118">
        <v>5.0462962962962961E-3</v>
      </c>
    </row>
    <row r="594" spans="1:11" x14ac:dyDescent="0.25">
      <c r="A594">
        <v>4</v>
      </c>
      <c r="B594">
        <v>3</v>
      </c>
      <c r="C594"/>
      <c r="D594" t="s">
        <v>31</v>
      </c>
      <c r="E594" t="s">
        <v>32</v>
      </c>
      <c r="F594" t="s">
        <v>52</v>
      </c>
      <c r="G594" s="118">
        <v>0.31660879629629629</v>
      </c>
      <c r="H594" s="118">
        <v>3.4722222222222224E-4</v>
      </c>
      <c r="I594" s="118">
        <v>1.0532407407407407E-3</v>
      </c>
      <c r="J594" s="118">
        <v>5.0462962962962961E-3</v>
      </c>
      <c r="K594" s="118">
        <v>5.0462962962962961E-3</v>
      </c>
    </row>
    <row r="595" spans="1:11" x14ac:dyDescent="0.25">
      <c r="A595">
        <v>3</v>
      </c>
      <c r="B595">
        <v>3</v>
      </c>
      <c r="C595"/>
      <c r="D595" t="s">
        <v>31</v>
      </c>
      <c r="E595" t="s">
        <v>35</v>
      </c>
      <c r="F595" t="s">
        <v>44</v>
      </c>
      <c r="G595" s="118">
        <v>0.31671296296296297</v>
      </c>
      <c r="H595" s="118">
        <v>1.0069444444444444E-3</v>
      </c>
      <c r="I595" s="118">
        <v>3.4722222222222224E-4</v>
      </c>
      <c r="J595"/>
      <c r="K595"/>
    </row>
    <row r="596" spans="1:11" x14ac:dyDescent="0.25">
      <c r="A596">
        <v>2</v>
      </c>
      <c r="B596">
        <v>3</v>
      </c>
      <c r="C596"/>
      <c r="D596" t="s">
        <v>31</v>
      </c>
      <c r="E596" t="s">
        <v>35</v>
      </c>
      <c r="F596" t="s">
        <v>43</v>
      </c>
      <c r="G596" s="118">
        <v>0.31672453703703701</v>
      </c>
      <c r="H596" s="118">
        <v>1.0995370370370371E-3</v>
      </c>
      <c r="I596" s="118">
        <v>3.4722222222222224E-4</v>
      </c>
      <c r="J596"/>
      <c r="K596"/>
    </row>
    <row r="597" spans="1:11" x14ac:dyDescent="0.25">
      <c r="A597">
        <v>1</v>
      </c>
      <c r="B597">
        <v>2</v>
      </c>
      <c r="C597"/>
      <c r="D597" t="s">
        <v>31</v>
      </c>
      <c r="E597" t="s">
        <v>32</v>
      </c>
      <c r="F597" t="s">
        <v>42</v>
      </c>
      <c r="G597" s="118">
        <v>0.31684027777777779</v>
      </c>
      <c r="H597" s="118">
        <v>3.4722222222222224E-4</v>
      </c>
      <c r="I597" s="118">
        <v>9.1435185185185185E-4</v>
      </c>
      <c r="J597" s="118">
        <v>5.8912037037037032E-3</v>
      </c>
      <c r="K597" s="118">
        <v>5.8912037037037032E-3</v>
      </c>
    </row>
    <row r="598" spans="1:11" x14ac:dyDescent="0.25">
      <c r="A598">
        <v>3</v>
      </c>
      <c r="B598">
        <v>3</v>
      </c>
      <c r="C598"/>
      <c r="D598" t="s">
        <v>31</v>
      </c>
      <c r="E598" t="s">
        <v>32</v>
      </c>
      <c r="F598" t="s">
        <v>44</v>
      </c>
      <c r="G598" s="118">
        <v>0.31706018518518519</v>
      </c>
      <c r="H598" s="118">
        <v>3.4722222222222224E-4</v>
      </c>
      <c r="I598" s="118">
        <v>9.2592592592592585E-4</v>
      </c>
      <c r="J598" s="118">
        <v>5.8912037037037032E-3</v>
      </c>
      <c r="K598" s="118">
        <v>5.0462962962962961E-3</v>
      </c>
    </row>
    <row r="599" spans="1:11" x14ac:dyDescent="0.25">
      <c r="A599">
        <v>2</v>
      </c>
      <c r="B599">
        <v>3</v>
      </c>
      <c r="C599"/>
      <c r="D599" t="s">
        <v>31</v>
      </c>
      <c r="E599" t="s">
        <v>32</v>
      </c>
      <c r="F599" t="s">
        <v>43</v>
      </c>
      <c r="G599" s="118">
        <v>0.31707175925925929</v>
      </c>
      <c r="H599" s="118">
        <v>3.4722222222222224E-4</v>
      </c>
      <c r="I599" s="118">
        <v>1.1458333333333333E-3</v>
      </c>
      <c r="J599" s="118">
        <v>5.8912037037037032E-3</v>
      </c>
      <c r="K599" s="118">
        <v>5.8912037037037032E-3</v>
      </c>
    </row>
    <row r="600" spans="1:11" x14ac:dyDescent="0.25">
      <c r="A600">
        <v>5</v>
      </c>
      <c r="B600">
        <v>4</v>
      </c>
      <c r="C600"/>
      <c r="D600" t="s">
        <v>31</v>
      </c>
      <c r="E600" t="s">
        <v>35</v>
      </c>
      <c r="F600" t="s">
        <v>34</v>
      </c>
      <c r="G600" s="118">
        <v>0.31707175925925929</v>
      </c>
      <c r="H600" s="118">
        <v>8.449074074074075E-4</v>
      </c>
      <c r="I600" s="118">
        <v>3.4722222222222224E-4</v>
      </c>
      <c r="J600"/>
      <c r="K600"/>
    </row>
    <row r="601" spans="1:11" x14ac:dyDescent="0.25">
      <c r="A601">
        <v>6</v>
      </c>
      <c r="B601">
        <v>4</v>
      </c>
      <c r="C601"/>
      <c r="D601" t="s">
        <v>31</v>
      </c>
      <c r="E601" t="s">
        <v>32</v>
      </c>
      <c r="F601" t="s">
        <v>92</v>
      </c>
      <c r="G601" s="118">
        <v>0.31731481481481483</v>
      </c>
      <c r="H601" s="118">
        <v>2.5231481481481481E-3</v>
      </c>
      <c r="I601" s="118">
        <v>1.0069444444444444E-3</v>
      </c>
      <c r="J601" s="118">
        <v>5.0462962962962961E-3</v>
      </c>
      <c r="K601" s="118">
        <v>5.0462962962962961E-3</v>
      </c>
    </row>
    <row r="602" spans="1:11" x14ac:dyDescent="0.25">
      <c r="A602">
        <v>5</v>
      </c>
      <c r="B602">
        <v>4</v>
      </c>
      <c r="C602"/>
      <c r="D602" t="s">
        <v>31</v>
      </c>
      <c r="E602" t="s">
        <v>32</v>
      </c>
      <c r="F602" t="s">
        <v>34</v>
      </c>
      <c r="G602" s="118">
        <v>0.31741898148148145</v>
      </c>
      <c r="H602" s="118">
        <v>3.4722222222222224E-4</v>
      </c>
      <c r="I602" s="118">
        <v>9.1435185185185185E-4</v>
      </c>
      <c r="J602" s="118">
        <v>5.0462962962962961E-3</v>
      </c>
      <c r="K602" s="118">
        <v>5.0462962962962961E-3</v>
      </c>
    </row>
    <row r="603" spans="1:11" x14ac:dyDescent="0.25">
      <c r="A603">
        <v>7</v>
      </c>
      <c r="B603">
        <v>1</v>
      </c>
      <c r="C603"/>
      <c r="D603" t="s">
        <v>31</v>
      </c>
      <c r="E603" t="s">
        <v>35</v>
      </c>
      <c r="F603" t="s">
        <v>51</v>
      </c>
      <c r="G603" s="118">
        <v>0.31748842592592591</v>
      </c>
      <c r="H603" s="118">
        <v>9.1435185185185185E-4</v>
      </c>
      <c r="I603" s="118">
        <v>3.4722222222222224E-4</v>
      </c>
      <c r="J603"/>
      <c r="K603"/>
    </row>
    <row r="604" spans="1:11" x14ac:dyDescent="0.25">
      <c r="A604">
        <v>4</v>
      </c>
      <c r="B604">
        <v>3</v>
      </c>
      <c r="C604"/>
      <c r="D604" t="s">
        <v>31</v>
      </c>
      <c r="E604" t="s">
        <v>35</v>
      </c>
      <c r="F604" t="s">
        <v>57</v>
      </c>
      <c r="G604" s="118">
        <v>0.31766203703703705</v>
      </c>
      <c r="H604" s="118">
        <v>1.0532407407407407E-3</v>
      </c>
      <c r="I604" s="118">
        <v>3.4722222222222224E-4</v>
      </c>
      <c r="J604"/>
      <c r="K604"/>
    </row>
    <row r="605" spans="1:11" x14ac:dyDescent="0.25">
      <c r="A605">
        <v>1</v>
      </c>
      <c r="B605">
        <v>2</v>
      </c>
      <c r="C605"/>
      <c r="D605" t="s">
        <v>31</v>
      </c>
      <c r="E605" t="s">
        <v>35</v>
      </c>
      <c r="F605" t="s">
        <v>48</v>
      </c>
      <c r="G605" s="118">
        <v>0.31775462962962964</v>
      </c>
      <c r="H605" s="118">
        <v>9.1435185185185185E-4</v>
      </c>
      <c r="I605" s="118">
        <v>5.2083333333333333E-4</v>
      </c>
      <c r="J605"/>
      <c r="K605"/>
    </row>
    <row r="606" spans="1:11" x14ac:dyDescent="0.25">
      <c r="A606">
        <v>7</v>
      </c>
      <c r="B606">
        <v>1</v>
      </c>
      <c r="C606"/>
      <c r="D606" t="s">
        <v>31</v>
      </c>
      <c r="E606" t="s">
        <v>32</v>
      </c>
      <c r="F606" t="s">
        <v>51</v>
      </c>
      <c r="G606" s="118">
        <v>0.31783564814814813</v>
      </c>
      <c r="H606" s="118">
        <v>3.4722222222222224E-4</v>
      </c>
      <c r="I606" s="118">
        <v>1.0069444444444444E-3</v>
      </c>
      <c r="J606" s="118">
        <v>5.0462962962962961E-3</v>
      </c>
      <c r="K606" s="118">
        <v>5.0462962962962961E-3</v>
      </c>
    </row>
    <row r="607" spans="1:11" x14ac:dyDescent="0.25">
      <c r="A607">
        <v>3</v>
      </c>
      <c r="B607">
        <v>3</v>
      </c>
      <c r="C607"/>
      <c r="D607" t="s">
        <v>31</v>
      </c>
      <c r="E607" t="s">
        <v>35</v>
      </c>
      <c r="F607" t="s">
        <v>49</v>
      </c>
      <c r="G607" s="118">
        <v>0.31798611111111114</v>
      </c>
      <c r="H607" s="118">
        <v>9.2592592592592585E-4</v>
      </c>
      <c r="I607" s="118">
        <v>3.4722222222222224E-4</v>
      </c>
      <c r="J607"/>
      <c r="K607"/>
    </row>
    <row r="608" spans="1:11" x14ac:dyDescent="0.25">
      <c r="A608">
        <v>4</v>
      </c>
      <c r="B608">
        <v>3</v>
      </c>
      <c r="C608"/>
      <c r="D608" t="s">
        <v>31</v>
      </c>
      <c r="E608" t="s">
        <v>32</v>
      </c>
      <c r="F608" t="s">
        <v>57</v>
      </c>
      <c r="G608" s="118">
        <v>0.31800925925925927</v>
      </c>
      <c r="H608" s="118">
        <v>3.4722222222222224E-4</v>
      </c>
      <c r="I608" s="118">
        <v>9.3750000000000007E-4</v>
      </c>
      <c r="J608" s="118">
        <v>5.0462962962962961E-3</v>
      </c>
      <c r="K608" s="118">
        <v>5.0462962962962961E-3</v>
      </c>
    </row>
    <row r="609" spans="1:11" x14ac:dyDescent="0.25">
      <c r="A609">
        <v>2</v>
      </c>
      <c r="B609">
        <v>3</v>
      </c>
      <c r="C609"/>
      <c r="D609" t="s">
        <v>31</v>
      </c>
      <c r="E609" t="s">
        <v>35</v>
      </c>
      <c r="F609" t="s">
        <v>50</v>
      </c>
      <c r="G609" s="118">
        <v>0.31821759259259258</v>
      </c>
      <c r="H609" s="118">
        <v>1.1458333333333333E-3</v>
      </c>
      <c r="I609" s="118">
        <v>3.4722222222222224E-4</v>
      </c>
      <c r="J609"/>
      <c r="K609"/>
    </row>
    <row r="610" spans="1:11" x14ac:dyDescent="0.25">
      <c r="A610">
        <v>1</v>
      </c>
      <c r="B610">
        <v>2</v>
      </c>
      <c r="C610"/>
      <c r="D610" t="s">
        <v>31</v>
      </c>
      <c r="E610" t="s">
        <v>32</v>
      </c>
      <c r="F610" t="s">
        <v>48</v>
      </c>
      <c r="G610" s="118">
        <v>0.318275462962963</v>
      </c>
      <c r="H610" s="118">
        <v>5.2083333333333333E-4</v>
      </c>
      <c r="I610" s="118">
        <v>8.6805555555555551E-4</v>
      </c>
      <c r="J610" s="118">
        <v>5.8912037037037032E-3</v>
      </c>
      <c r="K610" s="118">
        <v>5.8912037037037032E-3</v>
      </c>
    </row>
    <row r="611" spans="1:11" x14ac:dyDescent="0.25">
      <c r="A611">
        <v>6</v>
      </c>
      <c r="B611">
        <v>4</v>
      </c>
      <c r="C611"/>
      <c r="D611" t="s">
        <v>31</v>
      </c>
      <c r="E611" t="s">
        <v>35</v>
      </c>
      <c r="F611" t="s">
        <v>41</v>
      </c>
      <c r="G611" s="118">
        <v>0.31832175925925926</v>
      </c>
      <c r="H611" s="118">
        <v>1.0069444444444444E-3</v>
      </c>
      <c r="I611" s="118">
        <v>3.4722222222222224E-4</v>
      </c>
      <c r="J611"/>
      <c r="K611"/>
    </row>
    <row r="612" spans="1:11" x14ac:dyDescent="0.25">
      <c r="A612">
        <v>3</v>
      </c>
      <c r="B612">
        <v>3</v>
      </c>
      <c r="C612"/>
      <c r="D612" t="s">
        <v>31</v>
      </c>
      <c r="E612" t="s">
        <v>32</v>
      </c>
      <c r="F612" t="s">
        <v>49</v>
      </c>
      <c r="G612" s="118">
        <v>0.3183333333333333</v>
      </c>
      <c r="H612" s="118">
        <v>3.4722222222222224E-4</v>
      </c>
      <c r="I612" s="118">
        <v>1.3541666666666667E-3</v>
      </c>
      <c r="J612" s="118">
        <v>5.8912037037037032E-3</v>
      </c>
      <c r="K612" s="118">
        <v>5.0462962962962961E-3</v>
      </c>
    </row>
    <row r="613" spans="1:11" x14ac:dyDescent="0.25">
      <c r="A613">
        <v>5</v>
      </c>
      <c r="B613">
        <v>4</v>
      </c>
      <c r="C613"/>
      <c r="D613" t="s">
        <v>31</v>
      </c>
      <c r="E613" t="s">
        <v>35</v>
      </c>
      <c r="F613" t="s">
        <v>38</v>
      </c>
      <c r="G613" s="118">
        <v>0.3183333333333333</v>
      </c>
      <c r="H613" s="118">
        <v>9.1435185185185185E-4</v>
      </c>
      <c r="I613" s="118">
        <v>3.4722222222222224E-4</v>
      </c>
      <c r="J613"/>
      <c r="K613"/>
    </row>
    <row r="614" spans="1:11" x14ac:dyDescent="0.25">
      <c r="A614">
        <v>2</v>
      </c>
      <c r="B614">
        <v>3</v>
      </c>
      <c r="C614"/>
      <c r="D614" t="s">
        <v>31</v>
      </c>
      <c r="E614" t="s">
        <v>32</v>
      </c>
      <c r="F614" t="s">
        <v>50</v>
      </c>
      <c r="G614" s="118">
        <v>0.3185648148148148</v>
      </c>
      <c r="H614" s="118">
        <v>3.4722222222222224E-4</v>
      </c>
      <c r="I614" s="118">
        <v>1.261574074074074E-3</v>
      </c>
      <c r="J614" s="118">
        <v>5.8912037037037032E-3</v>
      </c>
      <c r="K614" s="118">
        <v>5.8912037037037032E-3</v>
      </c>
    </row>
    <row r="615" spans="1:11" x14ac:dyDescent="0.25">
      <c r="A615">
        <v>6</v>
      </c>
      <c r="B615">
        <v>4</v>
      </c>
      <c r="C615"/>
      <c r="D615" t="s">
        <v>31</v>
      </c>
      <c r="E615" t="s">
        <v>32</v>
      </c>
      <c r="F615" t="s">
        <v>41</v>
      </c>
      <c r="G615" s="118">
        <v>0.31866898148148148</v>
      </c>
      <c r="H615" s="118">
        <v>3.4722222222222224E-4</v>
      </c>
      <c r="I615" s="118">
        <v>8.564814814814815E-4</v>
      </c>
      <c r="J615" s="118">
        <v>5.0462962962962961E-3</v>
      </c>
      <c r="K615" s="118">
        <v>5.0462962962962961E-3</v>
      </c>
    </row>
    <row r="616" spans="1:11" x14ac:dyDescent="0.25">
      <c r="A616">
        <v>5</v>
      </c>
      <c r="B616">
        <v>4</v>
      </c>
      <c r="C616"/>
      <c r="D616" t="s">
        <v>31</v>
      </c>
      <c r="E616" t="s">
        <v>32</v>
      </c>
      <c r="F616" t="s">
        <v>38</v>
      </c>
      <c r="G616" s="118">
        <v>0.31868055555555558</v>
      </c>
      <c r="H616" s="118">
        <v>3.4722222222222224E-4</v>
      </c>
      <c r="I616" s="118">
        <v>1.2384259259259258E-3</v>
      </c>
      <c r="J616" s="118">
        <v>5.0462962962962961E-3</v>
      </c>
      <c r="K616" s="118">
        <v>5.0462962962962961E-3</v>
      </c>
    </row>
    <row r="617" spans="1:11" x14ac:dyDescent="0.25">
      <c r="A617">
        <v>7</v>
      </c>
      <c r="B617">
        <v>1</v>
      </c>
      <c r="C617"/>
      <c r="D617" t="s">
        <v>31</v>
      </c>
      <c r="E617" t="s">
        <v>35</v>
      </c>
      <c r="F617" t="s">
        <v>55</v>
      </c>
      <c r="G617" s="118">
        <v>0.31884259259259257</v>
      </c>
      <c r="H617" s="118">
        <v>1.0069444444444444E-3</v>
      </c>
      <c r="I617" s="118">
        <v>4.6296296296296293E-4</v>
      </c>
      <c r="J617"/>
      <c r="K617"/>
    </row>
    <row r="618" spans="1:11" x14ac:dyDescent="0.25">
      <c r="A618">
        <v>4</v>
      </c>
      <c r="B618">
        <v>3</v>
      </c>
      <c r="C618"/>
      <c r="D618" t="s">
        <v>31</v>
      </c>
      <c r="E618" t="s">
        <v>35</v>
      </c>
      <c r="F618" t="s">
        <v>39</v>
      </c>
      <c r="G618" s="118">
        <v>0.31894675925925925</v>
      </c>
      <c r="H618" s="118">
        <v>9.3750000000000007E-4</v>
      </c>
      <c r="I618" s="118">
        <v>5.2083333333333333E-4</v>
      </c>
      <c r="J618"/>
      <c r="K618"/>
    </row>
    <row r="619" spans="1:11" x14ac:dyDescent="0.25">
      <c r="A619">
        <v>1</v>
      </c>
      <c r="B619">
        <v>2</v>
      </c>
      <c r="C619"/>
      <c r="D619" t="s">
        <v>31</v>
      </c>
      <c r="E619" t="s">
        <v>35</v>
      </c>
      <c r="F619" t="s">
        <v>54</v>
      </c>
      <c r="G619" s="118">
        <v>0.31914351851851852</v>
      </c>
      <c r="H619" s="118">
        <v>8.6805555555555551E-4</v>
      </c>
      <c r="I619" s="118">
        <v>3.4722222222222224E-4</v>
      </c>
      <c r="J619"/>
      <c r="K619"/>
    </row>
    <row r="620" spans="1:11" x14ac:dyDescent="0.25">
      <c r="A620">
        <v>7</v>
      </c>
      <c r="B620">
        <v>1</v>
      </c>
      <c r="C620"/>
      <c r="D620" t="s">
        <v>31</v>
      </c>
      <c r="E620" t="s">
        <v>32</v>
      </c>
      <c r="F620" t="s">
        <v>55</v>
      </c>
      <c r="G620" s="118">
        <v>0.31930555555555556</v>
      </c>
      <c r="H620" s="118">
        <v>4.6296296296296293E-4</v>
      </c>
      <c r="I620" s="118">
        <v>4.3981481481481481E-4</v>
      </c>
      <c r="J620" s="118">
        <v>5.0462962962962961E-3</v>
      </c>
      <c r="K620" s="118">
        <v>5.0462962962962961E-3</v>
      </c>
    </row>
    <row r="621" spans="1:11" x14ac:dyDescent="0.25">
      <c r="A621">
        <v>4</v>
      </c>
      <c r="B621">
        <v>3</v>
      </c>
      <c r="C621"/>
      <c r="D621" t="s">
        <v>31</v>
      </c>
      <c r="E621" t="s">
        <v>32</v>
      </c>
      <c r="F621" t="s">
        <v>39</v>
      </c>
      <c r="G621" s="118">
        <v>0.31946759259259255</v>
      </c>
      <c r="H621" s="118">
        <v>5.2083333333333333E-4</v>
      </c>
      <c r="I621" s="118">
        <v>1.8055555555555557E-3</v>
      </c>
      <c r="J621" s="118">
        <v>5.0462962962962961E-3</v>
      </c>
      <c r="K621" s="118">
        <v>5.0462962962962961E-3</v>
      </c>
    </row>
    <row r="622" spans="1:11" x14ac:dyDescent="0.25">
      <c r="A622">
        <v>1</v>
      </c>
      <c r="B622">
        <v>2</v>
      </c>
      <c r="C622"/>
      <c r="D622" t="s">
        <v>31</v>
      </c>
      <c r="E622" t="s">
        <v>32</v>
      </c>
      <c r="F622" t="s">
        <v>54</v>
      </c>
      <c r="G622" s="118">
        <v>0.31949074074074074</v>
      </c>
      <c r="H622" s="118">
        <v>3.4722222222222224E-4</v>
      </c>
      <c r="I622" s="118">
        <v>1.1921296296296296E-3</v>
      </c>
      <c r="J622" s="118">
        <v>5.8912037037037032E-3</v>
      </c>
      <c r="K622" s="118">
        <v>5.8912037037037032E-3</v>
      </c>
    </row>
    <row r="623" spans="1:11" x14ac:dyDescent="0.25">
      <c r="A623">
        <v>6</v>
      </c>
      <c r="B623">
        <v>4</v>
      </c>
      <c r="C623"/>
      <c r="D623" t="s">
        <v>31</v>
      </c>
      <c r="E623" t="s">
        <v>35</v>
      </c>
      <c r="F623" t="s">
        <v>47</v>
      </c>
      <c r="G623" s="118">
        <v>0.31952546296296297</v>
      </c>
      <c r="H623" s="118">
        <v>8.564814814814815E-4</v>
      </c>
      <c r="I623" s="118">
        <v>5.2083333333333333E-4</v>
      </c>
      <c r="J623"/>
      <c r="K623"/>
    </row>
    <row r="624" spans="1:11" x14ac:dyDescent="0.25">
      <c r="A624">
        <v>3</v>
      </c>
      <c r="B624">
        <v>3</v>
      </c>
      <c r="C624"/>
      <c r="D624" t="s">
        <v>31</v>
      </c>
      <c r="E624" t="s">
        <v>35</v>
      </c>
      <c r="F624" t="s">
        <v>33</v>
      </c>
      <c r="G624" s="118">
        <v>0.31968750000000001</v>
      </c>
      <c r="H624" s="118">
        <v>1.3541666666666667E-3</v>
      </c>
      <c r="I624" s="118">
        <v>5.2083333333333333E-4</v>
      </c>
      <c r="J624"/>
      <c r="K624"/>
    </row>
    <row r="625" spans="1:11" x14ac:dyDescent="0.25">
      <c r="A625">
        <v>7</v>
      </c>
      <c r="B625">
        <v>1</v>
      </c>
      <c r="C625"/>
      <c r="D625" t="s">
        <v>31</v>
      </c>
      <c r="E625" t="s">
        <v>35</v>
      </c>
      <c r="F625" t="s">
        <v>58</v>
      </c>
      <c r="G625" s="118">
        <v>0.31974537037037037</v>
      </c>
      <c r="H625" s="118">
        <v>4.3981481481481481E-4</v>
      </c>
      <c r="I625" s="118">
        <v>5.7870370370370366E-5</v>
      </c>
      <c r="J625"/>
      <c r="K625"/>
    </row>
    <row r="626" spans="1:11" x14ac:dyDescent="0.25">
      <c r="A626">
        <v>7</v>
      </c>
      <c r="B626">
        <v>1</v>
      </c>
      <c r="C626"/>
      <c r="D626" t="s">
        <v>31</v>
      </c>
      <c r="E626" t="s">
        <v>32</v>
      </c>
      <c r="F626" t="s">
        <v>58</v>
      </c>
      <c r="G626" s="118">
        <v>0.31980324074074074</v>
      </c>
      <c r="H626" s="118">
        <v>5.7870370370370366E-5</v>
      </c>
      <c r="I626" s="118">
        <v>4.8611111111111104E-4</v>
      </c>
      <c r="J626" s="118">
        <v>5.0462962962962961E-3</v>
      </c>
      <c r="K626" s="118">
        <v>5.0462962962962961E-3</v>
      </c>
    </row>
    <row r="627" spans="1:11" x14ac:dyDescent="0.25">
      <c r="A627">
        <v>2</v>
      </c>
      <c r="B627">
        <v>3</v>
      </c>
      <c r="C627"/>
      <c r="D627" t="s">
        <v>31</v>
      </c>
      <c r="E627" t="s">
        <v>35</v>
      </c>
      <c r="F627" t="s">
        <v>56</v>
      </c>
      <c r="G627" s="118">
        <v>0.31982638888888887</v>
      </c>
      <c r="H627" s="118">
        <v>1.261574074074074E-3</v>
      </c>
      <c r="I627" s="118">
        <v>3.4722222222222224E-4</v>
      </c>
      <c r="J627"/>
      <c r="K627"/>
    </row>
    <row r="628" spans="1:11" x14ac:dyDescent="0.25">
      <c r="A628">
        <v>5</v>
      </c>
      <c r="B628">
        <v>4</v>
      </c>
      <c r="C628"/>
      <c r="D628" t="s">
        <v>31</v>
      </c>
      <c r="E628" t="s">
        <v>35</v>
      </c>
      <c r="F628" t="s">
        <v>45</v>
      </c>
      <c r="G628" s="118">
        <v>0.31991898148148151</v>
      </c>
      <c r="H628" s="118">
        <v>1.2384259259259258E-3</v>
      </c>
      <c r="I628" s="118">
        <v>3.4722222222222224E-4</v>
      </c>
      <c r="J628"/>
      <c r="K628"/>
    </row>
    <row r="629" spans="1:11" x14ac:dyDescent="0.25">
      <c r="A629">
        <v>6</v>
      </c>
      <c r="B629">
        <v>4</v>
      </c>
      <c r="C629"/>
      <c r="D629" t="s">
        <v>31</v>
      </c>
      <c r="E629" t="s">
        <v>32</v>
      </c>
      <c r="F629" t="s">
        <v>47</v>
      </c>
      <c r="G629" s="118">
        <v>0.32004629629629627</v>
      </c>
      <c r="H629" s="118">
        <v>5.2083333333333333E-4</v>
      </c>
      <c r="I629" s="118">
        <v>8.7962962962962962E-4</v>
      </c>
      <c r="J629" s="118">
        <v>5.0462962962962961E-3</v>
      </c>
      <c r="K629" s="118">
        <v>5.0462962962962961E-3</v>
      </c>
    </row>
    <row r="630" spans="1:11" x14ac:dyDescent="0.25">
      <c r="A630">
        <v>2</v>
      </c>
      <c r="B630">
        <v>3</v>
      </c>
      <c r="C630"/>
      <c r="D630" t="s">
        <v>31</v>
      </c>
      <c r="E630" t="s">
        <v>32</v>
      </c>
      <c r="F630" t="s">
        <v>56</v>
      </c>
      <c r="G630" s="118">
        <v>0.32017361111111109</v>
      </c>
      <c r="H630" s="118">
        <v>3.4722222222222224E-4</v>
      </c>
      <c r="I630" s="118">
        <v>9.6064814814814808E-4</v>
      </c>
      <c r="J630" s="118">
        <v>5.8912037037037032E-3</v>
      </c>
      <c r="K630" s="118">
        <v>5.8912037037037032E-3</v>
      </c>
    </row>
    <row r="631" spans="1:11" x14ac:dyDescent="0.25">
      <c r="A631">
        <v>3</v>
      </c>
      <c r="B631">
        <v>3</v>
      </c>
      <c r="C631"/>
      <c r="D631" t="s">
        <v>31</v>
      </c>
      <c r="E631" t="s">
        <v>32</v>
      </c>
      <c r="F631" t="s">
        <v>33</v>
      </c>
      <c r="G631" s="118">
        <v>0.32020833333333337</v>
      </c>
      <c r="H631" s="118">
        <v>5.2083333333333333E-4</v>
      </c>
      <c r="I631" s="118">
        <v>9.6064814814814808E-4</v>
      </c>
      <c r="J631" s="118">
        <v>5.8912037037037032E-3</v>
      </c>
      <c r="K631" s="118">
        <v>5.0462962962962961E-3</v>
      </c>
    </row>
    <row r="632" spans="1:11" x14ac:dyDescent="0.25">
      <c r="A632">
        <v>5</v>
      </c>
      <c r="B632">
        <v>4</v>
      </c>
      <c r="C632"/>
      <c r="D632" t="s">
        <v>31</v>
      </c>
      <c r="E632" t="s">
        <v>32</v>
      </c>
      <c r="F632" t="s">
        <v>45</v>
      </c>
      <c r="G632" s="118">
        <v>0.32026620370370368</v>
      </c>
      <c r="H632" s="118">
        <v>3.4722222222222224E-4</v>
      </c>
      <c r="I632" s="118">
        <v>1.0416666666666667E-3</v>
      </c>
      <c r="J632" s="118">
        <v>5.0462962962962961E-3</v>
      </c>
      <c r="K632" s="118">
        <v>5.0462962962962961E-3</v>
      </c>
    </row>
    <row r="633" spans="1:11" x14ac:dyDescent="0.25">
      <c r="A633">
        <v>7</v>
      </c>
      <c r="B633">
        <v>1</v>
      </c>
      <c r="C633"/>
      <c r="D633" t="s">
        <v>31</v>
      </c>
      <c r="E633" t="s">
        <v>35</v>
      </c>
      <c r="F633" t="s">
        <v>40</v>
      </c>
      <c r="G633" s="118">
        <v>0.32028935185185187</v>
      </c>
      <c r="H633" s="118">
        <v>4.8611111111111104E-4</v>
      </c>
      <c r="I633" s="118">
        <v>4.6296296296296293E-4</v>
      </c>
      <c r="J633"/>
      <c r="K633"/>
    </row>
    <row r="634" spans="1:11" x14ac:dyDescent="0.25">
      <c r="A634">
        <v>1</v>
      </c>
      <c r="B634">
        <v>2</v>
      </c>
      <c r="C634"/>
      <c r="D634" t="s">
        <v>31</v>
      </c>
      <c r="E634" t="s">
        <v>35</v>
      </c>
      <c r="F634" t="s">
        <v>92</v>
      </c>
      <c r="G634" s="118">
        <v>0.32068287037037035</v>
      </c>
      <c r="H634" s="118">
        <v>1.1921296296296296E-3</v>
      </c>
      <c r="I634" s="118">
        <v>1.6782407407407406E-3</v>
      </c>
      <c r="J634"/>
      <c r="K634"/>
    </row>
    <row r="635" spans="1:11" x14ac:dyDescent="0.25">
      <c r="A635">
        <v>7</v>
      </c>
      <c r="B635">
        <v>1</v>
      </c>
      <c r="C635"/>
      <c r="D635" t="s">
        <v>31</v>
      </c>
      <c r="E635" t="s">
        <v>32</v>
      </c>
      <c r="F635" t="s">
        <v>40</v>
      </c>
      <c r="G635" s="118">
        <v>0.32075231481481481</v>
      </c>
      <c r="H635" s="118">
        <v>4.6296296296296293E-4</v>
      </c>
      <c r="I635" s="118">
        <v>1.0069444444444444E-3</v>
      </c>
      <c r="J635" s="118">
        <v>5.0462962962962961E-3</v>
      </c>
      <c r="K635" s="118">
        <v>5.0462962962962961E-3</v>
      </c>
    </row>
    <row r="636" spans="1:11" x14ac:dyDescent="0.25">
      <c r="A636">
        <v>6</v>
      </c>
      <c r="B636">
        <v>4</v>
      </c>
      <c r="C636"/>
      <c r="D636" t="s">
        <v>31</v>
      </c>
      <c r="E636" t="s">
        <v>35</v>
      </c>
      <c r="F636" t="s">
        <v>53</v>
      </c>
      <c r="G636" s="118">
        <v>0.32092592592592589</v>
      </c>
      <c r="H636" s="118">
        <v>8.7962962962962962E-4</v>
      </c>
      <c r="I636" s="118">
        <v>3.4722222222222224E-4</v>
      </c>
      <c r="J636"/>
      <c r="K636"/>
    </row>
    <row r="637" spans="1:11" x14ac:dyDescent="0.25">
      <c r="A637">
        <v>2</v>
      </c>
      <c r="B637">
        <v>3</v>
      </c>
      <c r="C637"/>
      <c r="D637" t="s">
        <v>31</v>
      </c>
      <c r="E637" t="s">
        <v>35</v>
      </c>
      <c r="F637" t="s">
        <v>37</v>
      </c>
      <c r="G637" s="118">
        <v>0.32113425925925926</v>
      </c>
      <c r="H637" s="118">
        <v>9.6064814814814808E-4</v>
      </c>
      <c r="I637" s="118">
        <v>3.4722222222222224E-4</v>
      </c>
      <c r="J637"/>
      <c r="K637"/>
    </row>
    <row r="638" spans="1:11" x14ac:dyDescent="0.25">
      <c r="A638">
        <v>3</v>
      </c>
      <c r="B638">
        <v>3</v>
      </c>
      <c r="C638"/>
      <c r="D638" t="s">
        <v>31</v>
      </c>
      <c r="E638" t="s">
        <v>35</v>
      </c>
      <c r="F638" t="s">
        <v>36</v>
      </c>
      <c r="G638" s="118">
        <v>0.32116898148148149</v>
      </c>
      <c r="H638" s="118">
        <v>9.6064814814814808E-4</v>
      </c>
      <c r="I638" s="118">
        <v>3.4722222222222224E-4</v>
      </c>
      <c r="J638"/>
      <c r="K638"/>
    </row>
    <row r="639" spans="1:11" x14ac:dyDescent="0.25">
      <c r="A639">
        <v>4</v>
      </c>
      <c r="B639">
        <v>3</v>
      </c>
      <c r="C639"/>
      <c r="D639" t="s">
        <v>31</v>
      </c>
      <c r="E639" t="s">
        <v>35</v>
      </c>
      <c r="F639" t="s">
        <v>46</v>
      </c>
      <c r="G639" s="118">
        <v>0.32127314814814817</v>
      </c>
      <c r="H639" s="118">
        <v>1.8055555555555557E-3</v>
      </c>
      <c r="I639" s="118">
        <v>3.4722222222222224E-4</v>
      </c>
      <c r="J639"/>
      <c r="K639"/>
    </row>
    <row r="640" spans="1:11" x14ac:dyDescent="0.25">
      <c r="A640">
        <v>6</v>
      </c>
      <c r="B640">
        <v>4</v>
      </c>
      <c r="C640"/>
      <c r="D640" t="s">
        <v>31</v>
      </c>
      <c r="E640" t="s">
        <v>32</v>
      </c>
      <c r="F640" t="s">
        <v>53</v>
      </c>
      <c r="G640" s="118">
        <v>0.32127314814814817</v>
      </c>
      <c r="H640" s="118">
        <v>3.4722222222222224E-4</v>
      </c>
      <c r="I640" s="118">
        <v>8.449074074074075E-4</v>
      </c>
      <c r="J640" s="118">
        <v>5.0462962962962961E-3</v>
      </c>
      <c r="K640" s="118">
        <v>5.0462962962962961E-3</v>
      </c>
    </row>
    <row r="641" spans="1:11" x14ac:dyDescent="0.25">
      <c r="A641">
        <v>5</v>
      </c>
      <c r="B641">
        <v>4</v>
      </c>
      <c r="C641"/>
      <c r="D641" t="s">
        <v>31</v>
      </c>
      <c r="E641" t="s">
        <v>35</v>
      </c>
      <c r="F641" t="s">
        <v>52</v>
      </c>
      <c r="G641" s="118">
        <v>0.3213078703703704</v>
      </c>
      <c r="H641" s="118">
        <v>1.0416666666666667E-3</v>
      </c>
      <c r="I641" s="118">
        <v>3.4722222222222224E-4</v>
      </c>
      <c r="J641"/>
      <c r="K641"/>
    </row>
    <row r="642" spans="1:11" x14ac:dyDescent="0.25">
      <c r="A642">
        <v>2</v>
      </c>
      <c r="B642">
        <v>3</v>
      </c>
      <c r="C642"/>
      <c r="D642" t="s">
        <v>31</v>
      </c>
      <c r="E642" t="s">
        <v>32</v>
      </c>
      <c r="F642" t="s">
        <v>37</v>
      </c>
      <c r="G642" s="118">
        <v>0.32148148148148148</v>
      </c>
      <c r="H642" s="118">
        <v>3.4722222222222224E-4</v>
      </c>
      <c r="I642" s="118">
        <v>9.0277777777777784E-4</v>
      </c>
      <c r="J642" s="118">
        <v>5.8912037037037032E-3</v>
      </c>
      <c r="K642" s="118">
        <v>5.8912037037037032E-3</v>
      </c>
    </row>
    <row r="643" spans="1:11" x14ac:dyDescent="0.25">
      <c r="A643">
        <v>3</v>
      </c>
      <c r="B643">
        <v>3</v>
      </c>
      <c r="C643"/>
      <c r="D643" t="s">
        <v>31</v>
      </c>
      <c r="E643" t="s">
        <v>32</v>
      </c>
      <c r="F643" t="s">
        <v>36</v>
      </c>
      <c r="G643" s="118">
        <v>0.32151620370370371</v>
      </c>
      <c r="H643" s="118">
        <v>3.4722222222222224E-4</v>
      </c>
      <c r="I643" s="118">
        <v>1.0995370370370371E-3</v>
      </c>
      <c r="J643" s="118">
        <v>5.8912037037037032E-3</v>
      </c>
      <c r="K643" s="118">
        <v>5.0462962962962961E-3</v>
      </c>
    </row>
    <row r="644" spans="1:11" x14ac:dyDescent="0.25">
      <c r="A644">
        <v>4</v>
      </c>
      <c r="B644">
        <v>3</v>
      </c>
      <c r="C644"/>
      <c r="D644" t="s">
        <v>31</v>
      </c>
      <c r="E644" t="s">
        <v>32</v>
      </c>
      <c r="F644" t="s">
        <v>46</v>
      </c>
      <c r="G644" s="118">
        <v>0.32162037037037039</v>
      </c>
      <c r="H644" s="118">
        <v>3.4722222222222224E-4</v>
      </c>
      <c r="I644" s="118">
        <v>9.1435185185185185E-4</v>
      </c>
      <c r="J644" s="118">
        <v>5.0462962962962961E-3</v>
      </c>
      <c r="K644" s="118">
        <v>5.0462962962962961E-3</v>
      </c>
    </row>
    <row r="645" spans="1:11" x14ac:dyDescent="0.25">
      <c r="A645">
        <v>5</v>
      </c>
      <c r="B645">
        <v>4</v>
      </c>
      <c r="C645"/>
      <c r="D645" t="s">
        <v>31</v>
      </c>
      <c r="E645" t="s">
        <v>32</v>
      </c>
      <c r="F645" t="s">
        <v>52</v>
      </c>
      <c r="G645" s="118">
        <v>0.32165509259259256</v>
      </c>
      <c r="H645" s="118">
        <v>3.4722222222222224E-4</v>
      </c>
      <c r="I645" s="118">
        <v>1.0532407407407407E-3</v>
      </c>
      <c r="J645" s="118">
        <v>5.0462962962962961E-3</v>
      </c>
      <c r="K645" s="118">
        <v>5.0462962962962961E-3</v>
      </c>
    </row>
    <row r="646" spans="1:11" x14ac:dyDescent="0.25">
      <c r="A646">
        <v>7</v>
      </c>
      <c r="B646">
        <v>1</v>
      </c>
      <c r="C646"/>
      <c r="D646" t="s">
        <v>31</v>
      </c>
      <c r="E646" t="s">
        <v>35</v>
      </c>
      <c r="F646" t="s">
        <v>44</v>
      </c>
      <c r="G646" s="118">
        <v>0.32175925925925924</v>
      </c>
      <c r="H646" s="118">
        <v>1.0069444444444444E-3</v>
      </c>
      <c r="I646" s="118">
        <v>3.4722222222222224E-4</v>
      </c>
      <c r="J646"/>
      <c r="K646"/>
    </row>
    <row r="647" spans="1:11" x14ac:dyDescent="0.25">
      <c r="A647">
        <v>7</v>
      </c>
      <c r="B647">
        <v>1</v>
      </c>
      <c r="C647"/>
      <c r="D647" t="s">
        <v>31</v>
      </c>
      <c r="E647" t="s">
        <v>32</v>
      </c>
      <c r="F647" t="s">
        <v>44</v>
      </c>
      <c r="G647" s="118">
        <v>0.32210648148148152</v>
      </c>
      <c r="H647" s="118">
        <v>3.4722222222222224E-4</v>
      </c>
      <c r="I647" s="118">
        <v>9.2592592592592585E-4</v>
      </c>
      <c r="J647" s="118">
        <v>5.0462962962962961E-3</v>
      </c>
      <c r="K647" s="118">
        <v>5.0462962962962961E-3</v>
      </c>
    </row>
    <row r="648" spans="1:11" x14ac:dyDescent="0.25">
      <c r="A648">
        <v>6</v>
      </c>
      <c r="B648">
        <v>4</v>
      </c>
      <c r="C648"/>
      <c r="D648" t="s">
        <v>31</v>
      </c>
      <c r="E648" t="s">
        <v>35</v>
      </c>
      <c r="F648" t="s">
        <v>34</v>
      </c>
      <c r="G648" s="118">
        <v>0.32211805555555556</v>
      </c>
      <c r="H648" s="118">
        <v>8.449074074074075E-4</v>
      </c>
      <c r="I648" s="118">
        <v>3.4722222222222224E-4</v>
      </c>
      <c r="J648"/>
      <c r="K648"/>
    </row>
    <row r="649" spans="1:11" x14ac:dyDescent="0.25">
      <c r="A649">
        <v>1</v>
      </c>
      <c r="B649">
        <v>3</v>
      </c>
      <c r="C649"/>
      <c r="D649" t="s">
        <v>31</v>
      </c>
      <c r="E649" t="s">
        <v>32</v>
      </c>
      <c r="F649" t="s">
        <v>92</v>
      </c>
      <c r="G649" s="118">
        <v>0.3223611111111111</v>
      </c>
      <c r="H649" s="118">
        <v>1.6782407407407406E-3</v>
      </c>
      <c r="I649" s="118">
        <v>1.0069444444444444E-3</v>
      </c>
      <c r="J649" s="118">
        <v>5.0462962962962961E-3</v>
      </c>
      <c r="K649" s="118">
        <v>5.0462962962962961E-3</v>
      </c>
    </row>
    <row r="650" spans="1:11" x14ac:dyDescent="0.25">
      <c r="A650">
        <v>2</v>
      </c>
      <c r="B650">
        <v>3</v>
      </c>
      <c r="C650"/>
      <c r="D650" t="s">
        <v>31</v>
      </c>
      <c r="E650" t="s">
        <v>35</v>
      </c>
      <c r="F650" t="s">
        <v>42</v>
      </c>
      <c r="G650" s="118">
        <v>0.32238425925925923</v>
      </c>
      <c r="H650" s="118">
        <v>9.0277777777777784E-4</v>
      </c>
      <c r="I650" s="118">
        <v>3.4722222222222224E-4</v>
      </c>
      <c r="J650"/>
      <c r="K650"/>
    </row>
    <row r="651" spans="1:11" x14ac:dyDescent="0.25">
      <c r="A651">
        <v>6</v>
      </c>
      <c r="B651">
        <v>4</v>
      </c>
      <c r="C651"/>
      <c r="D651" t="s">
        <v>31</v>
      </c>
      <c r="E651" t="s">
        <v>32</v>
      </c>
      <c r="F651" t="s">
        <v>34</v>
      </c>
      <c r="G651" s="118">
        <v>0.32246527777777778</v>
      </c>
      <c r="H651" s="118">
        <v>3.4722222222222224E-4</v>
      </c>
      <c r="I651" s="118">
        <v>9.1435185185185185E-4</v>
      </c>
      <c r="J651" s="118">
        <v>5.0462962962962961E-3</v>
      </c>
      <c r="K651" s="118">
        <v>5.0462962962962961E-3</v>
      </c>
    </row>
    <row r="652" spans="1:11" x14ac:dyDescent="0.25">
      <c r="A652">
        <v>4</v>
      </c>
      <c r="B652">
        <v>3</v>
      </c>
      <c r="C652"/>
      <c r="D652" t="s">
        <v>31</v>
      </c>
      <c r="E652" t="s">
        <v>35</v>
      </c>
      <c r="F652" t="s">
        <v>51</v>
      </c>
      <c r="G652" s="118">
        <v>0.32253472222222224</v>
      </c>
      <c r="H652" s="118">
        <v>9.1435185185185185E-4</v>
      </c>
      <c r="I652" s="118">
        <v>3.4722222222222224E-4</v>
      </c>
      <c r="J652"/>
      <c r="K652"/>
    </row>
    <row r="653" spans="1:11" x14ac:dyDescent="0.25">
      <c r="A653">
        <v>3</v>
      </c>
      <c r="B653">
        <v>3</v>
      </c>
      <c r="C653"/>
      <c r="D653" t="s">
        <v>31</v>
      </c>
      <c r="E653" t="s">
        <v>35</v>
      </c>
      <c r="F653" t="s">
        <v>43</v>
      </c>
      <c r="G653" s="118">
        <v>0.32261574074074073</v>
      </c>
      <c r="H653" s="118">
        <v>1.0995370370370371E-3</v>
      </c>
      <c r="I653" s="118">
        <v>3.4722222222222224E-4</v>
      </c>
      <c r="J653"/>
      <c r="K653"/>
    </row>
    <row r="654" spans="1:11" x14ac:dyDescent="0.25">
      <c r="A654">
        <v>5</v>
      </c>
      <c r="B654">
        <v>4</v>
      </c>
      <c r="C654"/>
      <c r="D654" t="s">
        <v>31</v>
      </c>
      <c r="E654" t="s">
        <v>35</v>
      </c>
      <c r="F654" t="s">
        <v>57</v>
      </c>
      <c r="G654" s="118">
        <v>0.32270833333333332</v>
      </c>
      <c r="H654" s="118">
        <v>1.0532407407407407E-3</v>
      </c>
      <c r="I654" s="118">
        <v>3.4722222222222224E-4</v>
      </c>
      <c r="J654"/>
      <c r="K654"/>
    </row>
    <row r="655" spans="1:11" x14ac:dyDescent="0.25">
      <c r="A655">
        <v>2</v>
      </c>
      <c r="B655">
        <v>3</v>
      </c>
      <c r="C655"/>
      <c r="D655" t="s">
        <v>31</v>
      </c>
      <c r="E655" t="s">
        <v>32</v>
      </c>
      <c r="F655" t="s">
        <v>42</v>
      </c>
      <c r="G655" s="118">
        <v>0.32273148148148151</v>
      </c>
      <c r="H655" s="118">
        <v>3.4722222222222224E-4</v>
      </c>
      <c r="I655" s="118">
        <v>9.1435185185185185E-4</v>
      </c>
      <c r="J655" s="118">
        <v>5.8912037037037032E-3</v>
      </c>
      <c r="K655" s="118">
        <v>5.8912037037037032E-3</v>
      </c>
    </row>
    <row r="656" spans="1:11" x14ac:dyDescent="0.25">
      <c r="A656">
        <v>4</v>
      </c>
      <c r="B656">
        <v>3</v>
      </c>
      <c r="C656"/>
      <c r="D656" t="s">
        <v>31</v>
      </c>
      <c r="E656" t="s">
        <v>32</v>
      </c>
      <c r="F656" t="s">
        <v>51</v>
      </c>
      <c r="G656" s="118">
        <v>0.32288194444444446</v>
      </c>
      <c r="H656" s="118">
        <v>3.4722222222222224E-4</v>
      </c>
      <c r="I656" s="118">
        <v>1.0069444444444444E-3</v>
      </c>
      <c r="J656" s="118">
        <v>5.0462962962962961E-3</v>
      </c>
      <c r="K656" s="118">
        <v>5.0462962962962961E-3</v>
      </c>
    </row>
    <row r="657" spans="1:11" x14ac:dyDescent="0.25">
      <c r="A657">
        <v>3</v>
      </c>
      <c r="B657">
        <v>3</v>
      </c>
      <c r="C657"/>
      <c r="D657" t="s">
        <v>31</v>
      </c>
      <c r="E657" t="s">
        <v>32</v>
      </c>
      <c r="F657" t="s">
        <v>43</v>
      </c>
      <c r="G657" s="118">
        <v>0.32296296296296295</v>
      </c>
      <c r="H657" s="118">
        <v>3.4722222222222224E-4</v>
      </c>
      <c r="I657" s="118">
        <v>1.1458333333333333E-3</v>
      </c>
      <c r="J657" s="118">
        <v>5.8912037037037032E-3</v>
      </c>
      <c r="K657" s="118">
        <v>5.0462962962962961E-3</v>
      </c>
    </row>
    <row r="658" spans="1:11" x14ac:dyDescent="0.25">
      <c r="A658">
        <v>7</v>
      </c>
      <c r="B658">
        <v>1</v>
      </c>
      <c r="C658"/>
      <c r="D658" t="s">
        <v>31</v>
      </c>
      <c r="E658" t="s">
        <v>35</v>
      </c>
      <c r="F658" t="s">
        <v>49</v>
      </c>
      <c r="G658" s="118">
        <v>0.32303240740740741</v>
      </c>
      <c r="H658" s="118">
        <v>9.2592592592592585E-4</v>
      </c>
      <c r="I658" s="118">
        <v>3.4722222222222224E-4</v>
      </c>
      <c r="J658"/>
      <c r="K658"/>
    </row>
    <row r="659" spans="1:11" x14ac:dyDescent="0.25">
      <c r="A659">
        <v>5</v>
      </c>
      <c r="B659">
        <v>4</v>
      </c>
      <c r="C659"/>
      <c r="D659" t="s">
        <v>31</v>
      </c>
      <c r="E659" t="s">
        <v>32</v>
      </c>
      <c r="F659" t="s">
        <v>57</v>
      </c>
      <c r="G659" s="118">
        <v>0.3230555555555556</v>
      </c>
      <c r="H659" s="118">
        <v>3.4722222222222224E-4</v>
      </c>
      <c r="I659" s="118">
        <v>9.3750000000000007E-4</v>
      </c>
      <c r="J659" s="118">
        <v>5.0462962962962961E-3</v>
      </c>
      <c r="K659" s="118">
        <v>5.0462962962962961E-3</v>
      </c>
    </row>
    <row r="660" spans="1:11" x14ac:dyDescent="0.25">
      <c r="A660">
        <v>1</v>
      </c>
      <c r="B660">
        <v>3</v>
      </c>
      <c r="C660"/>
      <c r="D660" t="s">
        <v>31</v>
      </c>
      <c r="E660" t="s">
        <v>35</v>
      </c>
      <c r="F660" t="s">
        <v>41</v>
      </c>
      <c r="G660" s="118">
        <v>0.32336805555555553</v>
      </c>
      <c r="H660" s="118">
        <v>1.0069444444444444E-3</v>
      </c>
      <c r="I660" s="118">
        <v>3.4722222222222224E-4</v>
      </c>
      <c r="J660"/>
      <c r="K660"/>
    </row>
    <row r="661" spans="1:11" x14ac:dyDescent="0.25">
      <c r="A661">
        <v>6</v>
      </c>
      <c r="B661">
        <v>4</v>
      </c>
      <c r="C661"/>
      <c r="D661" t="s">
        <v>31</v>
      </c>
      <c r="E661" t="s">
        <v>35</v>
      </c>
      <c r="F661" t="s">
        <v>38</v>
      </c>
      <c r="G661" s="118">
        <v>0.32337962962962963</v>
      </c>
      <c r="H661" s="118">
        <v>9.1435185185185185E-4</v>
      </c>
      <c r="I661" s="118">
        <v>3.4722222222222224E-4</v>
      </c>
      <c r="J661"/>
      <c r="K661"/>
    </row>
    <row r="662" spans="1:11" x14ac:dyDescent="0.25">
      <c r="A662">
        <v>7</v>
      </c>
      <c r="B662">
        <v>1</v>
      </c>
      <c r="C662"/>
      <c r="D662" t="s">
        <v>31</v>
      </c>
      <c r="E662" t="s">
        <v>32</v>
      </c>
      <c r="F662" t="s">
        <v>49</v>
      </c>
      <c r="G662" s="118">
        <v>0.32337962962962963</v>
      </c>
      <c r="H662" s="118">
        <v>3.4722222222222224E-4</v>
      </c>
      <c r="I662" s="118">
        <v>1.3541666666666667E-3</v>
      </c>
      <c r="J662" s="118">
        <v>5.0462962962962961E-3</v>
      </c>
      <c r="K662" s="118">
        <v>5.0462962962962961E-3</v>
      </c>
    </row>
    <row r="663" spans="1:11" x14ac:dyDescent="0.25">
      <c r="A663">
        <v>2</v>
      </c>
      <c r="B663">
        <v>3</v>
      </c>
      <c r="C663"/>
      <c r="D663" t="s">
        <v>31</v>
      </c>
      <c r="E663" t="s">
        <v>35</v>
      </c>
      <c r="F663" t="s">
        <v>48</v>
      </c>
      <c r="G663" s="118">
        <v>0.32364583333333335</v>
      </c>
      <c r="H663" s="118">
        <v>9.1435185185185185E-4</v>
      </c>
      <c r="I663" s="118">
        <v>5.2083333333333333E-4</v>
      </c>
      <c r="J663"/>
      <c r="K663"/>
    </row>
    <row r="664" spans="1:11" x14ac:dyDescent="0.25">
      <c r="A664">
        <v>1</v>
      </c>
      <c r="B664">
        <v>3</v>
      </c>
      <c r="C664"/>
      <c r="D664" t="s">
        <v>31</v>
      </c>
      <c r="E664" t="s">
        <v>32</v>
      </c>
      <c r="F664" t="s">
        <v>41</v>
      </c>
      <c r="G664" s="118">
        <v>0.32371527777777781</v>
      </c>
      <c r="H664" s="118">
        <v>3.4722222222222224E-4</v>
      </c>
      <c r="I664" s="118">
        <v>8.564814814814815E-4</v>
      </c>
      <c r="J664" s="118">
        <v>5.0462962962962961E-3</v>
      </c>
      <c r="K664" s="118">
        <v>5.0462962962962961E-3</v>
      </c>
    </row>
    <row r="665" spans="1:11" x14ac:dyDescent="0.25">
      <c r="A665">
        <v>6</v>
      </c>
      <c r="B665">
        <v>4</v>
      </c>
      <c r="C665"/>
      <c r="D665" t="s">
        <v>31</v>
      </c>
      <c r="E665" t="s">
        <v>32</v>
      </c>
      <c r="F665" t="s">
        <v>38</v>
      </c>
      <c r="G665" s="118">
        <v>0.32372685185185185</v>
      </c>
      <c r="H665" s="118">
        <v>3.4722222222222224E-4</v>
      </c>
      <c r="I665" s="118">
        <v>1.2384259259259258E-3</v>
      </c>
      <c r="J665" s="118">
        <v>5.0462962962962961E-3</v>
      </c>
      <c r="K665" s="118">
        <v>5.0462962962962961E-3</v>
      </c>
    </row>
    <row r="666" spans="1:11" x14ac:dyDescent="0.25">
      <c r="A666">
        <v>4</v>
      </c>
      <c r="B666">
        <v>3</v>
      </c>
      <c r="C666"/>
      <c r="D666" t="s">
        <v>31</v>
      </c>
      <c r="E666" t="s">
        <v>35</v>
      </c>
      <c r="F666" t="s">
        <v>55</v>
      </c>
      <c r="G666" s="118">
        <v>0.32388888888888889</v>
      </c>
      <c r="H666" s="118">
        <v>1.0069444444444444E-3</v>
      </c>
      <c r="I666" s="118">
        <v>4.6296296296296293E-4</v>
      </c>
      <c r="J666"/>
      <c r="K666"/>
    </row>
    <row r="667" spans="1:11" x14ac:dyDescent="0.25">
      <c r="A667">
        <v>5</v>
      </c>
      <c r="B667">
        <v>4</v>
      </c>
      <c r="C667"/>
      <c r="D667" t="s">
        <v>31</v>
      </c>
      <c r="E667" t="s">
        <v>35</v>
      </c>
      <c r="F667" t="s">
        <v>39</v>
      </c>
      <c r="G667" s="118">
        <v>0.32399305555555552</v>
      </c>
      <c r="H667" s="118">
        <v>9.3750000000000007E-4</v>
      </c>
      <c r="I667" s="118">
        <v>5.2083333333333333E-4</v>
      </c>
      <c r="J667"/>
      <c r="K667"/>
    </row>
    <row r="668" spans="1:11" x14ac:dyDescent="0.25">
      <c r="A668">
        <v>3</v>
      </c>
      <c r="B668">
        <v>3</v>
      </c>
      <c r="C668"/>
      <c r="D668" t="s">
        <v>31</v>
      </c>
      <c r="E668" t="s">
        <v>35</v>
      </c>
      <c r="F668" t="s">
        <v>50</v>
      </c>
      <c r="G668" s="118">
        <v>0.3241087962962963</v>
      </c>
      <c r="H668" s="118">
        <v>1.1458333333333333E-3</v>
      </c>
      <c r="I668" s="118">
        <v>3.4722222222222224E-4</v>
      </c>
      <c r="J668"/>
      <c r="K668"/>
    </row>
    <row r="669" spans="1:11" x14ac:dyDescent="0.25">
      <c r="A669">
        <v>2</v>
      </c>
      <c r="B669">
        <v>3</v>
      </c>
      <c r="C669"/>
      <c r="D669" t="s">
        <v>31</v>
      </c>
      <c r="E669" t="s">
        <v>32</v>
      </c>
      <c r="F669" t="s">
        <v>48</v>
      </c>
      <c r="G669" s="118">
        <v>0.32416666666666666</v>
      </c>
      <c r="H669" s="118">
        <v>5.2083333333333333E-4</v>
      </c>
      <c r="I669" s="118">
        <v>8.6805555555555551E-4</v>
      </c>
      <c r="J669" s="118">
        <v>5.8912037037037032E-3</v>
      </c>
      <c r="K669" s="118">
        <v>5.8912037037037032E-3</v>
      </c>
    </row>
    <row r="670" spans="1:11" x14ac:dyDescent="0.25">
      <c r="A670">
        <v>4</v>
      </c>
      <c r="B670">
        <v>3</v>
      </c>
      <c r="C670"/>
      <c r="D670" t="s">
        <v>31</v>
      </c>
      <c r="E670" t="s">
        <v>32</v>
      </c>
      <c r="F670" t="s">
        <v>55</v>
      </c>
      <c r="G670" s="118">
        <v>0.32435185185185184</v>
      </c>
      <c r="H670" s="118">
        <v>4.6296296296296293E-4</v>
      </c>
      <c r="I670" s="118">
        <v>4.3981481481481481E-4</v>
      </c>
      <c r="J670" s="118">
        <v>5.0462962962962961E-3</v>
      </c>
      <c r="K670" s="118">
        <v>5.0462962962962961E-3</v>
      </c>
    </row>
    <row r="671" spans="1:11" x14ac:dyDescent="0.25">
      <c r="A671">
        <v>3</v>
      </c>
      <c r="B671">
        <v>3</v>
      </c>
      <c r="C671"/>
      <c r="D671" t="s">
        <v>31</v>
      </c>
      <c r="E671" t="s">
        <v>32</v>
      </c>
      <c r="F671" t="s">
        <v>50</v>
      </c>
      <c r="G671" s="118">
        <v>0.32445601851851852</v>
      </c>
      <c r="H671" s="118">
        <v>3.4722222222222224E-4</v>
      </c>
      <c r="I671" s="118">
        <v>1.261574074074074E-3</v>
      </c>
      <c r="J671" s="118">
        <v>5.8912037037037032E-3</v>
      </c>
      <c r="K671" s="118">
        <v>5.0462962962962961E-3</v>
      </c>
    </row>
    <row r="672" spans="1:11" x14ac:dyDescent="0.25">
      <c r="A672">
        <v>5</v>
      </c>
      <c r="B672">
        <v>4</v>
      </c>
      <c r="C672"/>
      <c r="D672" t="s">
        <v>31</v>
      </c>
      <c r="E672" t="s">
        <v>32</v>
      </c>
      <c r="F672" t="s">
        <v>39</v>
      </c>
      <c r="G672" s="118">
        <v>0.32451388888888888</v>
      </c>
      <c r="H672" s="118">
        <v>5.2083333333333333E-4</v>
      </c>
      <c r="I672" s="118">
        <v>1.8055555555555557E-3</v>
      </c>
      <c r="J672" s="118">
        <v>5.0462962962962961E-3</v>
      </c>
      <c r="K672" s="118">
        <v>5.0462962962962961E-3</v>
      </c>
    </row>
    <row r="673" spans="1:11" x14ac:dyDescent="0.25">
      <c r="A673">
        <v>1</v>
      </c>
      <c r="B673">
        <v>3</v>
      </c>
      <c r="C673"/>
      <c r="D673" t="s">
        <v>31</v>
      </c>
      <c r="E673" t="s">
        <v>35</v>
      </c>
      <c r="F673" t="s">
        <v>47</v>
      </c>
      <c r="G673" s="118">
        <v>0.32457175925925924</v>
      </c>
      <c r="H673" s="118">
        <v>8.564814814814815E-4</v>
      </c>
      <c r="I673" s="118">
        <v>5.2083333333333333E-4</v>
      </c>
      <c r="J673"/>
      <c r="K673"/>
    </row>
    <row r="674" spans="1:11" x14ac:dyDescent="0.25">
      <c r="A674">
        <v>7</v>
      </c>
      <c r="B674">
        <v>1</v>
      </c>
      <c r="C674"/>
      <c r="D674" t="s">
        <v>31</v>
      </c>
      <c r="E674" t="s">
        <v>35</v>
      </c>
      <c r="F674" t="s">
        <v>33</v>
      </c>
      <c r="G674" s="118">
        <v>0.32473379629629628</v>
      </c>
      <c r="H674" s="118">
        <v>1.3541666666666667E-3</v>
      </c>
      <c r="I674" s="118">
        <v>5.2083333333333333E-4</v>
      </c>
      <c r="J674"/>
      <c r="K674"/>
    </row>
    <row r="675" spans="1:11" x14ac:dyDescent="0.25">
      <c r="A675">
        <v>4</v>
      </c>
      <c r="B675">
        <v>3</v>
      </c>
      <c r="C675"/>
      <c r="D675" t="s">
        <v>31</v>
      </c>
      <c r="E675" t="s">
        <v>35</v>
      </c>
      <c r="F675" t="s">
        <v>58</v>
      </c>
      <c r="G675" s="118">
        <v>0.32479166666666665</v>
      </c>
      <c r="H675" s="118">
        <v>4.3981481481481481E-4</v>
      </c>
      <c r="I675" s="118">
        <v>5.7870370370370366E-5</v>
      </c>
      <c r="J675"/>
      <c r="K675"/>
    </row>
    <row r="676" spans="1:11" x14ac:dyDescent="0.25">
      <c r="A676">
        <v>4</v>
      </c>
      <c r="B676">
        <v>3</v>
      </c>
      <c r="C676"/>
      <c r="D676" t="s">
        <v>31</v>
      </c>
      <c r="E676" t="s">
        <v>32</v>
      </c>
      <c r="F676" t="s">
        <v>58</v>
      </c>
      <c r="G676" s="118">
        <v>0.32484953703703706</v>
      </c>
      <c r="H676" s="118">
        <v>5.7870370370370366E-5</v>
      </c>
      <c r="I676" s="118">
        <v>4.8611111111111104E-4</v>
      </c>
      <c r="J676" s="118">
        <v>5.0462962962962961E-3</v>
      </c>
      <c r="K676" s="118">
        <v>5.0462962962962961E-3</v>
      </c>
    </row>
    <row r="677" spans="1:11" x14ac:dyDescent="0.25">
      <c r="A677">
        <v>6</v>
      </c>
      <c r="B677">
        <v>4</v>
      </c>
      <c r="C677"/>
      <c r="D677" t="s">
        <v>31</v>
      </c>
      <c r="E677" t="s">
        <v>35</v>
      </c>
      <c r="F677" t="s">
        <v>45</v>
      </c>
      <c r="G677" s="118">
        <v>0.32496527777777778</v>
      </c>
      <c r="H677" s="118">
        <v>1.2384259259259258E-3</v>
      </c>
      <c r="I677" s="118">
        <v>3.4722222222222224E-4</v>
      </c>
      <c r="J677"/>
      <c r="K677"/>
    </row>
    <row r="678" spans="1:11" x14ac:dyDescent="0.25">
      <c r="A678">
        <v>2</v>
      </c>
      <c r="B678">
        <v>3</v>
      </c>
      <c r="C678"/>
      <c r="D678" t="s">
        <v>31</v>
      </c>
      <c r="E678" t="s">
        <v>35</v>
      </c>
      <c r="F678" t="s">
        <v>54</v>
      </c>
      <c r="G678" s="118">
        <v>0.32503472222222224</v>
      </c>
      <c r="H678" s="118">
        <v>8.6805555555555551E-4</v>
      </c>
      <c r="I678" s="118">
        <v>3.4722222222222224E-4</v>
      </c>
      <c r="J678"/>
      <c r="K678"/>
    </row>
    <row r="679" spans="1:11" x14ac:dyDescent="0.25">
      <c r="A679">
        <v>1</v>
      </c>
      <c r="B679">
        <v>3</v>
      </c>
      <c r="C679"/>
      <c r="D679" t="s">
        <v>31</v>
      </c>
      <c r="E679" t="s">
        <v>32</v>
      </c>
      <c r="F679" t="s">
        <v>47</v>
      </c>
      <c r="G679" s="118">
        <v>0.3250925925925926</v>
      </c>
      <c r="H679" s="118">
        <v>5.2083333333333333E-4</v>
      </c>
      <c r="I679" s="118">
        <v>8.7962962962962962E-4</v>
      </c>
      <c r="J679" s="118">
        <v>5.0462962962962961E-3</v>
      </c>
      <c r="K679" s="118">
        <v>5.0462962962962961E-3</v>
      </c>
    </row>
    <row r="680" spans="1:11" x14ac:dyDescent="0.25">
      <c r="A680">
        <v>7</v>
      </c>
      <c r="B680">
        <v>1</v>
      </c>
      <c r="C680"/>
      <c r="D680" t="s">
        <v>31</v>
      </c>
      <c r="E680" t="s">
        <v>32</v>
      </c>
      <c r="F680" t="s">
        <v>33</v>
      </c>
      <c r="G680" s="118">
        <v>0.32525462962962964</v>
      </c>
      <c r="H680" s="118">
        <v>5.2083333333333333E-4</v>
      </c>
      <c r="I680" s="118">
        <v>9.6064814814814808E-4</v>
      </c>
      <c r="J680" s="118">
        <v>5.0462962962962961E-3</v>
      </c>
      <c r="K680" s="118">
        <v>5.0462962962962961E-3</v>
      </c>
    </row>
    <row r="681" spans="1:11" x14ac:dyDescent="0.25">
      <c r="A681">
        <v>6</v>
      </c>
      <c r="B681">
        <v>4</v>
      </c>
      <c r="C681"/>
      <c r="D681" t="s">
        <v>31</v>
      </c>
      <c r="E681" t="s">
        <v>32</v>
      </c>
      <c r="F681" t="s">
        <v>45</v>
      </c>
      <c r="G681" s="118">
        <v>0.3253125</v>
      </c>
      <c r="H681" s="118">
        <v>3.4722222222222224E-4</v>
      </c>
      <c r="I681" s="118">
        <v>1.0416666666666667E-3</v>
      </c>
      <c r="J681" s="118">
        <v>5.0462962962962961E-3</v>
      </c>
      <c r="K681" s="118">
        <v>5.0462962962962961E-3</v>
      </c>
    </row>
    <row r="682" spans="1:11" x14ac:dyDescent="0.25">
      <c r="A682">
        <v>4</v>
      </c>
      <c r="B682">
        <v>3</v>
      </c>
      <c r="C682"/>
      <c r="D682" t="s">
        <v>31</v>
      </c>
      <c r="E682" t="s">
        <v>35</v>
      </c>
      <c r="F682" t="s">
        <v>40</v>
      </c>
      <c r="G682" s="118">
        <v>0.32533564814814814</v>
      </c>
      <c r="H682" s="118">
        <v>4.8611111111111104E-4</v>
      </c>
      <c r="I682" s="118">
        <v>4.6296296296296293E-4</v>
      </c>
      <c r="J682"/>
      <c r="K682"/>
    </row>
    <row r="683" spans="1:11" x14ac:dyDescent="0.25">
      <c r="A683">
        <v>2</v>
      </c>
      <c r="B683">
        <v>3</v>
      </c>
      <c r="C683"/>
      <c r="D683" t="s">
        <v>31</v>
      </c>
      <c r="E683" t="s">
        <v>32</v>
      </c>
      <c r="F683" t="s">
        <v>54</v>
      </c>
      <c r="G683" s="118">
        <v>0.3253819444444444</v>
      </c>
      <c r="H683" s="118">
        <v>3.4722222222222224E-4</v>
      </c>
      <c r="I683" s="118">
        <v>1.1921296296296296E-3</v>
      </c>
      <c r="J683" s="118">
        <v>5.8912037037037032E-3</v>
      </c>
      <c r="K683" s="118">
        <v>5.8912037037037032E-3</v>
      </c>
    </row>
    <row r="684" spans="1:11" x14ac:dyDescent="0.25">
      <c r="A684">
        <v>3</v>
      </c>
      <c r="B684">
        <v>3</v>
      </c>
      <c r="C684"/>
      <c r="D684" t="s">
        <v>31</v>
      </c>
      <c r="E684" t="s">
        <v>35</v>
      </c>
      <c r="F684" t="s">
        <v>56</v>
      </c>
      <c r="G684" s="118">
        <v>0.32571759259259259</v>
      </c>
      <c r="H684" s="118">
        <v>1.261574074074074E-3</v>
      </c>
      <c r="I684" s="118">
        <v>3.4722222222222224E-4</v>
      </c>
      <c r="J684"/>
      <c r="K684"/>
    </row>
    <row r="685" spans="1:11" x14ac:dyDescent="0.25">
      <c r="A685">
        <v>4</v>
      </c>
      <c r="B685">
        <v>3</v>
      </c>
      <c r="C685"/>
      <c r="D685" t="s">
        <v>31</v>
      </c>
      <c r="E685" t="s">
        <v>32</v>
      </c>
      <c r="F685" t="s">
        <v>40</v>
      </c>
      <c r="G685" s="118">
        <v>0.32579861111111114</v>
      </c>
      <c r="H685" s="118">
        <v>4.6296296296296293E-4</v>
      </c>
      <c r="I685" s="118">
        <v>1.0069444444444444E-3</v>
      </c>
      <c r="J685" s="118">
        <v>5.0462962962962961E-3</v>
      </c>
      <c r="K685" s="118">
        <v>5.0462962962962961E-3</v>
      </c>
    </row>
    <row r="686" spans="1:11" x14ac:dyDescent="0.25">
      <c r="A686">
        <v>1</v>
      </c>
      <c r="B686">
        <v>3</v>
      </c>
      <c r="C686"/>
      <c r="D686" t="s">
        <v>31</v>
      </c>
      <c r="E686" t="s">
        <v>35</v>
      </c>
      <c r="F686" t="s">
        <v>53</v>
      </c>
      <c r="G686" s="118">
        <v>0.32597222222222222</v>
      </c>
      <c r="H686" s="118">
        <v>8.7962962962962962E-4</v>
      </c>
      <c r="I686" s="118">
        <v>3.4722222222222224E-4</v>
      </c>
      <c r="J686"/>
      <c r="K686"/>
    </row>
    <row r="687" spans="1:11" x14ac:dyDescent="0.25">
      <c r="A687">
        <v>3</v>
      </c>
      <c r="B687">
        <v>3</v>
      </c>
      <c r="C687"/>
      <c r="D687" t="s">
        <v>31</v>
      </c>
      <c r="E687" t="s">
        <v>32</v>
      </c>
      <c r="F687" t="s">
        <v>56</v>
      </c>
      <c r="G687" s="118">
        <v>0.32606481481481481</v>
      </c>
      <c r="H687" s="118">
        <v>3.4722222222222224E-4</v>
      </c>
      <c r="I687" s="118">
        <v>9.6064814814814808E-4</v>
      </c>
      <c r="J687" s="118">
        <v>5.8912037037037032E-3</v>
      </c>
      <c r="K687" s="118">
        <v>5.0462962962962961E-3</v>
      </c>
    </row>
    <row r="688" spans="1:11" x14ac:dyDescent="0.25">
      <c r="A688">
        <v>7</v>
      </c>
      <c r="B688">
        <v>1</v>
      </c>
      <c r="C688"/>
      <c r="D688" t="s">
        <v>31</v>
      </c>
      <c r="E688" t="s">
        <v>35</v>
      </c>
      <c r="F688" t="s">
        <v>36</v>
      </c>
      <c r="G688" s="118">
        <v>0.32621527777777776</v>
      </c>
      <c r="H688" s="118">
        <v>9.6064814814814808E-4</v>
      </c>
      <c r="I688" s="118">
        <v>3.4722222222222224E-4</v>
      </c>
      <c r="J688"/>
      <c r="K688"/>
    </row>
    <row r="689" spans="1:11" x14ac:dyDescent="0.25">
      <c r="A689">
        <v>1</v>
      </c>
      <c r="B689">
        <v>3</v>
      </c>
      <c r="C689"/>
      <c r="D689" t="s">
        <v>31</v>
      </c>
      <c r="E689" t="s">
        <v>32</v>
      </c>
      <c r="F689" t="s">
        <v>53</v>
      </c>
      <c r="G689" s="118">
        <v>0.32631944444444444</v>
      </c>
      <c r="H689" s="118">
        <v>3.4722222222222224E-4</v>
      </c>
      <c r="I689" s="118">
        <v>8.449074074074075E-4</v>
      </c>
      <c r="J689" s="118">
        <v>5.0462962962962961E-3</v>
      </c>
      <c r="K689" s="118">
        <v>5.0462962962962961E-3</v>
      </c>
    </row>
    <row r="690" spans="1:11" x14ac:dyDescent="0.25">
      <c r="A690">
        <v>5</v>
      </c>
      <c r="B690">
        <v>4</v>
      </c>
      <c r="C690"/>
      <c r="D690" t="s">
        <v>31</v>
      </c>
      <c r="E690" t="s">
        <v>35</v>
      </c>
      <c r="F690" t="s">
        <v>46</v>
      </c>
      <c r="G690" s="118">
        <v>0.32631944444444444</v>
      </c>
      <c r="H690" s="118">
        <v>1.8055555555555557E-3</v>
      </c>
      <c r="I690" s="118">
        <v>3.4722222222222224E-4</v>
      </c>
      <c r="J690"/>
      <c r="K690"/>
    </row>
    <row r="691" spans="1:11" x14ac:dyDescent="0.25">
      <c r="A691">
        <v>6</v>
      </c>
      <c r="B691">
        <v>4</v>
      </c>
      <c r="C691"/>
      <c r="D691" t="s">
        <v>31</v>
      </c>
      <c r="E691" t="s">
        <v>35</v>
      </c>
      <c r="F691" t="s">
        <v>52</v>
      </c>
      <c r="G691" s="118">
        <v>0.32635416666666667</v>
      </c>
      <c r="H691" s="118">
        <v>1.0416666666666667E-3</v>
      </c>
      <c r="I691" s="118">
        <v>3.4722222222222224E-4</v>
      </c>
      <c r="J691"/>
      <c r="K691"/>
    </row>
    <row r="692" spans="1:11" x14ac:dyDescent="0.25">
      <c r="A692">
        <v>7</v>
      </c>
      <c r="B692">
        <v>1</v>
      </c>
      <c r="C692"/>
      <c r="D692" t="s">
        <v>31</v>
      </c>
      <c r="E692" t="s">
        <v>32</v>
      </c>
      <c r="F692" t="s">
        <v>36</v>
      </c>
      <c r="G692" s="118">
        <v>0.32656250000000003</v>
      </c>
      <c r="H692" s="118">
        <v>3.4722222222222224E-4</v>
      </c>
      <c r="I692" s="118">
        <v>1.0995370370370371E-3</v>
      </c>
      <c r="J692" s="118">
        <v>5.0462962962962961E-3</v>
      </c>
      <c r="K692" s="118">
        <v>5.0462962962962961E-3</v>
      </c>
    </row>
    <row r="693" spans="1:11" x14ac:dyDescent="0.25">
      <c r="A693">
        <v>2</v>
      </c>
      <c r="B693">
        <v>3</v>
      </c>
      <c r="C693"/>
      <c r="D693" t="s">
        <v>31</v>
      </c>
      <c r="E693" t="s">
        <v>35</v>
      </c>
      <c r="F693" t="s">
        <v>92</v>
      </c>
      <c r="G693" s="118">
        <v>0.32657407407407407</v>
      </c>
      <c r="H693" s="118">
        <v>1.1921296296296296E-3</v>
      </c>
      <c r="I693" s="118">
        <v>8.3333333333333339E-4</v>
      </c>
      <c r="J693"/>
      <c r="K693"/>
    </row>
    <row r="694" spans="1:11" x14ac:dyDescent="0.25">
      <c r="A694">
        <v>5</v>
      </c>
      <c r="B694">
        <v>4</v>
      </c>
      <c r="C694"/>
      <c r="D694" t="s">
        <v>31</v>
      </c>
      <c r="E694" t="s">
        <v>32</v>
      </c>
      <c r="F694" t="s">
        <v>46</v>
      </c>
      <c r="G694" s="118">
        <v>0.32666666666666666</v>
      </c>
      <c r="H694" s="118">
        <v>3.4722222222222224E-4</v>
      </c>
      <c r="I694" s="118">
        <v>9.1435185185185185E-4</v>
      </c>
      <c r="J694" s="118">
        <v>5.0462962962962961E-3</v>
      </c>
      <c r="K694" s="118">
        <v>5.0462962962962961E-3</v>
      </c>
    </row>
    <row r="695" spans="1:11" x14ac:dyDescent="0.25">
      <c r="A695">
        <v>6</v>
      </c>
      <c r="B695">
        <v>4</v>
      </c>
      <c r="C695"/>
      <c r="D695" t="s">
        <v>31</v>
      </c>
      <c r="E695" t="s">
        <v>32</v>
      </c>
      <c r="F695" t="s">
        <v>52</v>
      </c>
      <c r="G695" s="118">
        <v>0.32670138888888889</v>
      </c>
      <c r="H695" s="118">
        <v>3.4722222222222224E-4</v>
      </c>
      <c r="I695" s="118">
        <v>1.0532407407407407E-3</v>
      </c>
      <c r="J695" s="118">
        <v>5.0462962962962961E-3</v>
      </c>
      <c r="K695" s="118">
        <v>5.0462962962962961E-3</v>
      </c>
    </row>
    <row r="696" spans="1:11" x14ac:dyDescent="0.25">
      <c r="A696">
        <v>4</v>
      </c>
      <c r="B696">
        <v>3</v>
      </c>
      <c r="C696"/>
      <c r="D696" t="s">
        <v>31</v>
      </c>
      <c r="E696" t="s">
        <v>35</v>
      </c>
      <c r="F696" t="s">
        <v>44</v>
      </c>
      <c r="G696" s="118">
        <v>0.32680555555555557</v>
      </c>
      <c r="H696" s="118">
        <v>1.0069444444444444E-3</v>
      </c>
      <c r="I696" s="118">
        <v>3.4722222222222224E-4</v>
      </c>
      <c r="J696"/>
      <c r="K696"/>
    </row>
    <row r="697" spans="1:11" x14ac:dyDescent="0.25">
      <c r="A697">
        <v>3</v>
      </c>
      <c r="B697">
        <v>3</v>
      </c>
      <c r="C697"/>
      <c r="D697" t="s">
        <v>31</v>
      </c>
      <c r="E697" t="s">
        <v>35</v>
      </c>
      <c r="F697" t="s">
        <v>37</v>
      </c>
      <c r="G697" s="118">
        <v>0.32702546296296298</v>
      </c>
      <c r="H697" s="118">
        <v>9.6064814814814808E-4</v>
      </c>
      <c r="I697" s="118">
        <v>3.4722222222222224E-4</v>
      </c>
      <c r="J697"/>
      <c r="K697"/>
    </row>
    <row r="698" spans="1:11" x14ac:dyDescent="0.25">
      <c r="A698">
        <v>4</v>
      </c>
      <c r="B698">
        <v>3</v>
      </c>
      <c r="C698"/>
      <c r="D698" t="s">
        <v>31</v>
      </c>
      <c r="E698" t="s">
        <v>32</v>
      </c>
      <c r="F698" t="s">
        <v>44</v>
      </c>
      <c r="G698" s="118">
        <v>0.32715277777777779</v>
      </c>
      <c r="H698" s="118">
        <v>3.4722222222222224E-4</v>
      </c>
      <c r="I698" s="118">
        <v>9.2592592592592585E-4</v>
      </c>
      <c r="J698" s="118">
        <v>5.0462962962962961E-3</v>
      </c>
      <c r="K698" s="118">
        <v>5.0462962962962961E-3</v>
      </c>
    </row>
    <row r="699" spans="1:11" x14ac:dyDescent="0.25">
      <c r="A699">
        <v>1</v>
      </c>
      <c r="B699">
        <v>3</v>
      </c>
      <c r="C699"/>
      <c r="D699" t="s">
        <v>31</v>
      </c>
      <c r="E699" t="s">
        <v>35</v>
      </c>
      <c r="F699" t="s">
        <v>34</v>
      </c>
      <c r="G699" s="118">
        <v>0.32716435185185183</v>
      </c>
      <c r="H699" s="118">
        <v>8.449074074074075E-4</v>
      </c>
      <c r="I699" s="118">
        <v>3.4722222222222224E-4</v>
      </c>
      <c r="J699"/>
      <c r="K699"/>
    </row>
    <row r="700" spans="1:11" x14ac:dyDescent="0.25">
      <c r="A700">
        <v>3</v>
      </c>
      <c r="B700">
        <v>3</v>
      </c>
      <c r="C700"/>
      <c r="D700" t="s">
        <v>31</v>
      </c>
      <c r="E700" t="s">
        <v>32</v>
      </c>
      <c r="F700" t="s">
        <v>37</v>
      </c>
      <c r="G700" s="118">
        <v>0.3273726851851852</v>
      </c>
      <c r="H700" s="118">
        <v>3.4722222222222224E-4</v>
      </c>
      <c r="I700" s="118">
        <v>9.0277777777777784E-4</v>
      </c>
      <c r="J700" s="118">
        <v>5.8912037037037032E-3</v>
      </c>
      <c r="K700" s="118">
        <v>5.0462962962962961E-3</v>
      </c>
    </row>
    <row r="701" spans="1:11" x14ac:dyDescent="0.25">
      <c r="A701">
        <v>2</v>
      </c>
      <c r="B701">
        <v>4</v>
      </c>
      <c r="C701"/>
      <c r="D701" t="s">
        <v>31</v>
      </c>
      <c r="E701" t="s">
        <v>32</v>
      </c>
      <c r="F701" t="s">
        <v>92</v>
      </c>
      <c r="G701" s="118">
        <v>0.32740740740740742</v>
      </c>
      <c r="H701" s="118">
        <v>8.3333333333333339E-4</v>
      </c>
      <c r="I701" s="118">
        <v>1.0069444444444444E-3</v>
      </c>
      <c r="J701" s="118">
        <v>5.0462962962962961E-3</v>
      </c>
      <c r="K701" s="118">
        <v>5.0462962962962961E-3</v>
      </c>
    </row>
    <row r="702" spans="1:11" x14ac:dyDescent="0.25">
      <c r="A702">
        <v>1</v>
      </c>
      <c r="B702">
        <v>3</v>
      </c>
      <c r="C702"/>
      <c r="D702" t="s">
        <v>31</v>
      </c>
      <c r="E702" t="s">
        <v>32</v>
      </c>
      <c r="F702" t="s">
        <v>34</v>
      </c>
      <c r="G702" s="118">
        <v>0.32751157407407411</v>
      </c>
      <c r="H702" s="118">
        <v>3.4722222222222224E-4</v>
      </c>
      <c r="I702" s="118">
        <v>9.1435185185185185E-4</v>
      </c>
      <c r="J702" s="118">
        <v>5.0462962962962961E-3</v>
      </c>
      <c r="K702" s="118">
        <v>5.0462962962962961E-3</v>
      </c>
    </row>
    <row r="703" spans="1:11" x14ac:dyDescent="0.25">
      <c r="A703">
        <v>5</v>
      </c>
      <c r="B703">
        <v>4</v>
      </c>
      <c r="C703"/>
      <c r="D703" t="s">
        <v>31</v>
      </c>
      <c r="E703" t="s">
        <v>35</v>
      </c>
      <c r="F703" t="s">
        <v>51</v>
      </c>
      <c r="G703" s="118">
        <v>0.32758101851851851</v>
      </c>
      <c r="H703" s="118">
        <v>9.1435185185185185E-4</v>
      </c>
      <c r="I703" s="118">
        <v>3.4722222222222224E-4</v>
      </c>
      <c r="J703"/>
      <c r="K703"/>
    </row>
    <row r="704" spans="1:11" x14ac:dyDescent="0.25">
      <c r="A704">
        <v>7</v>
      </c>
      <c r="B704">
        <v>1</v>
      </c>
      <c r="C704"/>
      <c r="D704" t="s">
        <v>31</v>
      </c>
      <c r="E704" t="s">
        <v>35</v>
      </c>
      <c r="F704" t="s">
        <v>43</v>
      </c>
      <c r="G704" s="118">
        <v>0.32766203703703706</v>
      </c>
      <c r="H704" s="118">
        <v>1.0995370370370371E-3</v>
      </c>
      <c r="I704" s="118">
        <v>3.4722222222222224E-4</v>
      </c>
      <c r="J704"/>
      <c r="K704"/>
    </row>
    <row r="705" spans="1:11" x14ac:dyDescent="0.25">
      <c r="A705">
        <v>6</v>
      </c>
      <c r="B705">
        <v>4</v>
      </c>
      <c r="C705"/>
      <c r="D705" t="s">
        <v>31</v>
      </c>
      <c r="E705" t="s">
        <v>35</v>
      </c>
      <c r="F705" t="s">
        <v>57</v>
      </c>
      <c r="G705" s="118">
        <v>0.32775462962962965</v>
      </c>
      <c r="H705" s="118">
        <v>1.0532407407407407E-3</v>
      </c>
      <c r="I705" s="118">
        <v>3.4722222222222224E-4</v>
      </c>
      <c r="J705"/>
      <c r="K705"/>
    </row>
    <row r="706" spans="1:11" x14ac:dyDescent="0.25">
      <c r="A706">
        <v>5</v>
      </c>
      <c r="B706">
        <v>4</v>
      </c>
      <c r="C706"/>
      <c r="D706" t="s">
        <v>31</v>
      </c>
      <c r="E706" t="s">
        <v>32</v>
      </c>
      <c r="F706" t="s">
        <v>51</v>
      </c>
      <c r="G706" s="118">
        <v>0.32792824074074073</v>
      </c>
      <c r="H706" s="118">
        <v>3.4722222222222224E-4</v>
      </c>
      <c r="I706" s="118">
        <v>1.0069444444444444E-3</v>
      </c>
      <c r="J706" s="118">
        <v>5.0462962962962961E-3</v>
      </c>
      <c r="K706" s="118">
        <v>5.0462962962962961E-3</v>
      </c>
    </row>
    <row r="707" spans="1:11" x14ac:dyDescent="0.25">
      <c r="A707">
        <v>7</v>
      </c>
      <c r="B707">
        <v>1</v>
      </c>
      <c r="C707"/>
      <c r="D707" t="s">
        <v>31</v>
      </c>
      <c r="E707" t="s">
        <v>32</v>
      </c>
      <c r="F707" t="s">
        <v>43</v>
      </c>
      <c r="G707" s="118">
        <v>0.32800925925925922</v>
      </c>
      <c r="H707" s="118">
        <v>3.4722222222222224E-4</v>
      </c>
      <c r="I707" s="118">
        <v>1.1458333333333333E-3</v>
      </c>
      <c r="J707" s="118">
        <v>5.0462962962962961E-3</v>
      </c>
      <c r="K707" s="118">
        <v>5.0462962962962961E-3</v>
      </c>
    </row>
    <row r="708" spans="1:11" x14ac:dyDescent="0.25">
      <c r="A708">
        <v>4</v>
      </c>
      <c r="B708">
        <v>3</v>
      </c>
      <c r="C708"/>
      <c r="D708" t="s">
        <v>31</v>
      </c>
      <c r="E708" t="s">
        <v>35</v>
      </c>
      <c r="F708" t="s">
        <v>49</v>
      </c>
      <c r="G708" s="118">
        <v>0.32807870370370368</v>
      </c>
      <c r="H708" s="118">
        <v>9.2592592592592585E-4</v>
      </c>
      <c r="I708" s="118">
        <v>3.4722222222222224E-4</v>
      </c>
      <c r="J708"/>
      <c r="K708"/>
    </row>
    <row r="709" spans="1:11" x14ac:dyDescent="0.25">
      <c r="A709">
        <v>6</v>
      </c>
      <c r="B709">
        <v>4</v>
      </c>
      <c r="C709"/>
      <c r="D709" t="s">
        <v>31</v>
      </c>
      <c r="E709" t="s">
        <v>32</v>
      </c>
      <c r="F709" t="s">
        <v>57</v>
      </c>
      <c r="G709" s="118">
        <v>0.32810185185185187</v>
      </c>
      <c r="H709" s="118">
        <v>3.4722222222222224E-4</v>
      </c>
      <c r="I709" s="118">
        <v>9.3750000000000007E-4</v>
      </c>
      <c r="J709" s="118">
        <v>5.0462962962962961E-3</v>
      </c>
      <c r="K709" s="118">
        <v>5.0462962962962961E-3</v>
      </c>
    </row>
    <row r="710" spans="1:11" x14ac:dyDescent="0.25">
      <c r="A710">
        <v>3</v>
      </c>
      <c r="B710">
        <v>3</v>
      </c>
      <c r="C710"/>
      <c r="D710" t="s">
        <v>31</v>
      </c>
      <c r="E710" t="s">
        <v>35</v>
      </c>
      <c r="F710" t="s">
        <v>42</v>
      </c>
      <c r="G710" s="118">
        <v>0.32827546296296295</v>
      </c>
      <c r="H710" s="118">
        <v>9.0277777777777784E-4</v>
      </c>
      <c r="I710" s="118">
        <v>3.4722222222222224E-4</v>
      </c>
      <c r="J710"/>
      <c r="K710"/>
    </row>
    <row r="711" spans="1:11" x14ac:dyDescent="0.25">
      <c r="A711">
        <v>2</v>
      </c>
      <c r="B711">
        <v>4</v>
      </c>
      <c r="C711"/>
      <c r="D711" t="s">
        <v>31</v>
      </c>
      <c r="E711" t="s">
        <v>35</v>
      </c>
      <c r="F711" t="s">
        <v>41</v>
      </c>
      <c r="G711" s="118">
        <v>0.32841435185185186</v>
      </c>
      <c r="H711" s="118">
        <v>1.0069444444444444E-3</v>
      </c>
      <c r="I711" s="118">
        <v>3.4722222222222224E-4</v>
      </c>
      <c r="J711"/>
      <c r="K711"/>
    </row>
    <row r="712" spans="1:11" x14ac:dyDescent="0.25">
      <c r="A712">
        <v>1</v>
      </c>
      <c r="B712">
        <v>3</v>
      </c>
      <c r="C712"/>
      <c r="D712" t="s">
        <v>31</v>
      </c>
      <c r="E712" t="s">
        <v>35</v>
      </c>
      <c r="F712" t="s">
        <v>38</v>
      </c>
      <c r="G712" s="118">
        <v>0.32842592592592595</v>
      </c>
      <c r="H712" s="118">
        <v>9.1435185185185185E-4</v>
      </c>
      <c r="I712" s="118">
        <v>3.4722222222222224E-4</v>
      </c>
      <c r="J712"/>
      <c r="K712"/>
    </row>
    <row r="713" spans="1:11" x14ac:dyDescent="0.25">
      <c r="A713">
        <v>4</v>
      </c>
      <c r="B713">
        <v>3</v>
      </c>
      <c r="C713"/>
      <c r="D713" t="s">
        <v>31</v>
      </c>
      <c r="E713" t="s">
        <v>32</v>
      </c>
      <c r="F713" t="s">
        <v>49</v>
      </c>
      <c r="G713" s="118">
        <v>0.32842592592592595</v>
      </c>
      <c r="H713" s="118">
        <v>3.4722222222222224E-4</v>
      </c>
      <c r="I713" s="118">
        <v>1.3541666666666667E-3</v>
      </c>
      <c r="J713" s="118">
        <v>5.0462962962962961E-3</v>
      </c>
      <c r="K713" s="118">
        <v>5.0462962962962961E-3</v>
      </c>
    </row>
    <row r="714" spans="1:11" x14ac:dyDescent="0.25">
      <c r="A714">
        <v>3</v>
      </c>
      <c r="B714">
        <v>3</v>
      </c>
      <c r="C714"/>
      <c r="D714" t="s">
        <v>31</v>
      </c>
      <c r="E714" t="s">
        <v>32</v>
      </c>
      <c r="F714" t="s">
        <v>42</v>
      </c>
      <c r="G714" s="118">
        <v>0.32862268518518517</v>
      </c>
      <c r="H714" s="118">
        <v>3.4722222222222224E-4</v>
      </c>
      <c r="I714" s="118">
        <v>9.1435185185185185E-4</v>
      </c>
      <c r="J714" s="118">
        <v>5.8912037037037032E-3</v>
      </c>
      <c r="K714" s="118">
        <v>5.0462962962962961E-3</v>
      </c>
    </row>
    <row r="715" spans="1:11" x14ac:dyDescent="0.25">
      <c r="A715">
        <v>2</v>
      </c>
      <c r="B715">
        <v>4</v>
      </c>
      <c r="C715"/>
      <c r="D715" t="s">
        <v>31</v>
      </c>
      <c r="E715" t="s">
        <v>32</v>
      </c>
      <c r="F715" t="s">
        <v>41</v>
      </c>
      <c r="G715" s="118">
        <v>0.32876157407407408</v>
      </c>
      <c r="H715" s="118">
        <v>3.4722222222222224E-4</v>
      </c>
      <c r="I715" s="118">
        <v>8.564814814814815E-4</v>
      </c>
      <c r="J715" s="118">
        <v>5.0462962962962961E-3</v>
      </c>
      <c r="K715" s="118">
        <v>5.0462962962962961E-3</v>
      </c>
    </row>
    <row r="716" spans="1:11" x14ac:dyDescent="0.25">
      <c r="A716">
        <v>1</v>
      </c>
      <c r="B716">
        <v>3</v>
      </c>
      <c r="C716"/>
      <c r="D716" t="s">
        <v>31</v>
      </c>
      <c r="E716" t="s">
        <v>32</v>
      </c>
      <c r="F716" t="s">
        <v>38</v>
      </c>
      <c r="G716" s="118">
        <v>0.32877314814814812</v>
      </c>
      <c r="H716" s="118">
        <v>3.4722222222222224E-4</v>
      </c>
      <c r="I716" s="118">
        <v>1.2384259259259258E-3</v>
      </c>
      <c r="J716" s="118">
        <v>5.0462962962962961E-3</v>
      </c>
      <c r="K716" s="118">
        <v>5.0462962962962961E-3</v>
      </c>
    </row>
    <row r="717" spans="1:11" x14ac:dyDescent="0.25">
      <c r="A717">
        <v>5</v>
      </c>
      <c r="B717">
        <v>4</v>
      </c>
      <c r="C717"/>
      <c r="D717" t="s">
        <v>31</v>
      </c>
      <c r="E717" t="s">
        <v>35</v>
      </c>
      <c r="F717" t="s">
        <v>55</v>
      </c>
      <c r="G717" s="118">
        <v>0.32893518518518516</v>
      </c>
      <c r="H717" s="118">
        <v>1.0069444444444444E-3</v>
      </c>
      <c r="I717" s="118">
        <v>4.6296296296296293E-4</v>
      </c>
      <c r="J717"/>
      <c r="K717"/>
    </row>
    <row r="718" spans="1:11" x14ac:dyDescent="0.25">
      <c r="A718">
        <v>6</v>
      </c>
      <c r="B718">
        <v>4</v>
      </c>
      <c r="C718"/>
      <c r="D718" t="s">
        <v>31</v>
      </c>
      <c r="E718" t="s">
        <v>35</v>
      </c>
      <c r="F718" t="s">
        <v>39</v>
      </c>
      <c r="G718" s="118">
        <v>0.32903935185185185</v>
      </c>
      <c r="H718" s="118">
        <v>9.3750000000000007E-4</v>
      </c>
      <c r="I718" s="118">
        <v>5.2083333333333333E-4</v>
      </c>
      <c r="J718"/>
      <c r="K718"/>
    </row>
    <row r="719" spans="1:11" x14ac:dyDescent="0.25">
      <c r="A719">
        <v>7</v>
      </c>
      <c r="B719">
        <v>1</v>
      </c>
      <c r="C719"/>
      <c r="D719" t="s">
        <v>31</v>
      </c>
      <c r="E719" t="s">
        <v>35</v>
      </c>
      <c r="F719" t="s">
        <v>50</v>
      </c>
      <c r="G719" s="118">
        <v>0.32915509259259262</v>
      </c>
      <c r="H719" s="118">
        <v>1.1458333333333333E-3</v>
      </c>
      <c r="I719" s="118">
        <v>3.4722222222222224E-4</v>
      </c>
      <c r="J719"/>
      <c r="K719"/>
    </row>
    <row r="720" spans="1:11" x14ac:dyDescent="0.25">
      <c r="A720">
        <v>5</v>
      </c>
      <c r="B720">
        <v>4</v>
      </c>
      <c r="C720"/>
      <c r="D720" t="s">
        <v>31</v>
      </c>
      <c r="E720" t="s">
        <v>32</v>
      </c>
      <c r="F720" t="s">
        <v>55</v>
      </c>
      <c r="G720" s="118">
        <v>0.32939814814814816</v>
      </c>
      <c r="H720" s="118">
        <v>4.6296296296296293E-4</v>
      </c>
      <c r="I720" s="118">
        <v>4.3981481481481481E-4</v>
      </c>
      <c r="J720" s="118">
        <v>5.0462962962962961E-3</v>
      </c>
      <c r="K720" s="118">
        <v>5.0462962962962961E-3</v>
      </c>
    </row>
    <row r="721" spans="1:11" x14ac:dyDescent="0.25">
      <c r="A721">
        <v>7</v>
      </c>
      <c r="B721">
        <v>1</v>
      </c>
      <c r="C721"/>
      <c r="D721" t="s">
        <v>31</v>
      </c>
      <c r="E721" t="s">
        <v>32</v>
      </c>
      <c r="F721" t="s">
        <v>50</v>
      </c>
      <c r="G721" s="118">
        <v>0.32950231481481479</v>
      </c>
      <c r="H721" s="118">
        <v>3.4722222222222224E-4</v>
      </c>
      <c r="I721" s="118">
        <v>1.261574074074074E-3</v>
      </c>
      <c r="J721" s="118">
        <v>5.0462962962962961E-3</v>
      </c>
      <c r="K721" s="118">
        <v>5.0462962962962961E-3</v>
      </c>
    </row>
    <row r="722" spans="1:11" x14ac:dyDescent="0.25">
      <c r="A722">
        <v>3</v>
      </c>
      <c r="B722">
        <v>3</v>
      </c>
      <c r="C722"/>
      <c r="D722" t="s">
        <v>31</v>
      </c>
      <c r="E722" t="s">
        <v>35</v>
      </c>
      <c r="F722" t="s">
        <v>48</v>
      </c>
      <c r="G722" s="118">
        <v>0.32953703703703702</v>
      </c>
      <c r="H722" s="118">
        <v>9.1435185185185185E-4</v>
      </c>
      <c r="I722" s="118">
        <v>5.2083333333333333E-4</v>
      </c>
      <c r="J722"/>
      <c r="K722"/>
    </row>
    <row r="723" spans="1:11" x14ac:dyDescent="0.25">
      <c r="A723">
        <v>6</v>
      </c>
      <c r="B723">
        <v>4</v>
      </c>
      <c r="C723"/>
      <c r="D723" t="s">
        <v>31</v>
      </c>
      <c r="E723" t="s">
        <v>32</v>
      </c>
      <c r="F723" t="s">
        <v>39</v>
      </c>
      <c r="G723" s="118">
        <v>0.32956018518518521</v>
      </c>
      <c r="H723" s="118">
        <v>5.2083333333333333E-4</v>
      </c>
      <c r="I723" s="118">
        <v>1.8055555555555557E-3</v>
      </c>
      <c r="J723" s="118">
        <v>5.0462962962962961E-3</v>
      </c>
      <c r="K723" s="118">
        <v>5.0462962962962961E-3</v>
      </c>
    </row>
    <row r="724" spans="1:11" x14ac:dyDescent="0.25">
      <c r="A724">
        <v>2</v>
      </c>
      <c r="B724">
        <v>4</v>
      </c>
      <c r="C724"/>
      <c r="D724" t="s">
        <v>31</v>
      </c>
      <c r="E724" t="s">
        <v>35</v>
      </c>
      <c r="F724" t="s">
        <v>47</v>
      </c>
      <c r="G724" s="118">
        <v>0.32961805555555557</v>
      </c>
      <c r="H724" s="118">
        <v>8.564814814814815E-4</v>
      </c>
      <c r="I724" s="118">
        <v>5.2083333333333333E-4</v>
      </c>
      <c r="J724"/>
      <c r="K724"/>
    </row>
    <row r="725" spans="1:11" x14ac:dyDescent="0.25">
      <c r="A725">
        <v>4</v>
      </c>
      <c r="B725">
        <v>3</v>
      </c>
      <c r="C725"/>
      <c r="D725" t="s">
        <v>31</v>
      </c>
      <c r="E725" t="s">
        <v>35</v>
      </c>
      <c r="F725" t="s">
        <v>33</v>
      </c>
      <c r="G725" s="118">
        <v>0.32978009259259261</v>
      </c>
      <c r="H725" s="118">
        <v>1.3541666666666667E-3</v>
      </c>
      <c r="I725" s="118">
        <v>5.2083333333333333E-4</v>
      </c>
      <c r="J725"/>
      <c r="K725"/>
    </row>
    <row r="726" spans="1:11" x14ac:dyDescent="0.25">
      <c r="A726">
        <v>5</v>
      </c>
      <c r="B726">
        <v>4</v>
      </c>
      <c r="C726"/>
      <c r="D726" t="s">
        <v>31</v>
      </c>
      <c r="E726" t="s">
        <v>35</v>
      </c>
      <c r="F726" t="s">
        <v>58</v>
      </c>
      <c r="G726" s="118">
        <v>0.32983796296296297</v>
      </c>
      <c r="H726" s="118">
        <v>4.3981481481481481E-4</v>
      </c>
      <c r="I726" s="118">
        <v>5.7870370370370366E-5</v>
      </c>
      <c r="J726"/>
      <c r="K726"/>
    </row>
    <row r="727" spans="1:11" x14ac:dyDescent="0.25">
      <c r="A727">
        <v>5</v>
      </c>
      <c r="B727">
        <v>4</v>
      </c>
      <c r="C727"/>
      <c r="D727" t="s">
        <v>31</v>
      </c>
      <c r="E727" t="s">
        <v>32</v>
      </c>
      <c r="F727" t="s">
        <v>58</v>
      </c>
      <c r="G727" s="118">
        <v>0.32989583333333333</v>
      </c>
      <c r="H727" s="118">
        <v>5.7870370370370366E-5</v>
      </c>
      <c r="I727" s="118">
        <v>4.8611111111111104E-4</v>
      </c>
      <c r="J727" s="118">
        <v>5.0462962962962961E-3</v>
      </c>
      <c r="K727" s="118">
        <v>5.0462962962962961E-3</v>
      </c>
    </row>
    <row r="728" spans="1:11" x14ac:dyDescent="0.25">
      <c r="A728">
        <v>1</v>
      </c>
      <c r="B728">
        <v>3</v>
      </c>
      <c r="C728"/>
      <c r="D728" t="s">
        <v>31</v>
      </c>
      <c r="E728" t="s">
        <v>35</v>
      </c>
      <c r="F728" t="s">
        <v>45</v>
      </c>
      <c r="G728" s="118">
        <v>0.33001157407407405</v>
      </c>
      <c r="H728" s="118">
        <v>1.2384259259259258E-3</v>
      </c>
      <c r="I728" s="118">
        <v>3.4722222222222224E-4</v>
      </c>
      <c r="J728"/>
      <c r="K728"/>
    </row>
    <row r="729" spans="1:11" x14ac:dyDescent="0.25">
      <c r="A729">
        <v>3</v>
      </c>
      <c r="B729">
        <v>3</v>
      </c>
      <c r="C729"/>
      <c r="D729" t="s">
        <v>31</v>
      </c>
      <c r="E729" t="s">
        <v>32</v>
      </c>
      <c r="F729" t="s">
        <v>48</v>
      </c>
      <c r="G729" s="118">
        <v>0.33005787037037038</v>
      </c>
      <c r="H729" s="118">
        <v>5.2083333333333333E-4</v>
      </c>
      <c r="I729" s="118">
        <v>8.6805555555555551E-4</v>
      </c>
      <c r="J729" s="118">
        <v>5.8912037037037032E-3</v>
      </c>
      <c r="K729" s="118">
        <v>5.0462962962962961E-3</v>
      </c>
    </row>
    <row r="730" spans="1:11" x14ac:dyDescent="0.25">
      <c r="A730">
        <v>2</v>
      </c>
      <c r="B730">
        <v>4</v>
      </c>
      <c r="C730"/>
      <c r="D730" t="s">
        <v>31</v>
      </c>
      <c r="E730" t="s">
        <v>32</v>
      </c>
      <c r="F730" t="s">
        <v>47</v>
      </c>
      <c r="G730" s="118">
        <v>0.33013888888888893</v>
      </c>
      <c r="H730" s="118">
        <v>5.2083333333333333E-4</v>
      </c>
      <c r="I730" s="118">
        <v>8.7962962962962962E-4</v>
      </c>
      <c r="J730" s="118">
        <v>5.0462962962962961E-3</v>
      </c>
      <c r="K730" s="118">
        <v>5.0462962962962961E-3</v>
      </c>
    </row>
    <row r="731" spans="1:11" x14ac:dyDescent="0.25">
      <c r="A731">
        <v>4</v>
      </c>
      <c r="B731">
        <v>3</v>
      </c>
      <c r="C731"/>
      <c r="D731" t="s">
        <v>31</v>
      </c>
      <c r="E731" t="s">
        <v>32</v>
      </c>
      <c r="F731" t="s">
        <v>33</v>
      </c>
      <c r="G731" s="118">
        <v>0.33030092592592591</v>
      </c>
      <c r="H731" s="118">
        <v>5.2083333333333333E-4</v>
      </c>
      <c r="I731" s="118">
        <v>9.6064814814814808E-4</v>
      </c>
      <c r="J731" s="118">
        <v>5.0462962962962961E-3</v>
      </c>
      <c r="K731" s="118">
        <v>5.0462962962962961E-3</v>
      </c>
    </row>
    <row r="732" spans="1:11" x14ac:dyDescent="0.25">
      <c r="A732">
        <v>1</v>
      </c>
      <c r="B732">
        <v>3</v>
      </c>
      <c r="C732"/>
      <c r="D732" t="s">
        <v>31</v>
      </c>
      <c r="E732" t="s">
        <v>32</v>
      </c>
      <c r="F732" t="s">
        <v>45</v>
      </c>
      <c r="G732" s="118">
        <v>0.33035879629629633</v>
      </c>
      <c r="H732" s="118">
        <v>3.4722222222222224E-4</v>
      </c>
      <c r="I732" s="118">
        <v>1.0416666666666667E-3</v>
      </c>
      <c r="J732" s="118">
        <v>5.0462962962962961E-3</v>
      </c>
      <c r="K732" s="118">
        <v>5.0462962962962961E-3</v>
      </c>
    </row>
    <row r="733" spans="1:11" x14ac:dyDescent="0.25">
      <c r="A733">
        <v>5</v>
      </c>
      <c r="B733">
        <v>4</v>
      </c>
      <c r="C733"/>
      <c r="D733" t="s">
        <v>31</v>
      </c>
      <c r="E733" t="s">
        <v>35</v>
      </c>
      <c r="F733" t="s">
        <v>40</v>
      </c>
      <c r="G733" s="118">
        <v>0.33038194444444446</v>
      </c>
      <c r="H733" s="118">
        <v>4.8611111111111104E-4</v>
      </c>
      <c r="I733" s="118">
        <v>4.6296296296296293E-4</v>
      </c>
      <c r="J733"/>
      <c r="K733"/>
    </row>
    <row r="734" spans="1:11" x14ac:dyDescent="0.25">
      <c r="A734">
        <v>7</v>
      </c>
      <c r="B734">
        <v>1</v>
      </c>
      <c r="C734"/>
      <c r="D734" t="s">
        <v>31</v>
      </c>
      <c r="E734" t="s">
        <v>35</v>
      </c>
      <c r="F734" t="s">
        <v>56</v>
      </c>
      <c r="G734" s="118">
        <v>0.33076388888888891</v>
      </c>
      <c r="H734" s="118">
        <v>1.261574074074074E-3</v>
      </c>
      <c r="I734" s="118">
        <v>3.4722222222222224E-4</v>
      </c>
      <c r="J734"/>
      <c r="K734"/>
    </row>
    <row r="735" spans="1:11" x14ac:dyDescent="0.25">
      <c r="A735">
        <v>5</v>
      </c>
      <c r="B735">
        <v>4</v>
      </c>
      <c r="C735"/>
      <c r="D735" t="s">
        <v>31</v>
      </c>
      <c r="E735" t="s">
        <v>32</v>
      </c>
      <c r="F735" t="s">
        <v>40</v>
      </c>
      <c r="G735" s="118">
        <v>0.33084490740740741</v>
      </c>
      <c r="H735" s="118">
        <v>4.6296296296296293E-4</v>
      </c>
      <c r="I735" s="118">
        <v>1.0069444444444444E-3</v>
      </c>
      <c r="J735" s="118">
        <v>5.0462962962962961E-3</v>
      </c>
      <c r="K735" s="118">
        <v>5.0462962962962961E-3</v>
      </c>
    </row>
    <row r="736" spans="1:11" x14ac:dyDescent="0.25">
      <c r="A736">
        <v>3</v>
      </c>
      <c r="B736">
        <v>3</v>
      </c>
      <c r="C736"/>
      <c r="D736" t="s">
        <v>31</v>
      </c>
      <c r="E736" t="s">
        <v>35</v>
      </c>
      <c r="F736" t="s">
        <v>54</v>
      </c>
      <c r="G736" s="118">
        <v>0.3309259259259259</v>
      </c>
      <c r="H736" s="118">
        <v>8.6805555555555551E-4</v>
      </c>
      <c r="I736" s="118">
        <v>3.4722222222222224E-4</v>
      </c>
      <c r="J736"/>
      <c r="K736"/>
    </row>
    <row r="737" spans="1:11" x14ac:dyDescent="0.25">
      <c r="A737">
        <v>2</v>
      </c>
      <c r="B737">
        <v>4</v>
      </c>
      <c r="C737"/>
      <c r="D737" t="s">
        <v>31</v>
      </c>
      <c r="E737" t="s">
        <v>35</v>
      </c>
      <c r="F737" t="s">
        <v>53</v>
      </c>
      <c r="G737" s="118">
        <v>0.33101851851851855</v>
      </c>
      <c r="H737" s="118">
        <v>8.7962962962962962E-4</v>
      </c>
      <c r="I737" s="118">
        <v>3.4722222222222224E-4</v>
      </c>
      <c r="J737"/>
      <c r="K737"/>
    </row>
    <row r="738" spans="1:11" x14ac:dyDescent="0.25">
      <c r="A738">
        <v>7</v>
      </c>
      <c r="B738">
        <v>1</v>
      </c>
      <c r="C738"/>
      <c r="D738" t="s">
        <v>31</v>
      </c>
      <c r="E738" t="s">
        <v>32</v>
      </c>
      <c r="F738" t="s">
        <v>56</v>
      </c>
      <c r="G738" s="118">
        <v>0.33111111111111108</v>
      </c>
      <c r="H738" s="118">
        <v>3.4722222222222224E-4</v>
      </c>
      <c r="I738" s="118">
        <v>9.6064814814814808E-4</v>
      </c>
      <c r="J738" s="118">
        <v>5.0462962962962961E-3</v>
      </c>
      <c r="K738" s="118">
        <v>5.0462962962962961E-3</v>
      </c>
    </row>
    <row r="739" spans="1:11" x14ac:dyDescent="0.25">
      <c r="A739">
        <v>4</v>
      </c>
      <c r="B739">
        <v>3</v>
      </c>
      <c r="C739"/>
      <c r="D739" t="s">
        <v>31</v>
      </c>
      <c r="E739" t="s">
        <v>35</v>
      </c>
      <c r="F739" t="s">
        <v>36</v>
      </c>
      <c r="G739" s="118">
        <v>0.33126157407407408</v>
      </c>
      <c r="H739" s="118">
        <v>9.6064814814814808E-4</v>
      </c>
      <c r="I739" s="118">
        <v>3.4722222222222224E-4</v>
      </c>
      <c r="J739"/>
      <c r="K739"/>
    </row>
    <row r="740" spans="1:11" x14ac:dyDescent="0.25">
      <c r="A740">
        <v>3</v>
      </c>
      <c r="B740">
        <v>3</v>
      </c>
      <c r="C740"/>
      <c r="D740" t="s">
        <v>31</v>
      </c>
      <c r="E740" t="s">
        <v>32</v>
      </c>
      <c r="F740" t="s">
        <v>54</v>
      </c>
      <c r="G740" s="118">
        <v>0.33127314814814818</v>
      </c>
      <c r="H740" s="118">
        <v>3.4722222222222224E-4</v>
      </c>
      <c r="I740" s="118">
        <v>6.5972222222222213E-4</v>
      </c>
      <c r="J740" s="118">
        <v>5.8912037037037032E-3</v>
      </c>
      <c r="K740" s="118">
        <v>5.0462962962962961E-3</v>
      </c>
    </row>
    <row r="741" spans="1:11" x14ac:dyDescent="0.25">
      <c r="A741">
        <v>2</v>
      </c>
      <c r="B741">
        <v>4</v>
      </c>
      <c r="C741"/>
      <c r="D741" t="s">
        <v>31</v>
      </c>
      <c r="E741" t="s">
        <v>32</v>
      </c>
      <c r="F741" t="s">
        <v>53</v>
      </c>
      <c r="G741" s="118">
        <v>0.33136574074074071</v>
      </c>
      <c r="H741" s="118">
        <v>3.4722222222222224E-4</v>
      </c>
      <c r="I741" s="118">
        <v>8.449074074074075E-4</v>
      </c>
      <c r="J741" s="118">
        <v>5.0462962962962961E-3</v>
      </c>
      <c r="K741" s="118">
        <v>5.0462962962962961E-3</v>
      </c>
    </row>
    <row r="742" spans="1:11" x14ac:dyDescent="0.25">
      <c r="A742">
        <v>6</v>
      </c>
      <c r="B742">
        <v>4</v>
      </c>
      <c r="C742"/>
      <c r="D742" t="s">
        <v>31</v>
      </c>
      <c r="E742" t="s">
        <v>35</v>
      </c>
      <c r="F742" t="s">
        <v>46</v>
      </c>
      <c r="G742" s="118">
        <v>0.33136574074074071</v>
      </c>
      <c r="H742" s="118">
        <v>1.8055555555555557E-3</v>
      </c>
      <c r="I742" s="118">
        <v>3.4722222222222224E-4</v>
      </c>
      <c r="J742"/>
      <c r="K742"/>
    </row>
    <row r="743" spans="1:11" x14ac:dyDescent="0.25">
      <c r="A743">
        <v>1</v>
      </c>
      <c r="B743">
        <v>3</v>
      </c>
      <c r="C743"/>
      <c r="D743" t="s">
        <v>31</v>
      </c>
      <c r="E743" t="s">
        <v>35</v>
      </c>
      <c r="F743" t="s">
        <v>52</v>
      </c>
      <c r="G743" s="118">
        <v>0.33140046296296294</v>
      </c>
      <c r="H743" s="118">
        <v>1.0416666666666667E-3</v>
      </c>
      <c r="I743" s="118">
        <v>3.4722222222222224E-4</v>
      </c>
      <c r="J743"/>
      <c r="K743"/>
    </row>
    <row r="744" spans="1:11" x14ac:dyDescent="0.25">
      <c r="A744">
        <v>4</v>
      </c>
      <c r="B744">
        <v>3</v>
      </c>
      <c r="C744"/>
      <c r="D744" t="s">
        <v>31</v>
      </c>
      <c r="E744" t="s">
        <v>32</v>
      </c>
      <c r="F744" t="s">
        <v>36</v>
      </c>
      <c r="G744" s="118">
        <v>0.3316087962962963</v>
      </c>
      <c r="H744" s="118">
        <v>3.4722222222222224E-4</v>
      </c>
      <c r="I744" s="118">
        <v>1.0995370370370371E-3</v>
      </c>
      <c r="J744" s="118">
        <v>5.0462962962962961E-3</v>
      </c>
      <c r="K744" s="118">
        <v>5.0462962962962961E-3</v>
      </c>
    </row>
    <row r="745" spans="1:11" x14ac:dyDescent="0.25">
      <c r="A745">
        <v>6</v>
      </c>
      <c r="B745">
        <v>4</v>
      </c>
      <c r="C745"/>
      <c r="D745" t="s">
        <v>31</v>
      </c>
      <c r="E745" t="s">
        <v>32</v>
      </c>
      <c r="F745" t="s">
        <v>46</v>
      </c>
      <c r="G745" s="118">
        <v>0.33171296296296299</v>
      </c>
      <c r="H745" s="118">
        <v>3.4722222222222224E-4</v>
      </c>
      <c r="I745" s="118">
        <v>9.1435185185185185E-4</v>
      </c>
      <c r="J745" s="118">
        <v>5.0462962962962961E-3</v>
      </c>
      <c r="K745" s="118">
        <v>5.0462962962962961E-3</v>
      </c>
    </row>
    <row r="746" spans="1:11" x14ac:dyDescent="0.25">
      <c r="A746">
        <v>1</v>
      </c>
      <c r="B746">
        <v>3</v>
      </c>
      <c r="C746"/>
      <c r="D746" t="s">
        <v>31</v>
      </c>
      <c r="E746" t="s">
        <v>32</v>
      </c>
      <c r="F746" t="s">
        <v>52</v>
      </c>
      <c r="G746" s="118">
        <v>0.33174768518518521</v>
      </c>
      <c r="H746" s="118">
        <v>3.4722222222222224E-4</v>
      </c>
      <c r="I746" s="118">
        <v>1.0532407407407407E-3</v>
      </c>
      <c r="J746" s="118">
        <v>5.0462962962962961E-3</v>
      </c>
      <c r="K746" s="118">
        <v>5.0462962962962961E-3</v>
      </c>
    </row>
    <row r="747" spans="1:11" x14ac:dyDescent="0.25">
      <c r="A747">
        <v>5</v>
      </c>
      <c r="B747">
        <v>4</v>
      </c>
      <c r="C747"/>
      <c r="D747" t="s">
        <v>31</v>
      </c>
      <c r="E747" t="s">
        <v>35</v>
      </c>
      <c r="F747" t="s">
        <v>44</v>
      </c>
      <c r="G747" s="118">
        <v>0.33185185185185184</v>
      </c>
      <c r="H747" s="118">
        <v>1.0069444444444444E-3</v>
      </c>
      <c r="I747" s="118">
        <v>3.4722222222222224E-4</v>
      </c>
      <c r="J747"/>
      <c r="K747"/>
    </row>
    <row r="748" spans="1:11" x14ac:dyDescent="0.25">
      <c r="A748">
        <v>3</v>
      </c>
      <c r="B748">
        <v>3</v>
      </c>
      <c r="C748"/>
      <c r="D748" t="s">
        <v>31</v>
      </c>
      <c r="E748" t="s">
        <v>35</v>
      </c>
      <c r="F748" t="s">
        <v>92</v>
      </c>
      <c r="G748" s="118">
        <v>0.33193287037037039</v>
      </c>
      <c r="H748" s="118">
        <v>6.5972222222222213E-4</v>
      </c>
      <c r="I748" s="118">
        <v>5.2083333333333333E-4</v>
      </c>
      <c r="J748"/>
      <c r="K748"/>
    </row>
    <row r="749" spans="1:11" x14ac:dyDescent="0.25">
      <c r="A749">
        <v>7</v>
      </c>
      <c r="B749">
        <v>1</v>
      </c>
      <c r="C749"/>
      <c r="D749" t="s">
        <v>31</v>
      </c>
      <c r="E749" t="s">
        <v>35</v>
      </c>
      <c r="F749" t="s">
        <v>37</v>
      </c>
      <c r="G749" s="118">
        <v>0.33207175925925925</v>
      </c>
      <c r="H749" s="118">
        <v>9.6064814814814808E-4</v>
      </c>
      <c r="I749" s="118">
        <v>3.4722222222222224E-4</v>
      </c>
      <c r="J749"/>
      <c r="K749"/>
    </row>
    <row r="750" spans="1:11" x14ac:dyDescent="0.25">
      <c r="A750">
        <v>5</v>
      </c>
      <c r="B750">
        <v>4</v>
      </c>
      <c r="C750"/>
      <c r="D750" t="s">
        <v>31</v>
      </c>
      <c r="E750" t="s">
        <v>32</v>
      </c>
      <c r="F750" t="s">
        <v>44</v>
      </c>
      <c r="G750" s="118">
        <v>0.33219907407407406</v>
      </c>
      <c r="H750" s="118">
        <v>3.4722222222222224E-4</v>
      </c>
      <c r="I750" s="118">
        <v>9.2592592592592585E-4</v>
      </c>
      <c r="J750" s="118">
        <v>5.0462962962962961E-3</v>
      </c>
      <c r="K750" s="118">
        <v>5.0462962962962961E-3</v>
      </c>
    </row>
    <row r="751" spans="1:11" x14ac:dyDescent="0.25">
      <c r="A751">
        <v>2</v>
      </c>
      <c r="B751">
        <v>4</v>
      </c>
      <c r="C751"/>
      <c r="D751" t="s">
        <v>31</v>
      </c>
      <c r="E751" t="s">
        <v>35</v>
      </c>
      <c r="F751" t="s">
        <v>34</v>
      </c>
      <c r="G751" s="118">
        <v>0.33221064814814816</v>
      </c>
      <c r="H751" s="118">
        <v>8.449074074074075E-4</v>
      </c>
      <c r="I751" s="118">
        <v>3.4722222222222224E-4</v>
      </c>
      <c r="J751"/>
      <c r="K751"/>
    </row>
    <row r="752" spans="1:11" x14ac:dyDescent="0.25">
      <c r="A752">
        <v>7</v>
      </c>
      <c r="B752">
        <v>1</v>
      </c>
      <c r="C752"/>
      <c r="D752" t="s">
        <v>31</v>
      </c>
      <c r="E752" t="s">
        <v>32</v>
      </c>
      <c r="F752" t="s">
        <v>37</v>
      </c>
      <c r="G752" s="118">
        <v>0.33241898148148147</v>
      </c>
      <c r="H752" s="118">
        <v>3.4722222222222224E-4</v>
      </c>
      <c r="I752" s="118">
        <v>9.0277777777777784E-4</v>
      </c>
      <c r="J752" s="118">
        <v>5.0462962962962961E-3</v>
      </c>
      <c r="K752" s="118">
        <v>5.0462962962962961E-3</v>
      </c>
    </row>
    <row r="753" spans="1:11" x14ac:dyDescent="0.25">
      <c r="A753">
        <v>3</v>
      </c>
      <c r="B753">
        <v>4</v>
      </c>
      <c r="C753"/>
      <c r="D753" t="s">
        <v>31</v>
      </c>
      <c r="E753" t="s">
        <v>32</v>
      </c>
      <c r="F753" t="s">
        <v>92</v>
      </c>
      <c r="G753" s="118">
        <v>0.3324537037037037</v>
      </c>
      <c r="H753" s="118">
        <v>5.2083333333333333E-4</v>
      </c>
      <c r="I753" s="118">
        <v>1.0069444444444444E-3</v>
      </c>
      <c r="J753" s="118">
        <v>5.0462962962962961E-3</v>
      </c>
      <c r="K753" s="118">
        <v>5.0462962962962961E-3</v>
      </c>
    </row>
    <row r="754" spans="1:11" x14ac:dyDescent="0.25">
      <c r="A754">
        <v>2</v>
      </c>
      <c r="B754">
        <v>4</v>
      </c>
      <c r="C754"/>
      <c r="D754" t="s">
        <v>31</v>
      </c>
      <c r="E754" t="s">
        <v>32</v>
      </c>
      <c r="F754" t="s">
        <v>34</v>
      </c>
      <c r="G754" s="118">
        <v>0.33255787037037038</v>
      </c>
      <c r="H754" s="118">
        <v>3.4722222222222224E-4</v>
      </c>
      <c r="I754" s="118">
        <v>9.1435185185185185E-4</v>
      </c>
      <c r="J754" s="118">
        <v>5.0462962962962961E-3</v>
      </c>
      <c r="K754" s="118">
        <v>5.0462962962962961E-3</v>
      </c>
    </row>
    <row r="755" spans="1:11" x14ac:dyDescent="0.25">
      <c r="A755">
        <v>6</v>
      </c>
      <c r="B755">
        <v>4</v>
      </c>
      <c r="C755"/>
      <c r="D755" t="s">
        <v>31</v>
      </c>
      <c r="E755" t="s">
        <v>35</v>
      </c>
      <c r="F755" t="s">
        <v>51</v>
      </c>
      <c r="G755" s="118">
        <v>0.33262731481481483</v>
      </c>
      <c r="H755" s="118">
        <v>9.1435185185185185E-4</v>
      </c>
      <c r="I755" s="118">
        <v>3.4722222222222224E-4</v>
      </c>
      <c r="J755"/>
      <c r="K755"/>
    </row>
    <row r="756" spans="1:11" x14ac:dyDescent="0.25">
      <c r="A756">
        <v>4</v>
      </c>
      <c r="B756">
        <v>3</v>
      </c>
      <c r="C756"/>
      <c r="D756" t="s">
        <v>31</v>
      </c>
      <c r="E756" t="s">
        <v>35</v>
      </c>
      <c r="F756" t="s">
        <v>43</v>
      </c>
      <c r="G756" s="118">
        <v>0.33270833333333333</v>
      </c>
      <c r="H756" s="118">
        <v>1.0995370370370371E-3</v>
      </c>
      <c r="I756" s="118">
        <v>3.4722222222222224E-4</v>
      </c>
      <c r="J756"/>
      <c r="K756"/>
    </row>
    <row r="757" spans="1:11" x14ac:dyDescent="0.25">
      <c r="A757">
        <v>1</v>
      </c>
      <c r="B757">
        <v>3</v>
      </c>
      <c r="C757"/>
      <c r="D757" t="s">
        <v>31</v>
      </c>
      <c r="E757" t="s">
        <v>35</v>
      </c>
      <c r="F757" t="s">
        <v>57</v>
      </c>
      <c r="G757" s="118">
        <v>0.33280092592592592</v>
      </c>
      <c r="H757" s="118">
        <v>1.0532407407407407E-3</v>
      </c>
      <c r="I757" s="118">
        <v>3.4722222222222224E-4</v>
      </c>
      <c r="J757"/>
      <c r="K757"/>
    </row>
    <row r="758" spans="1:11" x14ac:dyDescent="0.25">
      <c r="A758">
        <v>6</v>
      </c>
      <c r="B758">
        <v>4</v>
      </c>
      <c r="C758"/>
      <c r="D758" t="s">
        <v>31</v>
      </c>
      <c r="E758" t="s">
        <v>32</v>
      </c>
      <c r="F758" t="s">
        <v>51</v>
      </c>
      <c r="G758" s="118">
        <v>0.332974537037037</v>
      </c>
      <c r="H758" s="118">
        <v>3.4722222222222224E-4</v>
      </c>
      <c r="I758" s="118">
        <v>1.0069444444444444E-3</v>
      </c>
      <c r="J758" s="118">
        <v>5.0462962962962961E-3</v>
      </c>
      <c r="K758" s="118">
        <v>5.0462962962962961E-3</v>
      </c>
    </row>
    <row r="759" spans="1:11" x14ac:dyDescent="0.25">
      <c r="A759">
        <v>4</v>
      </c>
      <c r="B759">
        <v>3</v>
      </c>
      <c r="C759"/>
      <c r="D759" t="s">
        <v>31</v>
      </c>
      <c r="E759" t="s">
        <v>32</v>
      </c>
      <c r="F759" t="s">
        <v>43</v>
      </c>
      <c r="G759" s="118">
        <v>0.33305555555555555</v>
      </c>
      <c r="H759" s="118">
        <v>3.4722222222222224E-4</v>
      </c>
      <c r="I759" s="118">
        <v>1.1458333333333333E-3</v>
      </c>
      <c r="J759" s="118">
        <v>5.0462962962962961E-3</v>
      </c>
      <c r="K759" s="118">
        <v>5.0462962962962961E-3</v>
      </c>
    </row>
    <row r="760" spans="1:11" x14ac:dyDescent="0.25">
      <c r="A760">
        <v>5</v>
      </c>
      <c r="B760">
        <v>4</v>
      </c>
      <c r="C760"/>
      <c r="D760" t="s">
        <v>31</v>
      </c>
      <c r="E760" t="s">
        <v>35</v>
      </c>
      <c r="F760" t="s">
        <v>49</v>
      </c>
      <c r="G760" s="118">
        <v>0.333125</v>
      </c>
      <c r="H760" s="118">
        <v>9.2592592592592585E-4</v>
      </c>
      <c r="I760" s="118">
        <v>3.4722222222222224E-4</v>
      </c>
      <c r="J760"/>
      <c r="K760"/>
    </row>
    <row r="761" spans="1:11" x14ac:dyDescent="0.25">
      <c r="A761">
        <v>1</v>
      </c>
      <c r="B761">
        <v>3</v>
      </c>
      <c r="C761"/>
      <c r="D761" t="s">
        <v>31</v>
      </c>
      <c r="E761" t="s">
        <v>32</v>
      </c>
      <c r="F761" t="s">
        <v>57</v>
      </c>
      <c r="G761" s="118">
        <v>0.33314814814814814</v>
      </c>
      <c r="H761" s="118">
        <v>3.4722222222222224E-4</v>
      </c>
      <c r="I761" s="118">
        <v>9.3750000000000007E-4</v>
      </c>
      <c r="J761" s="118">
        <v>5.0462962962962961E-3</v>
      </c>
      <c r="K761" s="118">
        <v>5.0462962962962961E-3</v>
      </c>
    </row>
    <row r="762" spans="1:11" x14ac:dyDescent="0.25">
      <c r="A762">
        <v>7</v>
      </c>
      <c r="B762">
        <v>1</v>
      </c>
      <c r="C762"/>
      <c r="D762" t="s">
        <v>31</v>
      </c>
      <c r="E762" t="s">
        <v>35</v>
      </c>
      <c r="F762" t="s">
        <v>42</v>
      </c>
      <c r="G762" s="118">
        <v>0.33332175925925928</v>
      </c>
      <c r="H762" s="118">
        <v>9.0277777777777784E-4</v>
      </c>
      <c r="I762" s="118">
        <v>3.4722222222222224E-4</v>
      </c>
      <c r="J762"/>
      <c r="K762"/>
    </row>
    <row r="763" spans="1:11" x14ac:dyDescent="0.25">
      <c r="A763">
        <v>3</v>
      </c>
      <c r="B763">
        <v>4</v>
      </c>
      <c r="C763"/>
      <c r="D763" t="s">
        <v>31</v>
      </c>
      <c r="E763" t="s">
        <v>35</v>
      </c>
      <c r="F763" t="s">
        <v>41</v>
      </c>
      <c r="G763" s="118">
        <v>0.33346064814814813</v>
      </c>
      <c r="H763" s="118">
        <v>1.0069444444444444E-3</v>
      </c>
      <c r="I763" s="118">
        <v>3.4722222222222224E-4</v>
      </c>
      <c r="J763"/>
      <c r="K763"/>
    </row>
    <row r="764" spans="1:11" x14ac:dyDescent="0.25">
      <c r="A764">
        <v>2</v>
      </c>
      <c r="B764">
        <v>4</v>
      </c>
      <c r="C764"/>
      <c r="D764" t="s">
        <v>31</v>
      </c>
      <c r="E764" t="s">
        <v>35</v>
      </c>
      <c r="F764" t="s">
        <v>38</v>
      </c>
      <c r="G764" s="118">
        <v>0.33347222222222223</v>
      </c>
      <c r="H764" s="118">
        <v>9.1435185185185185E-4</v>
      </c>
      <c r="I764" s="118">
        <v>3.4722222222222224E-4</v>
      </c>
      <c r="J764"/>
      <c r="K764"/>
    </row>
    <row r="765" spans="1:11" x14ac:dyDescent="0.25">
      <c r="A765">
        <v>5</v>
      </c>
      <c r="B765">
        <v>4</v>
      </c>
      <c r="C765"/>
      <c r="D765" t="s">
        <v>31</v>
      </c>
      <c r="E765" t="s">
        <v>32</v>
      </c>
      <c r="F765" t="s">
        <v>49</v>
      </c>
      <c r="G765" s="118">
        <v>0.33347222222222223</v>
      </c>
      <c r="H765" s="118">
        <v>3.4722222222222224E-4</v>
      </c>
      <c r="I765" s="118">
        <v>1.3541666666666667E-3</v>
      </c>
      <c r="J765" s="118">
        <v>5.0462962962962961E-3</v>
      </c>
      <c r="K765" s="118">
        <v>5.0462962962962961E-3</v>
      </c>
    </row>
    <row r="766" spans="1:11" x14ac:dyDescent="0.25">
      <c r="A766">
        <v>7</v>
      </c>
      <c r="B766">
        <v>1</v>
      </c>
      <c r="C766"/>
      <c r="D766" t="s">
        <v>31</v>
      </c>
      <c r="E766" t="s">
        <v>32</v>
      </c>
      <c r="F766" t="s">
        <v>42</v>
      </c>
      <c r="G766" s="118">
        <v>0.3336689814814815</v>
      </c>
      <c r="H766" s="118">
        <v>3.4722222222222224E-4</v>
      </c>
      <c r="I766" s="118">
        <v>9.1435185185185185E-4</v>
      </c>
      <c r="J766" s="118">
        <v>5.0462962962962961E-3</v>
      </c>
      <c r="K766" s="118">
        <v>5.0462962962962961E-3</v>
      </c>
    </row>
    <row r="767" spans="1:11" x14ac:dyDescent="0.25">
      <c r="A767">
        <v>3</v>
      </c>
      <c r="B767">
        <v>4</v>
      </c>
      <c r="C767"/>
      <c r="D767" t="s">
        <v>31</v>
      </c>
      <c r="E767" t="s">
        <v>32</v>
      </c>
      <c r="F767" t="s">
        <v>41</v>
      </c>
      <c r="G767" s="118">
        <v>0.33380787037037035</v>
      </c>
      <c r="H767" s="118">
        <v>3.4722222222222224E-4</v>
      </c>
      <c r="I767" s="118">
        <v>8.564814814814815E-4</v>
      </c>
      <c r="J767" s="118">
        <v>5.0462962962962961E-3</v>
      </c>
      <c r="K767" s="118">
        <v>5.0462962962962961E-3</v>
      </c>
    </row>
    <row r="768" spans="1:11" x14ac:dyDescent="0.25">
      <c r="A768">
        <v>2</v>
      </c>
      <c r="B768">
        <v>4</v>
      </c>
      <c r="C768"/>
      <c r="D768" t="s">
        <v>31</v>
      </c>
      <c r="E768" t="s">
        <v>32</v>
      </c>
      <c r="F768" t="s">
        <v>38</v>
      </c>
      <c r="G768" s="118">
        <v>0.33381944444444445</v>
      </c>
      <c r="H768" s="118">
        <v>3.4722222222222224E-4</v>
      </c>
      <c r="I768" s="118">
        <v>1.2384259259259258E-3</v>
      </c>
      <c r="J768" s="118">
        <v>5.0462962962962961E-3</v>
      </c>
      <c r="K768" s="118">
        <v>5.0462962962962961E-3</v>
      </c>
    </row>
    <row r="769" spans="1:11" x14ac:dyDescent="0.25">
      <c r="A769">
        <v>6</v>
      </c>
      <c r="B769">
        <v>4</v>
      </c>
      <c r="C769"/>
      <c r="D769" t="s">
        <v>31</v>
      </c>
      <c r="E769" t="s">
        <v>35</v>
      </c>
      <c r="F769" t="s">
        <v>55</v>
      </c>
      <c r="G769" s="118">
        <v>0.33398148148148149</v>
      </c>
      <c r="H769" s="118">
        <v>1.0069444444444444E-3</v>
      </c>
      <c r="I769" s="118">
        <v>4.6296296296296293E-4</v>
      </c>
      <c r="J769"/>
      <c r="K769"/>
    </row>
    <row r="770" spans="1:11" x14ac:dyDescent="0.25">
      <c r="A770">
        <v>1</v>
      </c>
      <c r="B770">
        <v>3</v>
      </c>
      <c r="C770"/>
      <c r="D770" t="s">
        <v>31</v>
      </c>
      <c r="E770" t="s">
        <v>35</v>
      </c>
      <c r="F770" t="s">
        <v>39</v>
      </c>
      <c r="G770" s="118">
        <v>0.33408564814814817</v>
      </c>
      <c r="H770" s="118">
        <v>9.3750000000000007E-4</v>
      </c>
      <c r="I770" s="118">
        <v>5.2083333333333333E-4</v>
      </c>
      <c r="J770"/>
      <c r="K770"/>
    </row>
    <row r="771" spans="1:11" x14ac:dyDescent="0.25">
      <c r="A771">
        <v>4</v>
      </c>
      <c r="B771">
        <v>3</v>
      </c>
      <c r="C771"/>
      <c r="D771" t="s">
        <v>31</v>
      </c>
      <c r="E771" t="s">
        <v>35</v>
      </c>
      <c r="F771" t="s">
        <v>50</v>
      </c>
      <c r="G771" s="118">
        <v>0.3342013888888889</v>
      </c>
      <c r="H771" s="118">
        <v>1.1458333333333333E-3</v>
      </c>
      <c r="I771" s="118">
        <v>3.4722222222222224E-4</v>
      </c>
      <c r="J771"/>
      <c r="K771"/>
    </row>
    <row r="772" spans="1:11" x14ac:dyDescent="0.25">
      <c r="A772">
        <v>6</v>
      </c>
      <c r="B772">
        <v>4</v>
      </c>
      <c r="C772"/>
      <c r="D772" t="s">
        <v>31</v>
      </c>
      <c r="E772" t="s">
        <v>32</v>
      </c>
      <c r="F772" t="s">
        <v>55</v>
      </c>
      <c r="G772" s="118">
        <v>0.33444444444444449</v>
      </c>
      <c r="H772" s="118">
        <v>4.6296296296296293E-4</v>
      </c>
      <c r="I772" s="118">
        <v>4.3981481481481481E-4</v>
      </c>
      <c r="J772" s="118">
        <v>5.0462962962962961E-3</v>
      </c>
      <c r="K772" s="118">
        <v>5.0462962962962961E-3</v>
      </c>
    </row>
    <row r="773" spans="1:11" x14ac:dyDescent="0.25">
      <c r="A773">
        <v>4</v>
      </c>
      <c r="B773">
        <v>3</v>
      </c>
      <c r="C773"/>
      <c r="D773" t="s">
        <v>31</v>
      </c>
      <c r="E773" t="s">
        <v>32</v>
      </c>
      <c r="F773" t="s">
        <v>50</v>
      </c>
      <c r="G773" s="118">
        <v>0.33454861111111112</v>
      </c>
      <c r="H773" s="118">
        <v>3.4722222222222224E-4</v>
      </c>
      <c r="I773" s="118">
        <v>1.261574074074074E-3</v>
      </c>
      <c r="J773" s="118">
        <v>5.0462962962962961E-3</v>
      </c>
      <c r="K773" s="118">
        <v>5.0462962962962961E-3</v>
      </c>
    </row>
    <row r="774" spans="1:11" x14ac:dyDescent="0.25">
      <c r="A774">
        <v>7</v>
      </c>
      <c r="B774">
        <v>1</v>
      </c>
      <c r="C774"/>
      <c r="D774" t="s">
        <v>31</v>
      </c>
      <c r="E774" t="s">
        <v>35</v>
      </c>
      <c r="F774" t="s">
        <v>48</v>
      </c>
      <c r="G774" s="118">
        <v>0.33458333333333329</v>
      </c>
      <c r="H774" s="118">
        <v>9.1435185185185185E-4</v>
      </c>
      <c r="I774" s="118">
        <v>5.2083333333333333E-4</v>
      </c>
      <c r="J774"/>
      <c r="K774"/>
    </row>
    <row r="775" spans="1:11" x14ac:dyDescent="0.25">
      <c r="A775">
        <v>1</v>
      </c>
      <c r="B775">
        <v>3</v>
      </c>
      <c r="C775"/>
      <c r="D775" t="s">
        <v>31</v>
      </c>
      <c r="E775" t="s">
        <v>32</v>
      </c>
      <c r="F775" t="s">
        <v>39</v>
      </c>
      <c r="G775" s="118">
        <v>0.33460648148148148</v>
      </c>
      <c r="H775" s="118">
        <v>5.2083333333333333E-4</v>
      </c>
      <c r="I775" s="118">
        <v>1.8055555555555557E-3</v>
      </c>
      <c r="J775" s="118">
        <v>5.0462962962962961E-3</v>
      </c>
      <c r="K775" s="118">
        <v>5.0462962962962961E-3</v>
      </c>
    </row>
    <row r="776" spans="1:11" x14ac:dyDescent="0.25">
      <c r="A776">
        <v>3</v>
      </c>
      <c r="B776">
        <v>4</v>
      </c>
      <c r="C776"/>
      <c r="D776" t="s">
        <v>31</v>
      </c>
      <c r="E776" t="s">
        <v>35</v>
      </c>
      <c r="F776" t="s">
        <v>47</v>
      </c>
      <c r="G776" s="118">
        <v>0.33466435185185189</v>
      </c>
      <c r="H776" s="118">
        <v>8.564814814814815E-4</v>
      </c>
      <c r="I776" s="118">
        <v>5.2083333333333333E-4</v>
      </c>
      <c r="J776"/>
      <c r="K776"/>
    </row>
    <row r="777" spans="1:11" x14ac:dyDescent="0.25">
      <c r="A777">
        <v>5</v>
      </c>
      <c r="B777">
        <v>4</v>
      </c>
      <c r="C777"/>
      <c r="D777" t="s">
        <v>31</v>
      </c>
      <c r="E777" t="s">
        <v>35</v>
      </c>
      <c r="F777" t="s">
        <v>33</v>
      </c>
      <c r="G777" s="118">
        <v>0.33482638888888888</v>
      </c>
      <c r="H777" s="118">
        <v>1.3541666666666667E-3</v>
      </c>
      <c r="I777" s="118">
        <v>5.2083333333333333E-4</v>
      </c>
      <c r="J777"/>
      <c r="K777"/>
    </row>
    <row r="778" spans="1:11" x14ac:dyDescent="0.25">
      <c r="A778">
        <v>6</v>
      </c>
      <c r="B778">
        <v>4</v>
      </c>
      <c r="C778"/>
      <c r="D778" t="s">
        <v>31</v>
      </c>
      <c r="E778" t="s">
        <v>35</v>
      </c>
      <c r="F778" t="s">
        <v>58</v>
      </c>
      <c r="G778" s="118">
        <v>0.3348842592592593</v>
      </c>
      <c r="H778" s="118">
        <v>4.3981481481481481E-4</v>
      </c>
      <c r="I778" s="118">
        <v>5.7870370370370366E-5</v>
      </c>
      <c r="J778"/>
      <c r="K778"/>
    </row>
    <row r="779" spans="1:11" x14ac:dyDescent="0.25">
      <c r="A779">
        <v>6</v>
      </c>
      <c r="B779">
        <v>4</v>
      </c>
      <c r="C779"/>
      <c r="D779" t="s">
        <v>31</v>
      </c>
      <c r="E779" t="s">
        <v>32</v>
      </c>
      <c r="F779" t="s">
        <v>58</v>
      </c>
      <c r="G779" s="118">
        <v>0.3349421296296296</v>
      </c>
      <c r="H779" s="118">
        <v>5.7870370370370366E-5</v>
      </c>
      <c r="I779" s="118">
        <v>4.8611111111111104E-4</v>
      </c>
      <c r="J779" s="118">
        <v>5.0462962962962961E-3</v>
      </c>
      <c r="K779" s="118">
        <v>5.0462962962962961E-3</v>
      </c>
    </row>
    <row r="780" spans="1:11" x14ac:dyDescent="0.25">
      <c r="A780">
        <v>2</v>
      </c>
      <c r="B780">
        <v>4</v>
      </c>
      <c r="C780"/>
      <c r="D780" t="s">
        <v>31</v>
      </c>
      <c r="E780" t="s">
        <v>35</v>
      </c>
      <c r="F780" t="s">
        <v>45</v>
      </c>
      <c r="G780" s="118">
        <v>0.33505787037037038</v>
      </c>
      <c r="H780" s="118">
        <v>1.2384259259259258E-3</v>
      </c>
      <c r="I780" s="118">
        <v>3.4722222222222224E-4</v>
      </c>
      <c r="J780"/>
      <c r="K780"/>
    </row>
    <row r="781" spans="1:11" x14ac:dyDescent="0.25">
      <c r="A781">
        <v>7</v>
      </c>
      <c r="B781">
        <v>1</v>
      </c>
      <c r="C781"/>
      <c r="D781" t="s">
        <v>31</v>
      </c>
      <c r="E781" t="s">
        <v>32</v>
      </c>
      <c r="F781" t="s">
        <v>48</v>
      </c>
      <c r="G781" s="118">
        <v>0.3351041666666667</v>
      </c>
      <c r="H781" s="118">
        <v>5.2083333333333333E-4</v>
      </c>
      <c r="I781" s="118">
        <v>8.6805555555555551E-4</v>
      </c>
      <c r="J781" s="118">
        <v>5.0462962962962961E-3</v>
      </c>
      <c r="K781" s="118">
        <v>5.0462962962962961E-3</v>
      </c>
    </row>
    <row r="782" spans="1:11" x14ac:dyDescent="0.25">
      <c r="A782">
        <v>3</v>
      </c>
      <c r="B782">
        <v>4</v>
      </c>
      <c r="C782"/>
      <c r="D782" t="s">
        <v>31</v>
      </c>
      <c r="E782" t="s">
        <v>32</v>
      </c>
      <c r="F782" t="s">
        <v>47</v>
      </c>
      <c r="G782" s="118">
        <v>0.3351851851851852</v>
      </c>
      <c r="H782" s="118">
        <v>5.2083333333333333E-4</v>
      </c>
      <c r="I782" s="118">
        <v>8.7962962962962962E-4</v>
      </c>
      <c r="J782" s="118">
        <v>5.0462962962962961E-3</v>
      </c>
      <c r="K782" s="118">
        <v>5.0462962962962961E-3</v>
      </c>
    </row>
    <row r="783" spans="1:11" x14ac:dyDescent="0.25">
      <c r="A783">
        <v>5</v>
      </c>
      <c r="B783">
        <v>4</v>
      </c>
      <c r="C783"/>
      <c r="D783" t="s">
        <v>31</v>
      </c>
      <c r="E783" t="s">
        <v>32</v>
      </c>
      <c r="F783" t="s">
        <v>33</v>
      </c>
      <c r="G783" s="118">
        <v>0.33534722222222224</v>
      </c>
      <c r="H783" s="118">
        <v>5.2083333333333333E-4</v>
      </c>
      <c r="I783" s="118">
        <v>9.6064814814814808E-4</v>
      </c>
      <c r="J783" s="118">
        <v>5.0462962962962961E-3</v>
      </c>
      <c r="K783" s="118">
        <v>5.0462962962962961E-3</v>
      </c>
    </row>
    <row r="784" spans="1:11" x14ac:dyDescent="0.25">
      <c r="A784">
        <v>2</v>
      </c>
      <c r="B784">
        <v>4</v>
      </c>
      <c r="C784"/>
      <c r="D784" t="s">
        <v>31</v>
      </c>
      <c r="E784" t="s">
        <v>32</v>
      </c>
      <c r="F784" t="s">
        <v>45</v>
      </c>
      <c r="G784" s="118">
        <v>0.3354050925925926</v>
      </c>
      <c r="H784" s="118">
        <v>3.4722222222222224E-4</v>
      </c>
      <c r="I784" s="118">
        <v>1.0416666666666667E-3</v>
      </c>
      <c r="J784" s="118">
        <v>5.0462962962962961E-3</v>
      </c>
      <c r="K784" s="118">
        <v>5.0462962962962961E-3</v>
      </c>
    </row>
    <row r="785" spans="1:11" x14ac:dyDescent="0.25">
      <c r="A785">
        <v>6</v>
      </c>
      <c r="B785">
        <v>4</v>
      </c>
      <c r="C785"/>
      <c r="D785" t="s">
        <v>31</v>
      </c>
      <c r="E785" t="s">
        <v>35</v>
      </c>
      <c r="F785" t="s">
        <v>40</v>
      </c>
      <c r="G785" s="118">
        <v>0.33542824074074074</v>
      </c>
      <c r="H785" s="118">
        <v>4.8611111111111104E-4</v>
      </c>
      <c r="I785" s="118">
        <v>4.6296296296296293E-4</v>
      </c>
      <c r="J785"/>
      <c r="K785"/>
    </row>
    <row r="786" spans="1:11" x14ac:dyDescent="0.25">
      <c r="A786">
        <v>4</v>
      </c>
      <c r="B786">
        <v>3</v>
      </c>
      <c r="C786"/>
      <c r="D786" t="s">
        <v>31</v>
      </c>
      <c r="E786" t="s">
        <v>35</v>
      </c>
      <c r="F786" t="s">
        <v>56</v>
      </c>
      <c r="G786" s="118">
        <v>0.33581018518518518</v>
      </c>
      <c r="H786" s="118">
        <v>1.261574074074074E-3</v>
      </c>
      <c r="I786" s="118">
        <v>3.4722222222222224E-4</v>
      </c>
      <c r="J786"/>
      <c r="K786"/>
    </row>
    <row r="787" spans="1:11" x14ac:dyDescent="0.25">
      <c r="A787">
        <v>6</v>
      </c>
      <c r="B787">
        <v>4</v>
      </c>
      <c r="C787"/>
      <c r="D787" t="s">
        <v>31</v>
      </c>
      <c r="E787" t="s">
        <v>32</v>
      </c>
      <c r="F787" t="s">
        <v>40</v>
      </c>
      <c r="G787" s="118">
        <v>0.33589120370370368</v>
      </c>
      <c r="H787" s="118">
        <v>4.6296296296296293E-4</v>
      </c>
      <c r="I787" s="118">
        <v>1.0069444444444444E-3</v>
      </c>
      <c r="J787" s="118">
        <v>5.0462962962962961E-3</v>
      </c>
      <c r="K787" s="118">
        <v>5.0462962962962961E-3</v>
      </c>
    </row>
    <row r="788" spans="1:11" x14ac:dyDescent="0.25">
      <c r="A788">
        <v>7</v>
      </c>
      <c r="B788">
        <v>1</v>
      </c>
      <c r="C788"/>
      <c r="D788" t="s">
        <v>31</v>
      </c>
      <c r="E788" t="s">
        <v>35</v>
      </c>
      <c r="F788" t="s">
        <v>54</v>
      </c>
      <c r="G788" s="118">
        <v>0.33597222222222217</v>
      </c>
      <c r="H788" s="118">
        <v>8.6805555555555551E-4</v>
      </c>
      <c r="I788" s="118">
        <v>3.4722222222222224E-4</v>
      </c>
      <c r="J788"/>
      <c r="K788"/>
    </row>
    <row r="789" spans="1:11" x14ac:dyDescent="0.25">
      <c r="A789">
        <v>3</v>
      </c>
      <c r="B789">
        <v>4</v>
      </c>
      <c r="C789"/>
      <c r="D789" t="s">
        <v>31</v>
      </c>
      <c r="E789" t="s">
        <v>35</v>
      </c>
      <c r="F789" t="s">
        <v>53</v>
      </c>
      <c r="G789" s="118">
        <v>0.33606481481481482</v>
      </c>
      <c r="H789" s="118">
        <v>8.7962962962962962E-4</v>
      </c>
      <c r="I789" s="118">
        <v>3.4722222222222224E-4</v>
      </c>
      <c r="J789"/>
      <c r="K789"/>
    </row>
    <row r="790" spans="1:11" x14ac:dyDescent="0.25">
      <c r="A790">
        <v>4</v>
      </c>
      <c r="B790">
        <v>3</v>
      </c>
      <c r="C790"/>
      <c r="D790" t="s">
        <v>31</v>
      </c>
      <c r="E790" t="s">
        <v>32</v>
      </c>
      <c r="F790" t="s">
        <v>56</v>
      </c>
      <c r="G790" s="118">
        <v>0.3361574074074074</v>
      </c>
      <c r="H790" s="118">
        <v>3.4722222222222224E-4</v>
      </c>
      <c r="I790" s="118">
        <v>9.6064814814814808E-4</v>
      </c>
      <c r="J790" s="118">
        <v>5.0462962962962961E-3</v>
      </c>
      <c r="K790" s="118">
        <v>5.0462962962962961E-3</v>
      </c>
    </row>
    <row r="791" spans="1:11" x14ac:dyDescent="0.25">
      <c r="A791">
        <v>5</v>
      </c>
      <c r="B791">
        <v>4</v>
      </c>
      <c r="C791"/>
      <c r="D791" t="s">
        <v>31</v>
      </c>
      <c r="E791" t="s">
        <v>35</v>
      </c>
      <c r="F791" t="s">
        <v>36</v>
      </c>
      <c r="G791" s="118">
        <v>0.33630787037037035</v>
      </c>
      <c r="H791" s="118">
        <v>9.6064814814814808E-4</v>
      </c>
      <c r="I791" s="118">
        <v>3.4722222222222224E-4</v>
      </c>
      <c r="J791"/>
      <c r="K791"/>
    </row>
    <row r="792" spans="1:11" x14ac:dyDescent="0.25">
      <c r="A792">
        <v>7</v>
      </c>
      <c r="B792">
        <v>1</v>
      </c>
      <c r="C792"/>
      <c r="D792" t="s">
        <v>31</v>
      </c>
      <c r="E792" t="s">
        <v>32</v>
      </c>
      <c r="F792" t="s">
        <v>54</v>
      </c>
      <c r="G792" s="118">
        <v>0.33631944444444445</v>
      </c>
      <c r="H792" s="118">
        <v>3.4722222222222224E-4</v>
      </c>
      <c r="I792" s="118">
        <v>6.5972222222222213E-4</v>
      </c>
      <c r="J792" s="118">
        <v>5.0462962962962961E-3</v>
      </c>
      <c r="K792" s="118">
        <v>5.0462962962962961E-3</v>
      </c>
    </row>
    <row r="793" spans="1:11" x14ac:dyDescent="0.25">
      <c r="A793">
        <v>1</v>
      </c>
      <c r="B793">
        <v>3</v>
      </c>
      <c r="C793"/>
      <c r="D793" t="s">
        <v>31</v>
      </c>
      <c r="E793" t="s">
        <v>35</v>
      </c>
      <c r="F793" t="s">
        <v>46</v>
      </c>
      <c r="G793" s="118">
        <v>0.33641203703703698</v>
      </c>
      <c r="H793" s="118">
        <v>1.8055555555555557E-3</v>
      </c>
      <c r="I793" s="118">
        <v>3.4722222222222224E-4</v>
      </c>
      <c r="J793"/>
      <c r="K793"/>
    </row>
    <row r="794" spans="1:11" x14ac:dyDescent="0.25">
      <c r="A794">
        <v>3</v>
      </c>
      <c r="B794">
        <v>4</v>
      </c>
      <c r="C794"/>
      <c r="D794" t="s">
        <v>31</v>
      </c>
      <c r="E794" t="s">
        <v>32</v>
      </c>
      <c r="F794" t="s">
        <v>53</v>
      </c>
      <c r="G794" s="118">
        <v>0.33641203703703698</v>
      </c>
      <c r="H794" s="118">
        <v>3.4722222222222224E-4</v>
      </c>
      <c r="I794" s="118">
        <v>8.449074074074075E-4</v>
      </c>
      <c r="J794" s="118">
        <v>5.0462962962962961E-3</v>
      </c>
      <c r="K794" s="118">
        <v>5.0462962962962961E-3</v>
      </c>
    </row>
    <row r="795" spans="1:11" x14ac:dyDescent="0.25">
      <c r="A795">
        <v>2</v>
      </c>
      <c r="B795">
        <v>4</v>
      </c>
      <c r="C795"/>
      <c r="D795" t="s">
        <v>31</v>
      </c>
      <c r="E795" t="s">
        <v>35</v>
      </c>
      <c r="F795" t="s">
        <v>52</v>
      </c>
      <c r="G795" s="118">
        <v>0.33644675925925926</v>
      </c>
      <c r="H795" s="118">
        <v>1.0416666666666667E-3</v>
      </c>
      <c r="I795" s="118">
        <v>3.4722222222222224E-4</v>
      </c>
      <c r="J795"/>
      <c r="K795"/>
    </row>
    <row r="796" spans="1:11" x14ac:dyDescent="0.25">
      <c r="A796">
        <v>5</v>
      </c>
      <c r="B796">
        <v>4</v>
      </c>
      <c r="C796"/>
      <c r="D796" t="s">
        <v>31</v>
      </c>
      <c r="E796" t="s">
        <v>32</v>
      </c>
      <c r="F796" t="s">
        <v>36</v>
      </c>
      <c r="G796" s="118">
        <v>0.33665509259259258</v>
      </c>
      <c r="H796" s="118">
        <v>3.4722222222222224E-4</v>
      </c>
      <c r="I796" s="118">
        <v>1.0995370370370371E-3</v>
      </c>
      <c r="J796" s="118">
        <v>5.0462962962962961E-3</v>
      </c>
      <c r="K796" s="118">
        <v>5.0462962962962961E-3</v>
      </c>
    </row>
    <row r="797" spans="1:11" x14ac:dyDescent="0.25">
      <c r="A797">
        <v>1</v>
      </c>
      <c r="B797">
        <v>3</v>
      </c>
      <c r="C797"/>
      <c r="D797" t="s">
        <v>31</v>
      </c>
      <c r="E797" t="s">
        <v>32</v>
      </c>
      <c r="F797" t="s">
        <v>46</v>
      </c>
      <c r="G797" s="118">
        <v>0.33675925925925926</v>
      </c>
      <c r="H797" s="118">
        <v>3.4722222222222224E-4</v>
      </c>
      <c r="I797" s="118">
        <v>9.1435185185185185E-4</v>
      </c>
      <c r="J797" s="118">
        <v>5.0462962962962961E-3</v>
      </c>
      <c r="K797" s="118">
        <v>5.0462962962962961E-3</v>
      </c>
    </row>
    <row r="798" spans="1:11" x14ac:dyDescent="0.25">
      <c r="A798">
        <v>2</v>
      </c>
      <c r="B798">
        <v>4</v>
      </c>
      <c r="C798"/>
      <c r="D798" t="s">
        <v>31</v>
      </c>
      <c r="E798" t="s">
        <v>32</v>
      </c>
      <c r="F798" t="s">
        <v>52</v>
      </c>
      <c r="G798" s="118">
        <v>0.33679398148148149</v>
      </c>
      <c r="H798" s="118">
        <v>3.4722222222222224E-4</v>
      </c>
      <c r="I798" s="118">
        <v>1.0532407407407407E-3</v>
      </c>
      <c r="J798" s="118">
        <v>5.0462962962962961E-3</v>
      </c>
      <c r="K798" s="118">
        <v>5.0462962962962961E-3</v>
      </c>
    </row>
    <row r="799" spans="1:11" x14ac:dyDescent="0.25">
      <c r="A799">
        <v>6</v>
      </c>
      <c r="B799">
        <v>4</v>
      </c>
      <c r="C799"/>
      <c r="D799" t="s">
        <v>31</v>
      </c>
      <c r="E799" t="s">
        <v>35</v>
      </c>
      <c r="F799" t="s">
        <v>44</v>
      </c>
      <c r="G799" s="118">
        <v>0.33689814814814811</v>
      </c>
      <c r="H799" s="118">
        <v>1.0069444444444444E-3</v>
      </c>
      <c r="I799" s="118">
        <v>3.4722222222222224E-4</v>
      </c>
      <c r="J799"/>
      <c r="K799"/>
    </row>
    <row r="800" spans="1:11" x14ac:dyDescent="0.25">
      <c r="A800">
        <v>7</v>
      </c>
      <c r="B800">
        <v>1</v>
      </c>
      <c r="C800"/>
      <c r="D800" t="s">
        <v>31</v>
      </c>
      <c r="E800" t="s">
        <v>35</v>
      </c>
      <c r="F800" t="s">
        <v>92</v>
      </c>
      <c r="G800" s="118">
        <v>0.33697916666666666</v>
      </c>
      <c r="H800" s="118">
        <v>6.5972222222222213E-4</v>
      </c>
      <c r="I800" s="118">
        <v>5.2083333333333333E-4</v>
      </c>
      <c r="J800"/>
      <c r="K800"/>
    </row>
    <row r="801" spans="1:11" x14ac:dyDescent="0.25">
      <c r="A801">
        <v>4</v>
      </c>
      <c r="B801">
        <v>3</v>
      </c>
      <c r="C801"/>
      <c r="D801" t="s">
        <v>31</v>
      </c>
      <c r="E801" t="s">
        <v>35</v>
      </c>
      <c r="F801" t="s">
        <v>37</v>
      </c>
      <c r="G801" s="118">
        <v>0.33711805555555557</v>
      </c>
      <c r="H801" s="118">
        <v>9.6064814814814808E-4</v>
      </c>
      <c r="I801" s="118">
        <v>3.4722222222222224E-4</v>
      </c>
      <c r="J801"/>
      <c r="K801"/>
    </row>
    <row r="802" spans="1:11" x14ac:dyDescent="0.25">
      <c r="A802">
        <v>6</v>
      </c>
      <c r="B802">
        <v>4</v>
      </c>
      <c r="C802"/>
      <c r="D802" t="s">
        <v>31</v>
      </c>
      <c r="E802" t="s">
        <v>32</v>
      </c>
      <c r="F802" t="s">
        <v>44</v>
      </c>
      <c r="G802" s="118">
        <v>0.33724537037037039</v>
      </c>
      <c r="H802" s="118">
        <v>3.4722222222222224E-4</v>
      </c>
      <c r="I802" s="118">
        <v>9.2592592592592585E-4</v>
      </c>
      <c r="J802" s="118">
        <v>5.0462962962962961E-3</v>
      </c>
      <c r="K802" s="118">
        <v>5.0462962962962961E-3</v>
      </c>
    </row>
    <row r="803" spans="1:11" x14ac:dyDescent="0.25">
      <c r="A803">
        <v>3</v>
      </c>
      <c r="B803">
        <v>4</v>
      </c>
      <c r="C803"/>
      <c r="D803" t="s">
        <v>31</v>
      </c>
      <c r="E803" t="s">
        <v>35</v>
      </c>
      <c r="F803" t="s">
        <v>34</v>
      </c>
      <c r="G803" s="118">
        <v>0.33725694444444443</v>
      </c>
      <c r="H803" s="118">
        <v>8.449074074074075E-4</v>
      </c>
      <c r="I803" s="118">
        <v>3.4722222222222224E-4</v>
      </c>
      <c r="J803"/>
      <c r="K803"/>
    </row>
    <row r="804" spans="1:11" x14ac:dyDescent="0.25">
      <c r="A804">
        <v>4</v>
      </c>
      <c r="B804">
        <v>3</v>
      </c>
      <c r="C804"/>
      <c r="D804" t="s">
        <v>31</v>
      </c>
      <c r="E804" t="s">
        <v>32</v>
      </c>
      <c r="F804" t="s">
        <v>37</v>
      </c>
      <c r="G804" s="118">
        <v>0.33746527777777779</v>
      </c>
      <c r="H804" s="118">
        <v>3.4722222222222224E-4</v>
      </c>
      <c r="I804" s="118">
        <v>9.0277777777777784E-4</v>
      </c>
      <c r="J804" s="118">
        <v>5.0462962962962961E-3</v>
      </c>
      <c r="K804" s="118">
        <v>5.0462962962962961E-3</v>
      </c>
    </row>
    <row r="805" spans="1:11" x14ac:dyDescent="0.25">
      <c r="A805">
        <v>7</v>
      </c>
      <c r="B805">
        <v>2</v>
      </c>
      <c r="C805"/>
      <c r="D805" t="s">
        <v>31</v>
      </c>
      <c r="E805" t="s">
        <v>32</v>
      </c>
      <c r="F805" t="s">
        <v>92</v>
      </c>
      <c r="G805" s="118">
        <v>0.33749999999999997</v>
      </c>
      <c r="H805" s="118">
        <v>5.2083333333333333E-4</v>
      </c>
      <c r="I805" s="118">
        <v>1.0069444444444444E-3</v>
      </c>
      <c r="J805" s="118">
        <v>5.0462962962962961E-3</v>
      </c>
      <c r="K805" s="118">
        <v>5.0462962962962961E-3</v>
      </c>
    </row>
    <row r="806" spans="1:11" x14ac:dyDescent="0.25">
      <c r="A806">
        <v>3</v>
      </c>
      <c r="B806">
        <v>4</v>
      </c>
      <c r="C806"/>
      <c r="D806" t="s">
        <v>31</v>
      </c>
      <c r="E806" t="s">
        <v>32</v>
      </c>
      <c r="F806" t="s">
        <v>34</v>
      </c>
      <c r="G806" s="118">
        <v>0.33760416666666665</v>
      </c>
      <c r="H806" s="118">
        <v>3.4722222222222224E-4</v>
      </c>
      <c r="I806" s="118">
        <v>9.1435185185185185E-4</v>
      </c>
      <c r="J806" s="118">
        <v>5.0462962962962961E-3</v>
      </c>
      <c r="K806" s="118">
        <v>5.0462962962962961E-3</v>
      </c>
    </row>
    <row r="807" spans="1:11" x14ac:dyDescent="0.25">
      <c r="A807">
        <v>1</v>
      </c>
      <c r="B807">
        <v>3</v>
      </c>
      <c r="C807"/>
      <c r="D807" t="s">
        <v>31</v>
      </c>
      <c r="E807" t="s">
        <v>35</v>
      </c>
      <c r="F807" t="s">
        <v>51</v>
      </c>
      <c r="G807" s="118">
        <v>0.3376736111111111</v>
      </c>
      <c r="H807" s="118">
        <v>9.1435185185185185E-4</v>
      </c>
      <c r="I807" s="118">
        <v>3.4722222222222224E-4</v>
      </c>
      <c r="J807"/>
      <c r="K807"/>
    </row>
    <row r="808" spans="1:11" x14ac:dyDescent="0.25">
      <c r="A808">
        <v>5</v>
      </c>
      <c r="B808">
        <v>4</v>
      </c>
      <c r="C808"/>
      <c r="D808" t="s">
        <v>31</v>
      </c>
      <c r="E808" t="s">
        <v>35</v>
      </c>
      <c r="F808" t="s">
        <v>43</v>
      </c>
      <c r="G808" s="118">
        <v>0.33775462962962965</v>
      </c>
      <c r="H808" s="118">
        <v>1.0995370370370371E-3</v>
      </c>
      <c r="I808" s="118">
        <v>3.4722222222222224E-4</v>
      </c>
      <c r="J808"/>
      <c r="K808"/>
    </row>
    <row r="809" spans="1:11" x14ac:dyDescent="0.25">
      <c r="A809">
        <v>2</v>
      </c>
      <c r="B809">
        <v>4</v>
      </c>
      <c r="C809"/>
      <c r="D809" t="s">
        <v>31</v>
      </c>
      <c r="E809" t="s">
        <v>35</v>
      </c>
      <c r="F809" t="s">
        <v>57</v>
      </c>
      <c r="G809" s="118">
        <v>0.33784722222222219</v>
      </c>
      <c r="H809" s="118">
        <v>1.0532407407407407E-3</v>
      </c>
      <c r="I809" s="118">
        <v>3.4722222222222224E-4</v>
      </c>
      <c r="J809"/>
      <c r="K809"/>
    </row>
    <row r="810" spans="1:11" x14ac:dyDescent="0.25">
      <c r="A810">
        <v>1</v>
      </c>
      <c r="B810">
        <v>3</v>
      </c>
      <c r="C810"/>
      <c r="D810" t="s">
        <v>31</v>
      </c>
      <c r="E810" t="s">
        <v>32</v>
      </c>
      <c r="F810" t="s">
        <v>51</v>
      </c>
      <c r="G810" s="118">
        <v>0.33802083333333338</v>
      </c>
      <c r="H810" s="118">
        <v>3.4722222222222224E-4</v>
      </c>
      <c r="I810" s="118">
        <v>1.0069444444444444E-3</v>
      </c>
      <c r="J810" s="118">
        <v>5.0462962962962961E-3</v>
      </c>
      <c r="K810" s="118">
        <v>5.0462962962962961E-3</v>
      </c>
    </row>
    <row r="811" spans="1:11" x14ac:dyDescent="0.25">
      <c r="A811">
        <v>5</v>
      </c>
      <c r="B811">
        <v>4</v>
      </c>
      <c r="C811"/>
      <c r="D811" t="s">
        <v>31</v>
      </c>
      <c r="E811" t="s">
        <v>32</v>
      </c>
      <c r="F811" t="s">
        <v>43</v>
      </c>
      <c r="G811" s="118">
        <v>0.33810185185185188</v>
      </c>
      <c r="H811" s="118">
        <v>3.4722222222222224E-4</v>
      </c>
      <c r="I811" s="118">
        <v>1.1458333333333333E-3</v>
      </c>
      <c r="J811" s="118">
        <v>5.0462962962962961E-3</v>
      </c>
      <c r="K811" s="118">
        <v>5.0462962962962961E-3</v>
      </c>
    </row>
    <row r="812" spans="1:11" x14ac:dyDescent="0.25">
      <c r="A812">
        <v>6</v>
      </c>
      <c r="B812">
        <v>4</v>
      </c>
      <c r="C812"/>
      <c r="D812" t="s">
        <v>31</v>
      </c>
      <c r="E812" t="s">
        <v>35</v>
      </c>
      <c r="F812" t="s">
        <v>49</v>
      </c>
      <c r="G812" s="118">
        <v>0.33817129629629633</v>
      </c>
      <c r="H812" s="118">
        <v>9.2592592592592585E-4</v>
      </c>
      <c r="I812" s="118">
        <v>3.4722222222222224E-4</v>
      </c>
      <c r="J812"/>
      <c r="K812"/>
    </row>
    <row r="813" spans="1:11" x14ac:dyDescent="0.25">
      <c r="A813">
        <v>2</v>
      </c>
      <c r="B813">
        <v>4</v>
      </c>
      <c r="C813"/>
      <c r="D813" t="s">
        <v>31</v>
      </c>
      <c r="E813" t="s">
        <v>32</v>
      </c>
      <c r="F813" t="s">
        <v>57</v>
      </c>
      <c r="G813" s="118">
        <v>0.33819444444444446</v>
      </c>
      <c r="H813" s="118">
        <v>3.4722222222222224E-4</v>
      </c>
      <c r="I813" s="118">
        <v>9.3750000000000007E-4</v>
      </c>
      <c r="J813" s="118">
        <v>5.0462962962962961E-3</v>
      </c>
      <c r="K813" s="118">
        <v>5.0462962962962961E-3</v>
      </c>
    </row>
    <row r="814" spans="1:11" x14ac:dyDescent="0.25">
      <c r="A814">
        <v>4</v>
      </c>
      <c r="B814">
        <v>3</v>
      </c>
      <c r="C814"/>
      <c r="D814" t="s">
        <v>31</v>
      </c>
      <c r="E814" t="s">
        <v>35</v>
      </c>
      <c r="F814" t="s">
        <v>42</v>
      </c>
      <c r="G814" s="118">
        <v>0.33836805555555555</v>
      </c>
      <c r="H814" s="118">
        <v>9.0277777777777784E-4</v>
      </c>
      <c r="I814" s="118">
        <v>3.4722222222222224E-4</v>
      </c>
      <c r="J814"/>
      <c r="K814"/>
    </row>
    <row r="815" spans="1:11" x14ac:dyDescent="0.25">
      <c r="A815">
        <v>7</v>
      </c>
      <c r="B815">
        <v>2</v>
      </c>
      <c r="C815"/>
      <c r="D815" t="s">
        <v>31</v>
      </c>
      <c r="E815" t="s">
        <v>35</v>
      </c>
      <c r="F815" t="s">
        <v>41</v>
      </c>
      <c r="G815" s="118">
        <v>0.33850694444444446</v>
      </c>
      <c r="H815" s="118">
        <v>1.0069444444444444E-3</v>
      </c>
      <c r="I815" s="118">
        <v>3.4722222222222224E-4</v>
      </c>
      <c r="J815"/>
      <c r="K815"/>
    </row>
    <row r="816" spans="1:11" x14ac:dyDescent="0.25">
      <c r="A816">
        <v>3</v>
      </c>
      <c r="B816">
        <v>4</v>
      </c>
      <c r="C816"/>
      <c r="D816" t="s">
        <v>31</v>
      </c>
      <c r="E816" t="s">
        <v>35</v>
      </c>
      <c r="F816" t="s">
        <v>38</v>
      </c>
      <c r="G816" s="118">
        <v>0.3385185185185185</v>
      </c>
      <c r="H816" s="118">
        <v>9.1435185185185185E-4</v>
      </c>
      <c r="I816" s="118">
        <v>3.4722222222222224E-4</v>
      </c>
      <c r="J816"/>
      <c r="K816"/>
    </row>
    <row r="817" spans="1:11" x14ac:dyDescent="0.25">
      <c r="A817">
        <v>6</v>
      </c>
      <c r="B817">
        <v>4</v>
      </c>
      <c r="C817"/>
      <c r="D817" t="s">
        <v>31</v>
      </c>
      <c r="E817" t="s">
        <v>32</v>
      </c>
      <c r="F817" t="s">
        <v>49</v>
      </c>
      <c r="G817" s="118">
        <v>0.3385185185185185</v>
      </c>
      <c r="H817" s="118">
        <v>3.4722222222222224E-4</v>
      </c>
      <c r="I817" s="118">
        <v>1.3541666666666667E-3</v>
      </c>
      <c r="J817" s="118">
        <v>5.0462962962962961E-3</v>
      </c>
      <c r="K817" s="118">
        <v>5.0462962962962961E-3</v>
      </c>
    </row>
    <row r="818" spans="1:11" x14ac:dyDescent="0.25">
      <c r="A818">
        <v>4</v>
      </c>
      <c r="B818">
        <v>3</v>
      </c>
      <c r="C818"/>
      <c r="D818" t="s">
        <v>31</v>
      </c>
      <c r="E818" t="s">
        <v>32</v>
      </c>
      <c r="F818" t="s">
        <v>42</v>
      </c>
      <c r="G818" s="118">
        <v>0.33871527777777777</v>
      </c>
      <c r="H818" s="118">
        <v>3.4722222222222224E-4</v>
      </c>
      <c r="I818" s="118">
        <v>9.1435185185185185E-4</v>
      </c>
      <c r="J818" s="118">
        <v>5.0462962962962961E-3</v>
      </c>
      <c r="K818" s="118">
        <v>5.0462962962962961E-3</v>
      </c>
    </row>
    <row r="819" spans="1:11" x14ac:dyDescent="0.25">
      <c r="A819">
        <v>7</v>
      </c>
      <c r="B819">
        <v>2</v>
      </c>
      <c r="C819"/>
      <c r="D819" t="s">
        <v>31</v>
      </c>
      <c r="E819" t="s">
        <v>32</v>
      </c>
      <c r="F819" t="s">
        <v>41</v>
      </c>
      <c r="G819" s="118">
        <v>0.33885416666666668</v>
      </c>
      <c r="H819" s="118">
        <v>3.4722222222222224E-4</v>
      </c>
      <c r="I819" s="118">
        <v>8.564814814814815E-4</v>
      </c>
      <c r="J819" s="118">
        <v>5.0462962962962961E-3</v>
      </c>
      <c r="K819" s="118">
        <v>5.0462962962962961E-3</v>
      </c>
    </row>
    <row r="820" spans="1:11" x14ac:dyDescent="0.25">
      <c r="A820">
        <v>3</v>
      </c>
      <c r="B820">
        <v>4</v>
      </c>
      <c r="C820"/>
      <c r="D820" t="s">
        <v>31</v>
      </c>
      <c r="E820" t="s">
        <v>32</v>
      </c>
      <c r="F820" t="s">
        <v>38</v>
      </c>
      <c r="G820" s="118">
        <v>0.33886574074074072</v>
      </c>
      <c r="H820" s="118">
        <v>3.4722222222222224E-4</v>
      </c>
      <c r="I820" s="118">
        <v>1.2384259259259258E-3</v>
      </c>
      <c r="J820" s="118">
        <v>5.0462962962962961E-3</v>
      </c>
      <c r="K820" s="118">
        <v>5.0462962962962961E-3</v>
      </c>
    </row>
    <row r="821" spans="1:11" x14ac:dyDescent="0.25">
      <c r="A821">
        <v>1</v>
      </c>
      <c r="B821">
        <v>3</v>
      </c>
      <c r="C821"/>
      <c r="D821" t="s">
        <v>31</v>
      </c>
      <c r="E821" t="s">
        <v>35</v>
      </c>
      <c r="F821" t="s">
        <v>55</v>
      </c>
      <c r="G821" s="118">
        <v>0.33902777777777776</v>
      </c>
      <c r="H821" s="118">
        <v>1.0069444444444444E-3</v>
      </c>
      <c r="I821" s="118">
        <v>4.6296296296296293E-4</v>
      </c>
      <c r="J821"/>
      <c r="K821"/>
    </row>
    <row r="822" spans="1:11" x14ac:dyDescent="0.25">
      <c r="A822">
        <v>2</v>
      </c>
      <c r="B822">
        <v>4</v>
      </c>
      <c r="C822"/>
      <c r="D822" t="s">
        <v>31</v>
      </c>
      <c r="E822" t="s">
        <v>35</v>
      </c>
      <c r="F822" t="s">
        <v>39</v>
      </c>
      <c r="G822" s="118">
        <v>0.33913194444444444</v>
      </c>
      <c r="H822" s="118">
        <v>9.3750000000000007E-4</v>
      </c>
      <c r="I822" s="118">
        <v>5.2083333333333333E-4</v>
      </c>
      <c r="J822"/>
      <c r="K822"/>
    </row>
    <row r="823" spans="1:11" x14ac:dyDescent="0.25">
      <c r="A823">
        <v>5</v>
      </c>
      <c r="B823">
        <v>4</v>
      </c>
      <c r="C823"/>
      <c r="D823" t="s">
        <v>31</v>
      </c>
      <c r="E823" t="s">
        <v>35</v>
      </c>
      <c r="F823" t="s">
        <v>50</v>
      </c>
      <c r="G823" s="118">
        <v>0.33924768518518517</v>
      </c>
      <c r="H823" s="118">
        <v>1.1458333333333333E-3</v>
      </c>
      <c r="I823" s="118">
        <v>3.4722222222222224E-4</v>
      </c>
      <c r="J823"/>
      <c r="K823"/>
    </row>
    <row r="824" spans="1:11" x14ac:dyDescent="0.25">
      <c r="A824">
        <v>1</v>
      </c>
      <c r="B824">
        <v>3</v>
      </c>
      <c r="C824"/>
      <c r="D824" t="s">
        <v>31</v>
      </c>
      <c r="E824" t="s">
        <v>32</v>
      </c>
      <c r="F824" t="s">
        <v>55</v>
      </c>
      <c r="G824" s="118">
        <v>0.33949074074074076</v>
      </c>
      <c r="H824" s="118">
        <v>4.6296296296296293E-4</v>
      </c>
      <c r="I824" s="118">
        <v>4.3981481481481481E-4</v>
      </c>
      <c r="J824" s="118">
        <v>5.0462962962962961E-3</v>
      </c>
      <c r="K824" s="118">
        <v>5.0462962962962961E-3</v>
      </c>
    </row>
    <row r="825" spans="1:11" x14ac:dyDescent="0.25">
      <c r="A825">
        <v>5</v>
      </c>
      <c r="B825">
        <v>4</v>
      </c>
      <c r="C825"/>
      <c r="D825" t="s">
        <v>31</v>
      </c>
      <c r="E825" t="s">
        <v>32</v>
      </c>
      <c r="F825" t="s">
        <v>50</v>
      </c>
      <c r="G825" s="118">
        <v>0.33959490740740739</v>
      </c>
      <c r="H825" s="118">
        <v>3.4722222222222224E-4</v>
      </c>
      <c r="I825" s="118">
        <v>1.261574074074074E-3</v>
      </c>
      <c r="J825" s="118">
        <v>5.0462962962962961E-3</v>
      </c>
      <c r="K825" s="118">
        <v>5.0462962962962961E-3</v>
      </c>
    </row>
    <row r="826" spans="1:11" x14ac:dyDescent="0.25">
      <c r="A826">
        <v>4</v>
      </c>
      <c r="B826">
        <v>3</v>
      </c>
      <c r="C826"/>
      <c r="D826" t="s">
        <v>31</v>
      </c>
      <c r="E826" t="s">
        <v>35</v>
      </c>
      <c r="F826" t="s">
        <v>48</v>
      </c>
      <c r="G826" s="118">
        <v>0.33962962962962967</v>
      </c>
      <c r="H826" s="118">
        <v>9.1435185185185185E-4</v>
      </c>
      <c r="I826" s="118">
        <v>5.2083333333333333E-4</v>
      </c>
      <c r="J826"/>
      <c r="K826"/>
    </row>
    <row r="827" spans="1:11" x14ac:dyDescent="0.25">
      <c r="A827">
        <v>2</v>
      </c>
      <c r="B827">
        <v>4</v>
      </c>
      <c r="C827"/>
      <c r="D827" t="s">
        <v>31</v>
      </c>
      <c r="E827" t="s">
        <v>32</v>
      </c>
      <c r="F827" t="s">
        <v>39</v>
      </c>
      <c r="G827" s="118">
        <v>0.3396527777777778</v>
      </c>
      <c r="H827" s="118">
        <v>5.2083333333333333E-4</v>
      </c>
      <c r="I827" s="118">
        <v>1.8055555555555557E-3</v>
      </c>
      <c r="J827" s="118">
        <v>5.0462962962962961E-3</v>
      </c>
      <c r="K827" s="118">
        <v>5.0462962962962961E-3</v>
      </c>
    </row>
    <row r="828" spans="1:11" x14ac:dyDescent="0.25">
      <c r="A828">
        <v>7</v>
      </c>
      <c r="B828">
        <v>2</v>
      </c>
      <c r="C828"/>
      <c r="D828" t="s">
        <v>31</v>
      </c>
      <c r="E828" t="s">
        <v>35</v>
      </c>
      <c r="F828" t="s">
        <v>47</v>
      </c>
      <c r="G828" s="118">
        <v>0.33971064814814816</v>
      </c>
      <c r="H828" s="118">
        <v>8.564814814814815E-4</v>
      </c>
      <c r="I828" s="118">
        <v>5.2083333333333333E-4</v>
      </c>
      <c r="J828"/>
      <c r="K828"/>
    </row>
    <row r="829" spans="1:11" x14ac:dyDescent="0.25">
      <c r="A829">
        <v>6</v>
      </c>
      <c r="B829">
        <v>4</v>
      </c>
      <c r="C829"/>
      <c r="D829" t="s">
        <v>31</v>
      </c>
      <c r="E829" t="s">
        <v>35</v>
      </c>
      <c r="F829" t="s">
        <v>33</v>
      </c>
      <c r="G829" s="118">
        <v>0.33987268518518521</v>
      </c>
      <c r="H829" s="118">
        <v>1.3541666666666667E-3</v>
      </c>
      <c r="I829" s="118">
        <v>5.2083333333333333E-4</v>
      </c>
      <c r="J829"/>
      <c r="K829"/>
    </row>
    <row r="830" spans="1:11" x14ac:dyDescent="0.25">
      <c r="A830">
        <v>1</v>
      </c>
      <c r="B830">
        <v>3</v>
      </c>
      <c r="C830"/>
      <c r="D830" t="s">
        <v>31</v>
      </c>
      <c r="E830" t="s">
        <v>35</v>
      </c>
      <c r="F830" t="s">
        <v>58</v>
      </c>
      <c r="G830" s="118">
        <v>0.33993055555555557</v>
      </c>
      <c r="H830" s="118">
        <v>4.3981481481481481E-4</v>
      </c>
      <c r="I830" s="118">
        <v>5.7870370370370366E-5</v>
      </c>
      <c r="J830"/>
      <c r="K830"/>
    </row>
    <row r="831" spans="1:11" x14ac:dyDescent="0.25">
      <c r="A831">
        <v>1</v>
      </c>
      <c r="B831">
        <v>3</v>
      </c>
      <c r="C831"/>
      <c r="D831" t="s">
        <v>31</v>
      </c>
      <c r="E831" t="s">
        <v>32</v>
      </c>
      <c r="F831" t="s">
        <v>58</v>
      </c>
      <c r="G831" s="118">
        <v>0.33998842592592587</v>
      </c>
      <c r="H831" s="118">
        <v>5.7870370370370366E-5</v>
      </c>
      <c r="I831" s="118">
        <v>4.8611111111111104E-4</v>
      </c>
      <c r="J831" s="118">
        <v>5.0462962962962961E-3</v>
      </c>
      <c r="K831" s="118">
        <v>5.0462962962962961E-3</v>
      </c>
    </row>
    <row r="832" spans="1:11" x14ac:dyDescent="0.25">
      <c r="A832">
        <v>3</v>
      </c>
      <c r="B832">
        <v>4</v>
      </c>
      <c r="C832"/>
      <c r="D832" t="s">
        <v>31</v>
      </c>
      <c r="E832" t="s">
        <v>35</v>
      </c>
      <c r="F832" t="s">
        <v>45</v>
      </c>
      <c r="G832" s="118">
        <v>0.34010416666666665</v>
      </c>
      <c r="H832" s="118">
        <v>1.2384259259259258E-3</v>
      </c>
      <c r="I832" s="118">
        <v>3.4722222222222224E-4</v>
      </c>
      <c r="J832"/>
      <c r="K832"/>
    </row>
    <row r="833" spans="1:11" x14ac:dyDescent="0.25">
      <c r="A833">
        <v>4</v>
      </c>
      <c r="B833">
        <v>3</v>
      </c>
      <c r="C833"/>
      <c r="D833" t="s">
        <v>31</v>
      </c>
      <c r="E833" t="s">
        <v>32</v>
      </c>
      <c r="F833" t="s">
        <v>48</v>
      </c>
      <c r="G833" s="118">
        <v>0.34015046296296297</v>
      </c>
      <c r="H833" s="118">
        <v>5.2083333333333333E-4</v>
      </c>
      <c r="I833" s="118">
        <v>8.6805555555555551E-4</v>
      </c>
      <c r="J833" s="118">
        <v>5.0462962962962961E-3</v>
      </c>
      <c r="K833" s="118">
        <v>5.0462962962962961E-3</v>
      </c>
    </row>
    <row r="834" spans="1:11" x14ac:dyDescent="0.25">
      <c r="A834">
        <v>7</v>
      </c>
      <c r="B834">
        <v>2</v>
      </c>
      <c r="C834"/>
      <c r="D834" t="s">
        <v>31</v>
      </c>
      <c r="E834" t="s">
        <v>32</v>
      </c>
      <c r="F834" t="s">
        <v>47</v>
      </c>
      <c r="G834" s="118">
        <v>0.34023148148148147</v>
      </c>
      <c r="H834" s="118">
        <v>5.2083333333333333E-4</v>
      </c>
      <c r="I834" s="118">
        <v>8.7962962962962962E-4</v>
      </c>
      <c r="J834" s="118">
        <v>5.0462962962962961E-3</v>
      </c>
      <c r="K834" s="118">
        <v>5.0462962962962961E-3</v>
      </c>
    </row>
    <row r="835" spans="1:11" x14ac:dyDescent="0.25">
      <c r="A835">
        <v>6</v>
      </c>
      <c r="B835">
        <v>4</v>
      </c>
      <c r="C835"/>
      <c r="D835" t="s">
        <v>31</v>
      </c>
      <c r="E835" t="s">
        <v>32</v>
      </c>
      <c r="F835" t="s">
        <v>33</v>
      </c>
      <c r="G835" s="118">
        <v>0.34039351851851851</v>
      </c>
      <c r="H835" s="118">
        <v>5.2083333333333333E-4</v>
      </c>
      <c r="I835" s="118">
        <v>9.6064814814814808E-4</v>
      </c>
      <c r="J835" s="118">
        <v>5.0462962962962961E-3</v>
      </c>
      <c r="K835" s="118">
        <v>5.0462962962962961E-3</v>
      </c>
    </row>
    <row r="836" spans="1:11" x14ac:dyDescent="0.25">
      <c r="A836">
        <v>3</v>
      </c>
      <c r="B836">
        <v>4</v>
      </c>
      <c r="C836"/>
      <c r="D836" t="s">
        <v>31</v>
      </c>
      <c r="E836" t="s">
        <v>32</v>
      </c>
      <c r="F836" t="s">
        <v>45</v>
      </c>
      <c r="G836" s="118">
        <v>0.34045138888888887</v>
      </c>
      <c r="H836" s="118">
        <v>3.4722222222222224E-4</v>
      </c>
      <c r="I836" s="118">
        <v>1.0416666666666667E-3</v>
      </c>
      <c r="J836" s="118">
        <v>5.0462962962962961E-3</v>
      </c>
      <c r="K836" s="118">
        <v>5.0462962962962961E-3</v>
      </c>
    </row>
    <row r="837" spans="1:11" x14ac:dyDescent="0.25">
      <c r="A837">
        <v>1</v>
      </c>
      <c r="B837">
        <v>3</v>
      </c>
      <c r="C837"/>
      <c r="D837" t="s">
        <v>31</v>
      </c>
      <c r="E837" t="s">
        <v>35</v>
      </c>
      <c r="F837" t="s">
        <v>40</v>
      </c>
      <c r="G837" s="118">
        <v>0.34047453703703701</v>
      </c>
      <c r="H837" s="118">
        <v>4.8611111111111104E-4</v>
      </c>
      <c r="I837" s="118">
        <v>4.6296296296296293E-4</v>
      </c>
      <c r="J837"/>
      <c r="K837"/>
    </row>
    <row r="838" spans="1:11" x14ac:dyDescent="0.25">
      <c r="A838">
        <v>5</v>
      </c>
      <c r="B838">
        <v>4</v>
      </c>
      <c r="C838"/>
      <c r="D838" t="s">
        <v>31</v>
      </c>
      <c r="E838" t="s">
        <v>35</v>
      </c>
      <c r="F838" t="s">
        <v>56</v>
      </c>
      <c r="G838" s="118">
        <v>0.34085648148148145</v>
      </c>
      <c r="H838" s="118">
        <v>1.261574074074074E-3</v>
      </c>
      <c r="I838" s="118">
        <v>3.4722222222222224E-4</v>
      </c>
      <c r="J838"/>
      <c r="K838"/>
    </row>
    <row r="839" spans="1:11" x14ac:dyDescent="0.25">
      <c r="A839">
        <v>1</v>
      </c>
      <c r="B839">
        <v>3</v>
      </c>
      <c r="C839"/>
      <c r="D839" t="s">
        <v>31</v>
      </c>
      <c r="E839" t="s">
        <v>32</v>
      </c>
      <c r="F839" t="s">
        <v>40</v>
      </c>
      <c r="G839" s="118">
        <v>0.34093749999999995</v>
      </c>
      <c r="H839" s="118">
        <v>4.6296296296296293E-4</v>
      </c>
      <c r="I839" s="118">
        <v>1.0069444444444444E-3</v>
      </c>
      <c r="J839" s="118">
        <v>5.0462962962962961E-3</v>
      </c>
      <c r="K839" s="118">
        <v>5.0462962962962961E-3</v>
      </c>
    </row>
    <row r="840" spans="1:11" x14ac:dyDescent="0.25">
      <c r="A840">
        <v>4</v>
      </c>
      <c r="B840">
        <v>3</v>
      </c>
      <c r="C840"/>
      <c r="D840" t="s">
        <v>31</v>
      </c>
      <c r="E840" t="s">
        <v>35</v>
      </c>
      <c r="F840" t="s">
        <v>54</v>
      </c>
      <c r="G840" s="118">
        <v>0.34101851851851855</v>
      </c>
      <c r="H840" s="118">
        <v>8.6805555555555551E-4</v>
      </c>
      <c r="I840" s="118">
        <v>3.4722222222222224E-4</v>
      </c>
      <c r="J840"/>
      <c r="K840"/>
    </row>
    <row r="841" spans="1:11" x14ac:dyDescent="0.25">
      <c r="A841">
        <v>7</v>
      </c>
      <c r="B841">
        <v>2</v>
      </c>
      <c r="C841"/>
      <c r="D841" t="s">
        <v>31</v>
      </c>
      <c r="E841" t="s">
        <v>35</v>
      </c>
      <c r="F841" t="s">
        <v>53</v>
      </c>
      <c r="G841" s="118">
        <v>0.34111111111111114</v>
      </c>
      <c r="H841" s="118">
        <v>8.7962962962962962E-4</v>
      </c>
      <c r="I841" s="118">
        <v>3.4722222222222224E-4</v>
      </c>
      <c r="J841"/>
      <c r="K841"/>
    </row>
    <row r="842" spans="1:11" x14ac:dyDescent="0.25">
      <c r="A842">
        <v>5</v>
      </c>
      <c r="B842">
        <v>4</v>
      </c>
      <c r="C842"/>
      <c r="D842" t="s">
        <v>31</v>
      </c>
      <c r="E842" t="s">
        <v>32</v>
      </c>
      <c r="F842" t="s">
        <v>56</v>
      </c>
      <c r="G842" s="118">
        <v>0.34120370370370368</v>
      </c>
      <c r="H842" s="118">
        <v>3.4722222222222224E-4</v>
      </c>
      <c r="I842" s="118">
        <v>9.6064814814814808E-4</v>
      </c>
      <c r="J842" s="118">
        <v>5.0462962962962961E-3</v>
      </c>
      <c r="K842" s="118">
        <v>5.0462962962962961E-3</v>
      </c>
    </row>
    <row r="843" spans="1:11" x14ac:dyDescent="0.25">
      <c r="A843">
        <v>6</v>
      </c>
      <c r="B843">
        <v>4</v>
      </c>
      <c r="C843"/>
      <c r="D843" t="s">
        <v>31</v>
      </c>
      <c r="E843" t="s">
        <v>35</v>
      </c>
      <c r="F843" t="s">
        <v>36</v>
      </c>
      <c r="G843" s="118">
        <v>0.34135416666666668</v>
      </c>
      <c r="H843" s="118">
        <v>9.6064814814814808E-4</v>
      </c>
      <c r="I843" s="118">
        <v>3.4722222222222224E-4</v>
      </c>
      <c r="J843"/>
      <c r="K843"/>
    </row>
    <row r="844" spans="1:11" x14ac:dyDescent="0.25">
      <c r="A844">
        <v>4</v>
      </c>
      <c r="B844">
        <v>3</v>
      </c>
      <c r="C844"/>
      <c r="D844" t="s">
        <v>31</v>
      </c>
      <c r="E844" t="s">
        <v>32</v>
      </c>
      <c r="F844" t="s">
        <v>54</v>
      </c>
      <c r="G844" s="118">
        <v>0.34136574074074072</v>
      </c>
      <c r="H844" s="118">
        <v>3.4722222222222224E-4</v>
      </c>
      <c r="I844" s="118">
        <v>6.5972222222222213E-4</v>
      </c>
      <c r="J844" s="118">
        <v>5.0462962962962961E-3</v>
      </c>
      <c r="K844" s="118">
        <v>5.0462962962962961E-3</v>
      </c>
    </row>
    <row r="845" spans="1:11" x14ac:dyDescent="0.25">
      <c r="A845">
        <v>2</v>
      </c>
      <c r="B845">
        <v>4</v>
      </c>
      <c r="C845"/>
      <c r="D845" t="s">
        <v>31</v>
      </c>
      <c r="E845" t="s">
        <v>35</v>
      </c>
      <c r="F845" t="s">
        <v>46</v>
      </c>
      <c r="G845" s="118">
        <v>0.34145833333333336</v>
      </c>
      <c r="H845" s="118">
        <v>1.8055555555555557E-3</v>
      </c>
      <c r="I845" s="118">
        <v>3.4722222222222224E-4</v>
      </c>
      <c r="J845"/>
      <c r="K845"/>
    </row>
    <row r="846" spans="1:11" x14ac:dyDescent="0.25">
      <c r="A846">
        <v>7</v>
      </c>
      <c r="B846">
        <v>2</v>
      </c>
      <c r="C846"/>
      <c r="D846" t="s">
        <v>31</v>
      </c>
      <c r="E846" t="s">
        <v>32</v>
      </c>
      <c r="F846" t="s">
        <v>53</v>
      </c>
      <c r="G846" s="118">
        <v>0.34145833333333336</v>
      </c>
      <c r="H846" s="118">
        <v>3.4722222222222224E-4</v>
      </c>
      <c r="I846" s="118">
        <v>8.449074074074075E-4</v>
      </c>
      <c r="J846" s="118">
        <v>5.0462962962962961E-3</v>
      </c>
      <c r="K846" s="118">
        <v>5.0462962962962961E-3</v>
      </c>
    </row>
    <row r="847" spans="1:11" x14ac:dyDescent="0.25">
      <c r="A847">
        <v>3</v>
      </c>
      <c r="B847">
        <v>4</v>
      </c>
      <c r="C847"/>
      <c r="D847" t="s">
        <v>31</v>
      </c>
      <c r="E847" t="s">
        <v>35</v>
      </c>
      <c r="F847" t="s">
        <v>52</v>
      </c>
      <c r="G847" s="118">
        <v>0.34149305555555554</v>
      </c>
      <c r="H847" s="118">
        <v>1.0416666666666667E-3</v>
      </c>
      <c r="I847" s="118">
        <v>3.4722222222222224E-4</v>
      </c>
      <c r="J847"/>
      <c r="K847"/>
    </row>
    <row r="848" spans="1:11" x14ac:dyDescent="0.25">
      <c r="A848">
        <v>6</v>
      </c>
      <c r="B848">
        <v>4</v>
      </c>
      <c r="C848"/>
      <c r="D848" t="s">
        <v>31</v>
      </c>
      <c r="E848" t="s">
        <v>32</v>
      </c>
      <c r="F848" t="s">
        <v>36</v>
      </c>
      <c r="G848" s="118">
        <v>0.3417013888888889</v>
      </c>
      <c r="H848" s="118">
        <v>3.4722222222222224E-4</v>
      </c>
      <c r="I848" s="118">
        <v>1.0995370370370371E-3</v>
      </c>
      <c r="J848" s="118">
        <v>5.0462962962962961E-3</v>
      </c>
      <c r="K848" s="118">
        <v>5.0462962962962961E-3</v>
      </c>
    </row>
    <row r="849" spans="1:11" x14ac:dyDescent="0.25">
      <c r="A849">
        <v>2</v>
      </c>
      <c r="B849">
        <v>4</v>
      </c>
      <c r="C849"/>
      <c r="D849" t="s">
        <v>31</v>
      </c>
      <c r="E849" t="s">
        <v>32</v>
      </c>
      <c r="F849" t="s">
        <v>46</v>
      </c>
      <c r="G849" s="118">
        <v>0.34180555555555553</v>
      </c>
      <c r="H849" s="118">
        <v>3.4722222222222224E-4</v>
      </c>
      <c r="I849" s="118">
        <v>9.1435185185185185E-4</v>
      </c>
      <c r="J849" s="118">
        <v>5.0462962962962961E-3</v>
      </c>
      <c r="K849" s="118">
        <v>5.0462962962962961E-3</v>
      </c>
    </row>
    <row r="850" spans="1:11" x14ac:dyDescent="0.25">
      <c r="A850">
        <v>3</v>
      </c>
      <c r="B850">
        <v>4</v>
      </c>
      <c r="C850"/>
      <c r="D850" t="s">
        <v>31</v>
      </c>
      <c r="E850" t="s">
        <v>32</v>
      </c>
      <c r="F850" t="s">
        <v>52</v>
      </c>
      <c r="G850" s="118">
        <v>0.34184027777777781</v>
      </c>
      <c r="H850" s="118">
        <v>3.4722222222222224E-4</v>
      </c>
      <c r="I850" s="118">
        <v>1.0532407407407407E-3</v>
      </c>
      <c r="J850" s="118">
        <v>5.0462962962962961E-3</v>
      </c>
      <c r="K850" s="118">
        <v>5.0462962962962961E-3</v>
      </c>
    </row>
    <row r="851" spans="1:11" x14ac:dyDescent="0.25">
      <c r="A851">
        <v>1</v>
      </c>
      <c r="B851">
        <v>3</v>
      </c>
      <c r="C851"/>
      <c r="D851" t="s">
        <v>31</v>
      </c>
      <c r="E851" t="s">
        <v>35</v>
      </c>
      <c r="F851" t="s">
        <v>44</v>
      </c>
      <c r="G851" s="118">
        <v>0.34194444444444444</v>
      </c>
      <c r="H851" s="118">
        <v>1.0069444444444444E-3</v>
      </c>
      <c r="I851" s="118">
        <v>3.4722222222222224E-4</v>
      </c>
      <c r="J851"/>
      <c r="K851"/>
    </row>
    <row r="852" spans="1:11" x14ac:dyDescent="0.25">
      <c r="A852">
        <v>4</v>
      </c>
      <c r="B852">
        <v>3</v>
      </c>
      <c r="C852"/>
      <c r="D852" t="s">
        <v>31</v>
      </c>
      <c r="E852" t="s">
        <v>35</v>
      </c>
      <c r="F852" t="s">
        <v>92</v>
      </c>
      <c r="G852" s="118">
        <v>0.34202546296296293</v>
      </c>
      <c r="H852" s="118">
        <v>6.5972222222222213E-4</v>
      </c>
      <c r="I852" s="118">
        <v>5.2083333333333333E-4</v>
      </c>
      <c r="J852"/>
      <c r="K852"/>
    </row>
    <row r="853" spans="1:11" x14ac:dyDescent="0.25">
      <c r="A853">
        <v>5</v>
      </c>
      <c r="B853">
        <v>4</v>
      </c>
      <c r="C853"/>
      <c r="D853" t="s">
        <v>31</v>
      </c>
      <c r="E853" t="s">
        <v>35</v>
      </c>
      <c r="F853" t="s">
        <v>37</v>
      </c>
      <c r="G853" s="118">
        <v>0.34216435185185184</v>
      </c>
      <c r="H853" s="118">
        <v>9.6064814814814808E-4</v>
      </c>
      <c r="I853" s="118">
        <v>3.4722222222222224E-4</v>
      </c>
      <c r="J853"/>
      <c r="K853"/>
    </row>
    <row r="854" spans="1:11" x14ac:dyDescent="0.25">
      <c r="A854">
        <v>1</v>
      </c>
      <c r="B854">
        <v>3</v>
      </c>
      <c r="C854"/>
      <c r="D854" t="s">
        <v>31</v>
      </c>
      <c r="E854" t="s">
        <v>32</v>
      </c>
      <c r="F854" t="s">
        <v>44</v>
      </c>
      <c r="G854" s="118">
        <v>0.34229166666666666</v>
      </c>
      <c r="H854" s="118">
        <v>3.4722222222222224E-4</v>
      </c>
      <c r="I854" s="118">
        <v>9.2592592592592585E-4</v>
      </c>
      <c r="J854" s="118">
        <v>5.0462962962962961E-3</v>
      </c>
      <c r="K854" s="118">
        <v>5.0462962962962961E-3</v>
      </c>
    </row>
    <row r="855" spans="1:11" x14ac:dyDescent="0.25">
      <c r="A855">
        <v>7</v>
      </c>
      <c r="B855">
        <v>2</v>
      </c>
      <c r="C855"/>
      <c r="D855" t="s">
        <v>31</v>
      </c>
      <c r="E855" t="s">
        <v>35</v>
      </c>
      <c r="F855" t="s">
        <v>34</v>
      </c>
      <c r="G855" s="118">
        <v>0.34230324074074076</v>
      </c>
      <c r="H855" s="118">
        <v>8.449074074074075E-4</v>
      </c>
      <c r="I855" s="118">
        <v>3.4722222222222224E-4</v>
      </c>
      <c r="J855"/>
      <c r="K855"/>
    </row>
    <row r="856" spans="1:11" x14ac:dyDescent="0.25">
      <c r="A856">
        <v>5</v>
      </c>
      <c r="B856">
        <v>4</v>
      </c>
      <c r="C856"/>
      <c r="D856" t="s">
        <v>31</v>
      </c>
      <c r="E856" t="s">
        <v>32</v>
      </c>
      <c r="F856" t="s">
        <v>37</v>
      </c>
      <c r="G856" s="118">
        <v>0.34251157407407407</v>
      </c>
      <c r="H856" s="118">
        <v>3.4722222222222224E-4</v>
      </c>
      <c r="I856" s="118">
        <v>9.0277777777777784E-4</v>
      </c>
      <c r="J856" s="118">
        <v>5.0462962962962961E-3</v>
      </c>
      <c r="K856" s="118">
        <v>5.0462962962962961E-3</v>
      </c>
    </row>
    <row r="857" spans="1:11" x14ac:dyDescent="0.25">
      <c r="A857">
        <v>4</v>
      </c>
      <c r="B857">
        <v>4</v>
      </c>
      <c r="C857"/>
      <c r="D857" t="s">
        <v>31</v>
      </c>
      <c r="E857" t="s">
        <v>32</v>
      </c>
      <c r="F857" t="s">
        <v>92</v>
      </c>
      <c r="G857" s="118">
        <v>0.34254629629629635</v>
      </c>
      <c r="H857" s="118">
        <v>5.2083333333333333E-4</v>
      </c>
      <c r="I857" s="118">
        <v>1.0069444444444444E-3</v>
      </c>
      <c r="J857" s="118">
        <v>5.0462962962962961E-3</v>
      </c>
      <c r="K857" s="118">
        <v>5.0462962962962961E-3</v>
      </c>
    </row>
    <row r="858" spans="1:11" x14ac:dyDescent="0.25">
      <c r="A858">
        <v>7</v>
      </c>
      <c r="B858">
        <v>2</v>
      </c>
      <c r="C858"/>
      <c r="D858" t="s">
        <v>31</v>
      </c>
      <c r="E858" t="s">
        <v>32</v>
      </c>
      <c r="F858" t="s">
        <v>34</v>
      </c>
      <c r="G858" s="118">
        <v>0.34265046296296298</v>
      </c>
      <c r="H858" s="118">
        <v>3.4722222222222224E-4</v>
      </c>
      <c r="I858" s="118">
        <v>9.1435185185185185E-4</v>
      </c>
      <c r="J858" s="118">
        <v>5.0462962962962961E-3</v>
      </c>
      <c r="K858" s="118">
        <v>5.0462962962962961E-3</v>
      </c>
    </row>
    <row r="859" spans="1:11" x14ac:dyDescent="0.25">
      <c r="A859">
        <v>2</v>
      </c>
      <c r="B859">
        <v>4</v>
      </c>
      <c r="C859"/>
      <c r="D859" t="s">
        <v>31</v>
      </c>
      <c r="E859" t="s">
        <v>35</v>
      </c>
      <c r="F859" t="s">
        <v>51</v>
      </c>
      <c r="G859" s="118">
        <v>0.34271990740740743</v>
      </c>
      <c r="H859" s="118">
        <v>9.1435185185185185E-4</v>
      </c>
      <c r="I859" s="118">
        <v>3.4722222222222224E-4</v>
      </c>
      <c r="J859"/>
      <c r="K859"/>
    </row>
    <row r="860" spans="1:11" x14ac:dyDescent="0.25">
      <c r="A860">
        <v>6</v>
      </c>
      <c r="B860">
        <v>4</v>
      </c>
      <c r="C860"/>
      <c r="D860" t="s">
        <v>31</v>
      </c>
      <c r="E860" t="s">
        <v>35</v>
      </c>
      <c r="F860" t="s">
        <v>43</v>
      </c>
      <c r="G860" s="118">
        <v>0.34280092592592593</v>
      </c>
      <c r="H860" s="118">
        <v>1.0995370370370371E-3</v>
      </c>
      <c r="I860" s="118">
        <v>3.4722222222222224E-4</v>
      </c>
      <c r="J860"/>
      <c r="K860"/>
    </row>
    <row r="861" spans="1:11" x14ac:dyDescent="0.25">
      <c r="A861">
        <v>3</v>
      </c>
      <c r="B861">
        <v>4</v>
      </c>
      <c r="C861"/>
      <c r="D861" t="s">
        <v>31</v>
      </c>
      <c r="E861" t="s">
        <v>35</v>
      </c>
      <c r="F861" t="s">
        <v>57</v>
      </c>
      <c r="G861" s="118">
        <v>0.34289351851851851</v>
      </c>
      <c r="H861" s="118">
        <v>1.0532407407407407E-3</v>
      </c>
      <c r="I861" s="118">
        <v>3.4722222222222224E-4</v>
      </c>
      <c r="J861"/>
      <c r="K861"/>
    </row>
    <row r="862" spans="1:11" x14ac:dyDescent="0.25">
      <c r="A862">
        <v>2</v>
      </c>
      <c r="B862">
        <v>4</v>
      </c>
      <c r="C862"/>
      <c r="D862" t="s">
        <v>31</v>
      </c>
      <c r="E862" t="s">
        <v>32</v>
      </c>
      <c r="F862" t="s">
        <v>51</v>
      </c>
      <c r="G862" s="118">
        <v>0.34306712962962965</v>
      </c>
      <c r="H862" s="118">
        <v>3.4722222222222224E-4</v>
      </c>
      <c r="I862" s="118">
        <v>1.0069444444444444E-3</v>
      </c>
      <c r="J862" s="118">
        <v>5.0462962962962961E-3</v>
      </c>
      <c r="K862" s="118">
        <v>5.0462962962962961E-3</v>
      </c>
    </row>
    <row r="863" spans="1:11" x14ac:dyDescent="0.25">
      <c r="A863">
        <v>6</v>
      </c>
      <c r="B863">
        <v>4</v>
      </c>
      <c r="C863"/>
      <c r="D863" t="s">
        <v>31</v>
      </c>
      <c r="E863" t="s">
        <v>32</v>
      </c>
      <c r="F863" t="s">
        <v>43</v>
      </c>
      <c r="G863" s="118">
        <v>0.34314814814814815</v>
      </c>
      <c r="H863" s="118">
        <v>3.4722222222222224E-4</v>
      </c>
      <c r="I863" s="118">
        <v>1.1458333333333333E-3</v>
      </c>
      <c r="J863" s="118">
        <v>5.0462962962962961E-3</v>
      </c>
      <c r="K863" s="118">
        <v>5.0462962962962961E-3</v>
      </c>
    </row>
    <row r="864" spans="1:11" x14ac:dyDescent="0.25">
      <c r="A864">
        <v>1</v>
      </c>
      <c r="B864">
        <v>3</v>
      </c>
      <c r="C864"/>
      <c r="D864" t="s">
        <v>31</v>
      </c>
      <c r="E864" t="s">
        <v>35</v>
      </c>
      <c r="F864" t="s">
        <v>49</v>
      </c>
      <c r="G864" s="118">
        <v>0.3432175925925926</v>
      </c>
      <c r="H864" s="118">
        <v>9.2592592592592585E-4</v>
      </c>
      <c r="I864" s="118">
        <v>3.4722222222222224E-4</v>
      </c>
      <c r="J864"/>
      <c r="K864"/>
    </row>
    <row r="865" spans="1:11" x14ac:dyDescent="0.25">
      <c r="A865">
        <v>3</v>
      </c>
      <c r="B865">
        <v>4</v>
      </c>
      <c r="C865"/>
      <c r="D865" t="s">
        <v>31</v>
      </c>
      <c r="E865" t="s">
        <v>32</v>
      </c>
      <c r="F865" t="s">
        <v>57</v>
      </c>
      <c r="G865" s="118">
        <v>0.34324074074074074</v>
      </c>
      <c r="H865" s="118">
        <v>3.4722222222222224E-4</v>
      </c>
      <c r="I865" s="118">
        <v>9.3750000000000007E-4</v>
      </c>
      <c r="J865" s="118">
        <v>5.0462962962962961E-3</v>
      </c>
      <c r="K865" s="118">
        <v>5.0462962962962961E-3</v>
      </c>
    </row>
    <row r="866" spans="1:11" x14ac:dyDescent="0.25">
      <c r="A866">
        <v>5</v>
      </c>
      <c r="B866">
        <v>4</v>
      </c>
      <c r="C866"/>
      <c r="D866" t="s">
        <v>31</v>
      </c>
      <c r="E866" t="s">
        <v>35</v>
      </c>
      <c r="F866" t="s">
        <v>42</v>
      </c>
      <c r="G866" s="118">
        <v>0.34341435185185182</v>
      </c>
      <c r="H866" s="118">
        <v>9.0277777777777784E-4</v>
      </c>
      <c r="I866" s="118">
        <v>3.4722222222222224E-4</v>
      </c>
      <c r="J866"/>
      <c r="K866"/>
    </row>
    <row r="867" spans="1:11" x14ac:dyDescent="0.25">
      <c r="A867">
        <v>4</v>
      </c>
      <c r="B867">
        <v>4</v>
      </c>
      <c r="C867"/>
      <c r="D867" t="s">
        <v>31</v>
      </c>
      <c r="E867" t="s">
        <v>35</v>
      </c>
      <c r="F867" t="s">
        <v>41</v>
      </c>
      <c r="G867" s="118">
        <v>0.34355324074074073</v>
      </c>
      <c r="H867" s="118">
        <v>1.0069444444444444E-3</v>
      </c>
      <c r="I867" s="118">
        <v>3.4722222222222224E-4</v>
      </c>
      <c r="J867"/>
      <c r="K867"/>
    </row>
    <row r="868" spans="1:11" x14ac:dyDescent="0.25">
      <c r="A868">
        <v>1</v>
      </c>
      <c r="B868">
        <v>3</v>
      </c>
      <c r="C868"/>
      <c r="D868" t="s">
        <v>31</v>
      </c>
      <c r="E868" t="s">
        <v>32</v>
      </c>
      <c r="F868" t="s">
        <v>49</v>
      </c>
      <c r="G868" s="118">
        <v>0.34356481481481477</v>
      </c>
      <c r="H868" s="118">
        <v>3.4722222222222224E-4</v>
      </c>
      <c r="I868" s="118">
        <v>1.3541666666666667E-3</v>
      </c>
      <c r="J868" s="118">
        <v>5.0462962962962961E-3</v>
      </c>
      <c r="K868" s="118">
        <v>5.0462962962962961E-3</v>
      </c>
    </row>
    <row r="869" spans="1:11" x14ac:dyDescent="0.25">
      <c r="A869">
        <v>7</v>
      </c>
      <c r="B869">
        <v>2</v>
      </c>
      <c r="C869"/>
      <c r="D869" t="s">
        <v>31</v>
      </c>
      <c r="E869" t="s">
        <v>35</v>
      </c>
      <c r="F869" t="s">
        <v>38</v>
      </c>
      <c r="G869" s="118">
        <v>0.34356481481481477</v>
      </c>
      <c r="H869" s="118">
        <v>9.1435185185185185E-4</v>
      </c>
      <c r="I869" s="118">
        <v>3.4722222222222224E-4</v>
      </c>
      <c r="J869"/>
      <c r="K869"/>
    </row>
    <row r="870" spans="1:11" x14ac:dyDescent="0.25">
      <c r="A870">
        <v>5</v>
      </c>
      <c r="B870">
        <v>4</v>
      </c>
      <c r="C870"/>
      <c r="D870" t="s">
        <v>31</v>
      </c>
      <c r="E870" t="s">
        <v>32</v>
      </c>
      <c r="F870" t="s">
        <v>42</v>
      </c>
      <c r="G870" s="118">
        <v>0.34376157407407404</v>
      </c>
      <c r="H870" s="118">
        <v>3.4722222222222224E-4</v>
      </c>
      <c r="I870" s="118">
        <v>9.1435185185185185E-4</v>
      </c>
      <c r="J870" s="118">
        <v>5.0462962962962961E-3</v>
      </c>
      <c r="K870" s="118">
        <v>5.0462962962962961E-3</v>
      </c>
    </row>
    <row r="871" spans="1:11" x14ac:dyDescent="0.25">
      <c r="A871">
        <v>4</v>
      </c>
      <c r="B871">
        <v>4</v>
      </c>
      <c r="C871"/>
      <c r="D871" t="s">
        <v>31</v>
      </c>
      <c r="E871" t="s">
        <v>32</v>
      </c>
      <c r="F871" t="s">
        <v>41</v>
      </c>
      <c r="G871" s="118">
        <v>0.34390046296296295</v>
      </c>
      <c r="H871" s="118">
        <v>3.4722222222222224E-4</v>
      </c>
      <c r="I871" s="118">
        <v>8.564814814814815E-4</v>
      </c>
      <c r="J871" s="118">
        <v>5.0462962962962961E-3</v>
      </c>
      <c r="K871" s="118">
        <v>5.0462962962962961E-3</v>
      </c>
    </row>
    <row r="872" spans="1:11" x14ac:dyDescent="0.25">
      <c r="A872">
        <v>7</v>
      </c>
      <c r="B872">
        <v>2</v>
      </c>
      <c r="C872"/>
      <c r="D872" t="s">
        <v>31</v>
      </c>
      <c r="E872" t="s">
        <v>32</v>
      </c>
      <c r="F872" t="s">
        <v>38</v>
      </c>
      <c r="G872" s="118">
        <v>0.34391203703703704</v>
      </c>
      <c r="H872" s="118">
        <v>3.4722222222222224E-4</v>
      </c>
      <c r="I872" s="118">
        <v>1.2384259259259258E-3</v>
      </c>
      <c r="J872" s="118">
        <v>5.0462962962962961E-3</v>
      </c>
      <c r="K872" s="118">
        <v>5.0462962962962961E-3</v>
      </c>
    </row>
    <row r="873" spans="1:11" x14ac:dyDescent="0.25">
      <c r="A873">
        <v>2</v>
      </c>
      <c r="B873">
        <v>4</v>
      </c>
      <c r="C873"/>
      <c r="D873" t="s">
        <v>31</v>
      </c>
      <c r="E873" t="s">
        <v>35</v>
      </c>
      <c r="F873" t="s">
        <v>55</v>
      </c>
      <c r="G873" s="118">
        <v>0.34407407407407403</v>
      </c>
      <c r="H873" s="118">
        <v>1.0069444444444444E-3</v>
      </c>
      <c r="I873" s="118">
        <v>4.6296296296296293E-4</v>
      </c>
      <c r="J873"/>
      <c r="K873"/>
    </row>
    <row r="874" spans="1:11" x14ac:dyDescent="0.25">
      <c r="A874">
        <v>3</v>
      </c>
      <c r="B874">
        <v>4</v>
      </c>
      <c r="C874"/>
      <c r="D874" t="s">
        <v>31</v>
      </c>
      <c r="E874" t="s">
        <v>35</v>
      </c>
      <c r="F874" t="s">
        <v>39</v>
      </c>
      <c r="G874" s="118">
        <v>0.34417824074074077</v>
      </c>
      <c r="H874" s="118">
        <v>9.3750000000000007E-4</v>
      </c>
      <c r="I874" s="118">
        <v>5.2083333333333333E-4</v>
      </c>
      <c r="J874"/>
      <c r="K874"/>
    </row>
    <row r="875" spans="1:11" x14ac:dyDescent="0.25">
      <c r="A875">
        <v>6</v>
      </c>
      <c r="B875">
        <v>4</v>
      </c>
      <c r="C875"/>
      <c r="D875" t="s">
        <v>31</v>
      </c>
      <c r="E875" t="s">
        <v>35</v>
      </c>
      <c r="F875" t="s">
        <v>50</v>
      </c>
      <c r="G875" s="118">
        <v>0.34429398148148144</v>
      </c>
      <c r="H875" s="118">
        <v>1.1458333333333333E-3</v>
      </c>
      <c r="I875" s="118">
        <v>3.4722222222222224E-4</v>
      </c>
      <c r="J875"/>
      <c r="K875"/>
    </row>
    <row r="876" spans="1:11" x14ac:dyDescent="0.25">
      <c r="A876">
        <v>2</v>
      </c>
      <c r="B876">
        <v>4</v>
      </c>
      <c r="C876"/>
      <c r="D876" t="s">
        <v>31</v>
      </c>
      <c r="E876" t="s">
        <v>32</v>
      </c>
      <c r="F876" t="s">
        <v>55</v>
      </c>
      <c r="G876" s="118">
        <v>0.34453703703703703</v>
      </c>
      <c r="H876" s="118">
        <v>4.6296296296296293E-4</v>
      </c>
      <c r="I876" s="118">
        <v>4.3981481481481481E-4</v>
      </c>
      <c r="J876" s="118">
        <v>5.0462962962962961E-3</v>
      </c>
      <c r="K876" s="118">
        <v>5.0462962962962961E-3</v>
      </c>
    </row>
    <row r="877" spans="1:11" x14ac:dyDescent="0.25">
      <c r="A877">
        <v>6</v>
      </c>
      <c r="B877">
        <v>4</v>
      </c>
      <c r="C877"/>
      <c r="D877" t="s">
        <v>31</v>
      </c>
      <c r="E877" t="s">
        <v>32</v>
      </c>
      <c r="F877" t="s">
        <v>50</v>
      </c>
      <c r="G877" s="118">
        <v>0.34464120370370371</v>
      </c>
      <c r="H877" s="118">
        <v>3.4722222222222224E-4</v>
      </c>
      <c r="I877" s="118">
        <v>1.261574074074074E-3</v>
      </c>
      <c r="J877" s="118">
        <v>5.0462962962962961E-3</v>
      </c>
      <c r="K877" s="118">
        <v>5.0462962962962961E-3</v>
      </c>
    </row>
    <row r="878" spans="1:11" x14ac:dyDescent="0.25">
      <c r="A878">
        <v>5</v>
      </c>
      <c r="B878">
        <v>4</v>
      </c>
      <c r="C878"/>
      <c r="D878" t="s">
        <v>31</v>
      </c>
      <c r="E878" t="s">
        <v>35</v>
      </c>
      <c r="F878" t="s">
        <v>48</v>
      </c>
      <c r="G878" s="118">
        <v>0.34467592592592594</v>
      </c>
      <c r="H878" s="118">
        <v>9.1435185185185185E-4</v>
      </c>
      <c r="I878" s="118">
        <v>5.2083333333333333E-4</v>
      </c>
      <c r="J878"/>
      <c r="K878"/>
    </row>
    <row r="879" spans="1:11" x14ac:dyDescent="0.25">
      <c r="A879">
        <v>3</v>
      </c>
      <c r="B879">
        <v>4</v>
      </c>
      <c r="C879"/>
      <c r="D879" t="s">
        <v>31</v>
      </c>
      <c r="E879" t="s">
        <v>32</v>
      </c>
      <c r="F879" t="s">
        <v>39</v>
      </c>
      <c r="G879" s="118">
        <v>0.34469907407407407</v>
      </c>
      <c r="H879" s="118">
        <v>5.2083333333333333E-4</v>
      </c>
      <c r="I879" s="118">
        <v>1.8055555555555557E-3</v>
      </c>
      <c r="J879" s="118">
        <v>5.0462962962962961E-3</v>
      </c>
      <c r="K879" s="118">
        <v>5.0462962962962961E-3</v>
      </c>
    </row>
    <row r="880" spans="1:11" x14ac:dyDescent="0.25">
      <c r="A880">
        <v>4</v>
      </c>
      <c r="B880">
        <v>4</v>
      </c>
      <c r="C880"/>
      <c r="D880" t="s">
        <v>31</v>
      </c>
      <c r="E880" t="s">
        <v>35</v>
      </c>
      <c r="F880" t="s">
        <v>47</v>
      </c>
      <c r="G880" s="118">
        <v>0.34475694444444444</v>
      </c>
      <c r="H880" s="118">
        <v>8.564814814814815E-4</v>
      </c>
      <c r="I880" s="118">
        <v>5.2083333333333333E-4</v>
      </c>
      <c r="J880"/>
      <c r="K880"/>
    </row>
    <row r="881" spans="1:11" x14ac:dyDescent="0.25">
      <c r="A881">
        <v>1</v>
      </c>
      <c r="B881">
        <v>3</v>
      </c>
      <c r="C881"/>
      <c r="D881" t="s">
        <v>31</v>
      </c>
      <c r="E881" t="s">
        <v>35</v>
      </c>
      <c r="F881" t="s">
        <v>33</v>
      </c>
      <c r="G881" s="118">
        <v>0.34491898148148148</v>
      </c>
      <c r="H881" s="118">
        <v>1.3541666666666667E-3</v>
      </c>
      <c r="I881" s="118">
        <v>5.2083333333333333E-4</v>
      </c>
      <c r="J881"/>
      <c r="K881"/>
    </row>
    <row r="882" spans="1:11" x14ac:dyDescent="0.25">
      <c r="A882">
        <v>2</v>
      </c>
      <c r="B882">
        <v>4</v>
      </c>
      <c r="C882"/>
      <c r="D882" t="s">
        <v>31</v>
      </c>
      <c r="E882" t="s">
        <v>35</v>
      </c>
      <c r="F882" t="s">
        <v>58</v>
      </c>
      <c r="G882" s="118">
        <v>0.34497685185185184</v>
      </c>
      <c r="H882" s="118">
        <v>4.3981481481481481E-4</v>
      </c>
      <c r="I882" s="118">
        <v>5.7870370370370366E-5</v>
      </c>
      <c r="J882"/>
      <c r="K882"/>
    </row>
    <row r="883" spans="1:11" x14ac:dyDescent="0.25">
      <c r="A883">
        <v>2</v>
      </c>
      <c r="B883">
        <v>4</v>
      </c>
      <c r="C883"/>
      <c r="D883" t="s">
        <v>31</v>
      </c>
      <c r="E883" t="s">
        <v>32</v>
      </c>
      <c r="F883" t="s">
        <v>58</v>
      </c>
      <c r="G883" s="118">
        <v>0.34503472222222226</v>
      </c>
      <c r="H883" s="118">
        <v>5.7870370370370366E-5</v>
      </c>
      <c r="I883" s="118">
        <v>4.8611111111111104E-4</v>
      </c>
      <c r="J883" s="118">
        <v>5.0462962962962961E-3</v>
      </c>
      <c r="K883" s="118">
        <v>5.0462962962962961E-3</v>
      </c>
    </row>
    <row r="884" spans="1:11" x14ac:dyDescent="0.25">
      <c r="A884">
        <v>7</v>
      </c>
      <c r="B884">
        <v>2</v>
      </c>
      <c r="C884"/>
      <c r="D884" t="s">
        <v>31</v>
      </c>
      <c r="E884" t="s">
        <v>35</v>
      </c>
      <c r="F884" t="s">
        <v>45</v>
      </c>
      <c r="G884" s="118">
        <v>0.34515046296296298</v>
      </c>
      <c r="H884" s="118">
        <v>1.2384259259259258E-3</v>
      </c>
      <c r="I884" s="118">
        <v>3.4722222222222224E-4</v>
      </c>
      <c r="J884"/>
      <c r="K884"/>
    </row>
    <row r="885" spans="1:11" x14ac:dyDescent="0.25">
      <c r="A885">
        <v>5</v>
      </c>
      <c r="B885">
        <v>4</v>
      </c>
      <c r="C885"/>
      <c r="D885" t="s">
        <v>31</v>
      </c>
      <c r="E885" t="s">
        <v>32</v>
      </c>
      <c r="F885" t="s">
        <v>48</v>
      </c>
      <c r="G885" s="118">
        <v>0.34519675925925924</v>
      </c>
      <c r="H885" s="118">
        <v>5.2083333333333333E-4</v>
      </c>
      <c r="I885" s="118">
        <v>8.6805555555555551E-4</v>
      </c>
      <c r="J885" s="118">
        <v>5.0462962962962961E-3</v>
      </c>
      <c r="K885" s="118">
        <v>5.0462962962962961E-3</v>
      </c>
    </row>
    <row r="886" spans="1:11" x14ac:dyDescent="0.25">
      <c r="A886">
        <v>4</v>
      </c>
      <c r="B886">
        <v>4</v>
      </c>
      <c r="C886"/>
      <c r="D886" t="s">
        <v>31</v>
      </c>
      <c r="E886" t="s">
        <v>32</v>
      </c>
      <c r="F886" t="s">
        <v>47</v>
      </c>
      <c r="G886" s="118">
        <v>0.34527777777777779</v>
      </c>
      <c r="H886" s="118">
        <v>5.2083333333333333E-4</v>
      </c>
      <c r="I886" s="118">
        <v>8.7962962962962962E-4</v>
      </c>
      <c r="J886" s="118">
        <v>5.0462962962962961E-3</v>
      </c>
      <c r="K886" s="118">
        <v>5.0462962962962961E-3</v>
      </c>
    </row>
    <row r="887" spans="1:11" x14ac:dyDescent="0.25">
      <c r="A887">
        <v>1</v>
      </c>
      <c r="B887">
        <v>3</v>
      </c>
      <c r="C887"/>
      <c r="D887" t="s">
        <v>31</v>
      </c>
      <c r="E887" t="s">
        <v>32</v>
      </c>
      <c r="F887" t="s">
        <v>33</v>
      </c>
      <c r="G887" s="118">
        <v>0.34543981481481478</v>
      </c>
      <c r="H887" s="118">
        <v>5.2083333333333333E-4</v>
      </c>
      <c r="I887" s="118">
        <v>9.6064814814814808E-4</v>
      </c>
      <c r="J887" s="118">
        <v>5.0462962962962961E-3</v>
      </c>
      <c r="K887" s="118">
        <v>5.0462962962962961E-3</v>
      </c>
    </row>
    <row r="888" spans="1:11" x14ac:dyDescent="0.25">
      <c r="A888">
        <v>7</v>
      </c>
      <c r="B888">
        <v>2</v>
      </c>
      <c r="C888"/>
      <c r="D888" t="s">
        <v>31</v>
      </c>
      <c r="E888" t="s">
        <v>32</v>
      </c>
      <c r="F888" t="s">
        <v>45</v>
      </c>
      <c r="G888" s="118">
        <v>0.3454976851851852</v>
      </c>
      <c r="H888" s="118">
        <v>3.4722222222222224E-4</v>
      </c>
      <c r="I888" s="118">
        <v>1.0416666666666667E-3</v>
      </c>
      <c r="J888" s="118">
        <v>5.0462962962962961E-3</v>
      </c>
      <c r="K888" s="118">
        <v>5.0462962962962961E-3</v>
      </c>
    </row>
    <row r="889" spans="1:11" x14ac:dyDescent="0.25">
      <c r="A889">
        <v>2</v>
      </c>
      <c r="B889">
        <v>4</v>
      </c>
      <c r="C889"/>
      <c r="D889" t="s">
        <v>31</v>
      </c>
      <c r="E889" t="s">
        <v>35</v>
      </c>
      <c r="F889" t="s">
        <v>40</v>
      </c>
      <c r="G889" s="118">
        <v>0.34552083333333333</v>
      </c>
      <c r="H889" s="118">
        <v>4.8611111111111104E-4</v>
      </c>
      <c r="I889" s="118">
        <v>4.6296296296296293E-4</v>
      </c>
      <c r="J889"/>
      <c r="K889"/>
    </row>
    <row r="890" spans="1:11" x14ac:dyDescent="0.25">
      <c r="A890">
        <v>6</v>
      </c>
      <c r="B890">
        <v>4</v>
      </c>
      <c r="C890"/>
      <c r="D890" t="s">
        <v>31</v>
      </c>
      <c r="E890" t="s">
        <v>35</v>
      </c>
      <c r="F890" t="s">
        <v>56</v>
      </c>
      <c r="G890" s="118">
        <v>0.34590277777777773</v>
      </c>
      <c r="H890" s="118">
        <v>1.261574074074074E-3</v>
      </c>
      <c r="I890" s="118">
        <v>3.4722222222222224E-4</v>
      </c>
      <c r="J890"/>
      <c r="K890"/>
    </row>
    <row r="891" spans="1:11" x14ac:dyDescent="0.25">
      <c r="A891">
        <v>2</v>
      </c>
      <c r="B891">
        <v>4</v>
      </c>
      <c r="C891"/>
      <c r="D891" t="s">
        <v>31</v>
      </c>
      <c r="E891" t="s">
        <v>32</v>
      </c>
      <c r="F891" t="s">
        <v>40</v>
      </c>
      <c r="G891" s="118">
        <v>0.34598379629629633</v>
      </c>
      <c r="H891" s="118">
        <v>4.6296296296296293E-4</v>
      </c>
      <c r="I891" s="118">
        <v>1.0069444444444444E-3</v>
      </c>
      <c r="J891" s="118">
        <v>5.0462962962962961E-3</v>
      </c>
      <c r="K891" s="118">
        <v>5.0462962962962961E-3</v>
      </c>
    </row>
    <row r="892" spans="1:11" x14ac:dyDescent="0.25">
      <c r="A892">
        <v>5</v>
      </c>
      <c r="B892">
        <v>4</v>
      </c>
      <c r="C892"/>
      <c r="D892" t="s">
        <v>31</v>
      </c>
      <c r="E892" t="s">
        <v>35</v>
      </c>
      <c r="F892" t="s">
        <v>54</v>
      </c>
      <c r="G892" s="118">
        <v>0.34606481481481483</v>
      </c>
      <c r="H892" s="118">
        <v>8.6805555555555551E-4</v>
      </c>
      <c r="I892" s="118">
        <v>3.4722222222222224E-4</v>
      </c>
      <c r="J892"/>
      <c r="K892"/>
    </row>
    <row r="893" spans="1:11" x14ac:dyDescent="0.25">
      <c r="A893">
        <v>4</v>
      </c>
      <c r="B893">
        <v>4</v>
      </c>
      <c r="C893"/>
      <c r="D893" t="s">
        <v>31</v>
      </c>
      <c r="E893" t="s">
        <v>35</v>
      </c>
      <c r="F893" t="s">
        <v>53</v>
      </c>
      <c r="G893" s="118">
        <v>0.34615740740740741</v>
      </c>
      <c r="H893" s="118">
        <v>8.7962962962962962E-4</v>
      </c>
      <c r="I893" s="118">
        <v>3.4722222222222224E-4</v>
      </c>
      <c r="J893"/>
      <c r="K893"/>
    </row>
    <row r="894" spans="1:11" x14ac:dyDescent="0.25">
      <c r="A894">
        <v>6</v>
      </c>
      <c r="B894">
        <v>4</v>
      </c>
      <c r="C894"/>
      <c r="D894" t="s">
        <v>31</v>
      </c>
      <c r="E894" t="s">
        <v>32</v>
      </c>
      <c r="F894" t="s">
        <v>56</v>
      </c>
      <c r="G894" s="118">
        <v>0.34625</v>
      </c>
      <c r="H894" s="118">
        <v>3.4722222222222224E-4</v>
      </c>
      <c r="I894" s="118">
        <v>9.6064814814814808E-4</v>
      </c>
      <c r="J894" s="118">
        <v>5.0462962962962961E-3</v>
      </c>
      <c r="K894" s="118">
        <v>5.0462962962962961E-3</v>
      </c>
    </row>
    <row r="895" spans="1:11" x14ac:dyDescent="0.25">
      <c r="A895">
        <v>1</v>
      </c>
      <c r="B895">
        <v>3</v>
      </c>
      <c r="C895"/>
      <c r="D895" t="s">
        <v>31</v>
      </c>
      <c r="E895" t="s">
        <v>35</v>
      </c>
      <c r="F895" t="s">
        <v>36</v>
      </c>
      <c r="G895" s="118">
        <v>0.34640046296296295</v>
      </c>
      <c r="H895" s="118">
        <v>9.6064814814814808E-4</v>
      </c>
      <c r="I895" s="118">
        <v>3.4722222222222224E-4</v>
      </c>
      <c r="J895"/>
      <c r="K895"/>
    </row>
    <row r="896" spans="1:11" x14ac:dyDescent="0.25">
      <c r="A896">
        <v>5</v>
      </c>
      <c r="B896">
        <v>4</v>
      </c>
      <c r="C896"/>
      <c r="D896" t="s">
        <v>31</v>
      </c>
      <c r="E896" t="s">
        <v>32</v>
      </c>
      <c r="F896" t="s">
        <v>54</v>
      </c>
      <c r="G896" s="118">
        <v>0.34641203703703699</v>
      </c>
      <c r="H896" s="118">
        <v>3.4722222222222224E-4</v>
      </c>
      <c r="I896" s="118">
        <v>6.5972222222222213E-4</v>
      </c>
      <c r="J896" s="118">
        <v>5.0462962962962961E-3</v>
      </c>
      <c r="K896" s="118">
        <v>5.0462962962962961E-3</v>
      </c>
    </row>
    <row r="897" spans="1:11" x14ac:dyDescent="0.25">
      <c r="A897">
        <v>3</v>
      </c>
      <c r="B897">
        <v>4</v>
      </c>
      <c r="C897"/>
      <c r="D897" t="s">
        <v>31</v>
      </c>
      <c r="E897" t="s">
        <v>35</v>
      </c>
      <c r="F897" t="s">
        <v>46</v>
      </c>
      <c r="G897" s="118">
        <v>0.34650462962962963</v>
      </c>
      <c r="H897" s="118">
        <v>1.8055555555555557E-3</v>
      </c>
      <c r="I897" s="118">
        <v>3.4722222222222224E-4</v>
      </c>
      <c r="J897"/>
      <c r="K897"/>
    </row>
    <row r="898" spans="1:11" x14ac:dyDescent="0.25">
      <c r="A898">
        <v>4</v>
      </c>
      <c r="B898">
        <v>4</v>
      </c>
      <c r="C898"/>
      <c r="D898" t="s">
        <v>31</v>
      </c>
      <c r="E898" t="s">
        <v>32</v>
      </c>
      <c r="F898" t="s">
        <v>53</v>
      </c>
      <c r="G898" s="118">
        <v>0.34650462962962963</v>
      </c>
      <c r="H898" s="118">
        <v>3.4722222222222224E-4</v>
      </c>
      <c r="I898" s="118">
        <v>8.449074074074075E-4</v>
      </c>
      <c r="J898" s="118">
        <v>5.0462962962962961E-3</v>
      </c>
      <c r="K898" s="118">
        <v>5.0462962962962961E-3</v>
      </c>
    </row>
    <row r="899" spans="1:11" x14ac:dyDescent="0.25">
      <c r="A899">
        <v>7</v>
      </c>
      <c r="B899">
        <v>2</v>
      </c>
      <c r="C899"/>
      <c r="D899" t="s">
        <v>31</v>
      </c>
      <c r="E899" t="s">
        <v>35</v>
      </c>
      <c r="F899" t="s">
        <v>52</v>
      </c>
      <c r="G899" s="118">
        <v>0.34653935185185186</v>
      </c>
      <c r="H899" s="118">
        <v>1.0416666666666667E-3</v>
      </c>
      <c r="I899" s="118">
        <v>3.4722222222222224E-4</v>
      </c>
      <c r="J899"/>
      <c r="K899"/>
    </row>
    <row r="900" spans="1:11" x14ac:dyDescent="0.25">
      <c r="A900">
        <v>1</v>
      </c>
      <c r="B900">
        <v>3</v>
      </c>
      <c r="C900"/>
      <c r="D900" t="s">
        <v>31</v>
      </c>
      <c r="E900" t="s">
        <v>32</v>
      </c>
      <c r="F900" t="s">
        <v>36</v>
      </c>
      <c r="G900" s="118">
        <v>0.34674768518518517</v>
      </c>
      <c r="H900" s="118">
        <v>3.4722222222222224E-4</v>
      </c>
      <c r="I900" s="118">
        <v>1.0995370370370371E-3</v>
      </c>
      <c r="J900" s="118">
        <v>5.0462962962962961E-3</v>
      </c>
      <c r="K900" s="118">
        <v>5.0462962962962961E-3</v>
      </c>
    </row>
    <row r="901" spans="1:11" x14ac:dyDescent="0.25">
      <c r="A901">
        <v>3</v>
      </c>
      <c r="B901">
        <v>4</v>
      </c>
      <c r="C901"/>
      <c r="D901" t="s">
        <v>31</v>
      </c>
      <c r="E901" t="s">
        <v>32</v>
      </c>
      <c r="F901" t="s">
        <v>46</v>
      </c>
      <c r="G901" s="118">
        <v>0.3468518518518518</v>
      </c>
      <c r="H901" s="118">
        <v>3.4722222222222224E-4</v>
      </c>
      <c r="I901" s="118">
        <v>9.1435185185185185E-4</v>
      </c>
      <c r="J901" s="118">
        <v>5.0462962962962961E-3</v>
      </c>
      <c r="K901" s="118">
        <v>5.0462962962962961E-3</v>
      </c>
    </row>
    <row r="902" spans="1:11" x14ac:dyDescent="0.25">
      <c r="A902">
        <v>7</v>
      </c>
      <c r="B902">
        <v>2</v>
      </c>
      <c r="C902"/>
      <c r="D902" t="s">
        <v>31</v>
      </c>
      <c r="E902" t="s">
        <v>32</v>
      </c>
      <c r="F902" t="s">
        <v>52</v>
      </c>
      <c r="G902" s="118">
        <v>0.34688657407407408</v>
      </c>
      <c r="H902" s="118">
        <v>3.4722222222222224E-4</v>
      </c>
      <c r="I902" s="118">
        <v>1.0532407407407407E-3</v>
      </c>
      <c r="J902" s="118">
        <v>5.0462962962962961E-3</v>
      </c>
      <c r="K902" s="118">
        <v>5.0462962962962961E-3</v>
      </c>
    </row>
    <row r="903" spans="1:11" x14ac:dyDescent="0.25">
      <c r="A903">
        <v>2</v>
      </c>
      <c r="B903">
        <v>4</v>
      </c>
      <c r="C903"/>
      <c r="D903" t="s">
        <v>31</v>
      </c>
      <c r="E903" t="s">
        <v>35</v>
      </c>
      <c r="F903" t="s">
        <v>44</v>
      </c>
      <c r="G903" s="118">
        <v>0.34699074074074071</v>
      </c>
      <c r="H903" s="118">
        <v>1.0069444444444444E-3</v>
      </c>
      <c r="I903" s="118">
        <v>3.4722222222222224E-4</v>
      </c>
      <c r="J903"/>
      <c r="K903"/>
    </row>
    <row r="904" spans="1:11" x14ac:dyDescent="0.25">
      <c r="A904">
        <v>5</v>
      </c>
      <c r="B904">
        <v>4</v>
      </c>
      <c r="C904"/>
      <c r="D904" t="s">
        <v>31</v>
      </c>
      <c r="E904" t="s">
        <v>35</v>
      </c>
      <c r="F904" t="s">
        <v>92</v>
      </c>
      <c r="G904" s="118">
        <v>0.34707175925925932</v>
      </c>
      <c r="H904" s="118">
        <v>6.5972222222222213E-4</v>
      </c>
      <c r="I904" s="118">
        <v>5.2083333333333333E-4</v>
      </c>
      <c r="J904"/>
      <c r="K904"/>
    </row>
    <row r="905" spans="1:11" x14ac:dyDescent="0.25">
      <c r="A905">
        <v>6</v>
      </c>
      <c r="B905">
        <v>4</v>
      </c>
      <c r="C905"/>
      <c r="D905" t="s">
        <v>31</v>
      </c>
      <c r="E905" t="s">
        <v>35</v>
      </c>
      <c r="F905" t="s">
        <v>37</v>
      </c>
      <c r="G905" s="118">
        <v>0.34721064814814812</v>
      </c>
      <c r="H905" s="118">
        <v>9.6064814814814808E-4</v>
      </c>
      <c r="I905" s="118">
        <v>3.4722222222222224E-4</v>
      </c>
      <c r="J905"/>
      <c r="K905"/>
    </row>
    <row r="906" spans="1:11" x14ac:dyDescent="0.25">
      <c r="A906">
        <v>2</v>
      </c>
      <c r="B906">
        <v>4</v>
      </c>
      <c r="C906"/>
      <c r="D906" t="s">
        <v>31</v>
      </c>
      <c r="E906" t="s">
        <v>32</v>
      </c>
      <c r="F906" t="s">
        <v>44</v>
      </c>
      <c r="G906" s="118">
        <v>0.34733796296296293</v>
      </c>
      <c r="H906" s="118">
        <v>3.4722222222222224E-4</v>
      </c>
      <c r="I906" s="118">
        <v>9.2592592592592585E-4</v>
      </c>
      <c r="J906" s="118">
        <v>5.0462962962962961E-3</v>
      </c>
      <c r="K906" s="118">
        <v>5.0462962962962961E-3</v>
      </c>
    </row>
    <row r="907" spans="1:11" x14ac:dyDescent="0.25">
      <c r="A907">
        <v>4</v>
      </c>
      <c r="B907">
        <v>4</v>
      </c>
      <c r="C907"/>
      <c r="D907" t="s">
        <v>31</v>
      </c>
      <c r="E907" t="s">
        <v>35</v>
      </c>
      <c r="F907" t="s">
        <v>34</v>
      </c>
      <c r="G907" s="118">
        <v>0.34734953703703703</v>
      </c>
      <c r="H907" s="118">
        <v>8.449074074074075E-4</v>
      </c>
      <c r="I907" s="118">
        <v>3.4722222222222224E-4</v>
      </c>
      <c r="J907"/>
      <c r="K907"/>
    </row>
    <row r="908" spans="1:11" x14ac:dyDescent="0.25">
      <c r="A908">
        <v>6</v>
      </c>
      <c r="B908">
        <v>4</v>
      </c>
      <c r="C908"/>
      <c r="D908" t="s">
        <v>31</v>
      </c>
      <c r="E908" t="s">
        <v>32</v>
      </c>
      <c r="F908" t="s">
        <v>37</v>
      </c>
      <c r="G908" s="118">
        <v>0.34755787037037034</v>
      </c>
      <c r="H908" s="118">
        <v>3.4722222222222224E-4</v>
      </c>
      <c r="I908" s="118">
        <v>9.0277777777777784E-4</v>
      </c>
      <c r="J908" s="118">
        <v>5.0462962962962961E-3</v>
      </c>
      <c r="K908" s="118">
        <v>5.0462962962962961E-3</v>
      </c>
    </row>
    <row r="909" spans="1:11" x14ac:dyDescent="0.25">
      <c r="A909">
        <v>5</v>
      </c>
      <c r="B909">
        <v>5</v>
      </c>
      <c r="C909"/>
      <c r="D909" t="s">
        <v>31</v>
      </c>
      <c r="E909" t="s">
        <v>32</v>
      </c>
      <c r="F909" t="s">
        <v>92</v>
      </c>
      <c r="G909" s="118">
        <v>0.34759259259259262</v>
      </c>
      <c r="H909" s="118">
        <v>5.2083333333333333E-4</v>
      </c>
      <c r="I909" s="118">
        <v>1.0069444444444444E-3</v>
      </c>
      <c r="J909" s="118">
        <v>5.0462962962962961E-3</v>
      </c>
      <c r="K909" s="118">
        <v>5.0462962962962961E-3</v>
      </c>
    </row>
    <row r="910" spans="1:11" x14ac:dyDescent="0.25">
      <c r="A910">
        <v>4</v>
      </c>
      <c r="B910">
        <v>4</v>
      </c>
      <c r="C910"/>
      <c r="D910" t="s">
        <v>31</v>
      </c>
      <c r="E910" t="s">
        <v>32</v>
      </c>
      <c r="F910" t="s">
        <v>34</v>
      </c>
      <c r="G910" s="118">
        <v>0.34769675925925925</v>
      </c>
      <c r="H910" s="118">
        <v>3.4722222222222224E-4</v>
      </c>
      <c r="I910" s="118">
        <v>9.1435185185185185E-4</v>
      </c>
      <c r="J910" s="118">
        <v>5.0462962962962961E-3</v>
      </c>
      <c r="K910" s="118">
        <v>5.0462962962962961E-3</v>
      </c>
    </row>
    <row r="911" spans="1:11" x14ac:dyDescent="0.25">
      <c r="A911">
        <v>3</v>
      </c>
      <c r="B911">
        <v>4</v>
      </c>
      <c r="C911"/>
      <c r="D911" t="s">
        <v>31</v>
      </c>
      <c r="E911" t="s">
        <v>35</v>
      </c>
      <c r="F911" t="s">
        <v>51</v>
      </c>
      <c r="G911" s="118">
        <v>0.3477662037037037</v>
      </c>
      <c r="H911" s="118">
        <v>9.1435185185185185E-4</v>
      </c>
      <c r="I911" s="118">
        <v>3.4722222222222224E-4</v>
      </c>
      <c r="J911"/>
      <c r="K911"/>
    </row>
    <row r="912" spans="1:11" x14ac:dyDescent="0.25">
      <c r="A912">
        <v>1</v>
      </c>
      <c r="B912">
        <v>3</v>
      </c>
      <c r="C912"/>
      <c r="D912" t="s">
        <v>31</v>
      </c>
      <c r="E912" t="s">
        <v>35</v>
      </c>
      <c r="F912" t="s">
        <v>43</v>
      </c>
      <c r="G912" s="118">
        <v>0.3478472222222222</v>
      </c>
      <c r="H912" s="118">
        <v>1.0995370370370371E-3</v>
      </c>
      <c r="I912" s="118">
        <v>3.4722222222222224E-4</v>
      </c>
      <c r="J912"/>
      <c r="K912"/>
    </row>
    <row r="913" spans="1:11" x14ac:dyDescent="0.25">
      <c r="A913">
        <v>7</v>
      </c>
      <c r="B913">
        <v>2</v>
      </c>
      <c r="C913"/>
      <c r="D913" t="s">
        <v>31</v>
      </c>
      <c r="E913" t="s">
        <v>35</v>
      </c>
      <c r="F913" t="s">
        <v>57</v>
      </c>
      <c r="G913" s="118">
        <v>0.34793981481481479</v>
      </c>
      <c r="H913" s="118">
        <v>1.0532407407407407E-3</v>
      </c>
      <c r="I913" s="118">
        <v>3.4722222222222224E-4</v>
      </c>
      <c r="J913"/>
      <c r="K913"/>
    </row>
    <row r="914" spans="1:11" x14ac:dyDescent="0.25">
      <c r="A914">
        <v>3</v>
      </c>
      <c r="B914">
        <v>4</v>
      </c>
      <c r="C914"/>
      <c r="D914" t="s">
        <v>31</v>
      </c>
      <c r="E914" t="s">
        <v>32</v>
      </c>
      <c r="F914" t="s">
        <v>51</v>
      </c>
      <c r="G914" s="118">
        <v>0.34811342592592592</v>
      </c>
      <c r="H914" s="118">
        <v>3.4722222222222224E-4</v>
      </c>
      <c r="I914" s="118">
        <v>1.0069444444444444E-3</v>
      </c>
      <c r="J914" s="118">
        <v>5.0462962962962961E-3</v>
      </c>
      <c r="K914" s="118">
        <v>5.0462962962962961E-3</v>
      </c>
    </row>
    <row r="915" spans="1:11" x14ac:dyDescent="0.25">
      <c r="A915">
        <v>1</v>
      </c>
      <c r="B915">
        <v>3</v>
      </c>
      <c r="C915"/>
      <c r="D915" t="s">
        <v>31</v>
      </c>
      <c r="E915" t="s">
        <v>32</v>
      </c>
      <c r="F915" t="s">
        <v>43</v>
      </c>
      <c r="G915" s="118">
        <v>0.34819444444444447</v>
      </c>
      <c r="H915" s="118">
        <v>3.4722222222222224E-4</v>
      </c>
      <c r="I915" s="118">
        <v>1.1458333333333333E-3</v>
      </c>
      <c r="J915" s="118">
        <v>5.0462962962962961E-3</v>
      </c>
      <c r="K915" s="118">
        <v>5.0462962962962961E-3</v>
      </c>
    </row>
    <row r="916" spans="1:11" x14ac:dyDescent="0.25">
      <c r="A916">
        <v>2</v>
      </c>
      <c r="B916">
        <v>4</v>
      </c>
      <c r="C916"/>
      <c r="D916" t="s">
        <v>31</v>
      </c>
      <c r="E916" t="s">
        <v>35</v>
      </c>
      <c r="F916" t="s">
        <v>49</v>
      </c>
      <c r="G916" s="118">
        <v>0.34826388888888887</v>
      </c>
      <c r="H916" s="118">
        <v>9.2592592592592585E-4</v>
      </c>
      <c r="I916" s="118">
        <v>3.4722222222222224E-4</v>
      </c>
      <c r="J916"/>
      <c r="K916"/>
    </row>
    <row r="917" spans="1:11" x14ac:dyDescent="0.25">
      <c r="A917">
        <v>7</v>
      </c>
      <c r="B917">
        <v>2</v>
      </c>
      <c r="C917"/>
      <c r="D917" t="s">
        <v>31</v>
      </c>
      <c r="E917" t="s">
        <v>32</v>
      </c>
      <c r="F917" t="s">
        <v>57</v>
      </c>
      <c r="G917" s="118">
        <v>0.34828703703703701</v>
      </c>
      <c r="H917" s="118">
        <v>3.4722222222222224E-4</v>
      </c>
      <c r="I917" s="118">
        <v>9.3750000000000007E-4</v>
      </c>
      <c r="J917" s="118">
        <v>5.0462962962962961E-3</v>
      </c>
      <c r="K917" s="118">
        <v>5.0462962962962961E-3</v>
      </c>
    </row>
    <row r="918" spans="1:11" x14ac:dyDescent="0.25">
      <c r="A918">
        <v>6</v>
      </c>
      <c r="B918">
        <v>4</v>
      </c>
      <c r="C918"/>
      <c r="D918" t="s">
        <v>31</v>
      </c>
      <c r="E918" t="s">
        <v>35</v>
      </c>
      <c r="F918" t="s">
        <v>42</v>
      </c>
      <c r="G918" s="118">
        <v>0.3484606481481482</v>
      </c>
      <c r="H918" s="118">
        <v>9.0277777777777784E-4</v>
      </c>
      <c r="I918" s="118">
        <v>3.4722222222222224E-4</v>
      </c>
      <c r="J918"/>
      <c r="K918"/>
    </row>
    <row r="919" spans="1:11" x14ac:dyDescent="0.25">
      <c r="A919">
        <v>5</v>
      </c>
      <c r="B919">
        <v>5</v>
      </c>
      <c r="C919"/>
      <c r="D919" t="s">
        <v>31</v>
      </c>
      <c r="E919" t="s">
        <v>35</v>
      </c>
      <c r="F919" t="s">
        <v>41</v>
      </c>
      <c r="G919" s="118">
        <v>0.348599537037037</v>
      </c>
      <c r="H919" s="118">
        <v>1.0069444444444444E-3</v>
      </c>
      <c r="I919" s="118">
        <v>3.4722222222222224E-4</v>
      </c>
      <c r="J919"/>
      <c r="K919"/>
    </row>
    <row r="920" spans="1:11" x14ac:dyDescent="0.25">
      <c r="A920">
        <v>2</v>
      </c>
      <c r="B920">
        <v>4</v>
      </c>
      <c r="C920"/>
      <c r="D920" t="s">
        <v>31</v>
      </c>
      <c r="E920" t="s">
        <v>32</v>
      </c>
      <c r="F920" t="s">
        <v>49</v>
      </c>
      <c r="G920" s="118">
        <v>0.34861111111111115</v>
      </c>
      <c r="H920" s="118">
        <v>3.4722222222222224E-4</v>
      </c>
      <c r="I920" s="118">
        <v>1.3541666666666667E-3</v>
      </c>
      <c r="J920" s="118">
        <v>5.0462962962962961E-3</v>
      </c>
      <c r="K920" s="118">
        <v>5.0462962962962961E-3</v>
      </c>
    </row>
    <row r="921" spans="1:11" x14ac:dyDescent="0.25">
      <c r="A921">
        <v>4</v>
      </c>
      <c r="B921">
        <v>4</v>
      </c>
      <c r="C921"/>
      <c r="D921" t="s">
        <v>31</v>
      </c>
      <c r="E921" t="s">
        <v>35</v>
      </c>
      <c r="F921" t="s">
        <v>38</v>
      </c>
      <c r="G921" s="118">
        <v>0.34861111111111115</v>
      </c>
      <c r="H921" s="118">
        <v>9.1435185185185185E-4</v>
      </c>
      <c r="I921" s="118">
        <v>3.4722222222222224E-4</v>
      </c>
      <c r="J921"/>
      <c r="K921"/>
    </row>
    <row r="922" spans="1:11" x14ac:dyDescent="0.25">
      <c r="A922">
        <v>6</v>
      </c>
      <c r="B922">
        <v>4</v>
      </c>
      <c r="C922"/>
      <c r="D922" t="s">
        <v>31</v>
      </c>
      <c r="E922" t="s">
        <v>32</v>
      </c>
      <c r="F922" t="s">
        <v>42</v>
      </c>
      <c r="G922" s="118">
        <v>0.34880787037037037</v>
      </c>
      <c r="H922" s="118">
        <v>3.4722222222222224E-4</v>
      </c>
      <c r="I922" s="118">
        <v>9.1435185185185185E-4</v>
      </c>
      <c r="J922" s="118">
        <v>5.0462962962962961E-3</v>
      </c>
      <c r="K922" s="118">
        <v>5.0462962962962961E-3</v>
      </c>
    </row>
    <row r="923" spans="1:11" x14ac:dyDescent="0.25">
      <c r="A923">
        <v>5</v>
      </c>
      <c r="B923">
        <v>5</v>
      </c>
      <c r="C923"/>
      <c r="D923" t="s">
        <v>31</v>
      </c>
      <c r="E923" t="s">
        <v>32</v>
      </c>
      <c r="F923" t="s">
        <v>41</v>
      </c>
      <c r="G923" s="118">
        <v>0.34894675925925928</v>
      </c>
      <c r="H923" s="118">
        <v>3.4722222222222224E-4</v>
      </c>
      <c r="I923" s="118">
        <v>8.564814814814815E-4</v>
      </c>
      <c r="J923" s="118">
        <v>5.0462962962962961E-3</v>
      </c>
      <c r="K923" s="118">
        <v>5.0462962962962961E-3</v>
      </c>
    </row>
    <row r="924" spans="1:11" x14ac:dyDescent="0.25">
      <c r="A924">
        <v>4</v>
      </c>
      <c r="B924">
        <v>4</v>
      </c>
      <c r="C924"/>
      <c r="D924" t="s">
        <v>31</v>
      </c>
      <c r="E924" t="s">
        <v>32</v>
      </c>
      <c r="F924" t="s">
        <v>38</v>
      </c>
      <c r="G924" s="118">
        <v>0.34895833333333331</v>
      </c>
      <c r="H924" s="118">
        <v>3.4722222222222224E-4</v>
      </c>
      <c r="I924" s="118">
        <v>1.2384259259259258E-3</v>
      </c>
      <c r="J924" s="118">
        <v>5.0462962962962961E-3</v>
      </c>
      <c r="K924" s="118">
        <v>5.0462962962962961E-3</v>
      </c>
    </row>
    <row r="925" spans="1:11" x14ac:dyDescent="0.25">
      <c r="A925">
        <v>3</v>
      </c>
      <c r="B925">
        <v>4</v>
      </c>
      <c r="C925"/>
      <c r="D925" t="s">
        <v>31</v>
      </c>
      <c r="E925" t="s">
        <v>35</v>
      </c>
      <c r="F925" t="s">
        <v>55</v>
      </c>
      <c r="G925" s="118">
        <v>0.34912037037037041</v>
      </c>
      <c r="H925" s="118">
        <v>1.0069444444444444E-3</v>
      </c>
      <c r="I925" s="118">
        <v>4.6296296296296293E-4</v>
      </c>
      <c r="J925"/>
      <c r="K925"/>
    </row>
    <row r="926" spans="1:11" x14ac:dyDescent="0.25">
      <c r="A926">
        <v>7</v>
      </c>
      <c r="B926">
        <v>2</v>
      </c>
      <c r="C926"/>
      <c r="D926" t="s">
        <v>31</v>
      </c>
      <c r="E926" t="s">
        <v>35</v>
      </c>
      <c r="F926" t="s">
        <v>39</v>
      </c>
      <c r="G926" s="118">
        <v>0.34922453703703704</v>
      </c>
      <c r="H926" s="118">
        <v>9.3750000000000007E-4</v>
      </c>
      <c r="I926" s="118">
        <v>5.2083333333333333E-4</v>
      </c>
      <c r="J926"/>
      <c r="K926"/>
    </row>
    <row r="927" spans="1:11" x14ac:dyDescent="0.25">
      <c r="A927">
        <v>1</v>
      </c>
      <c r="B927">
        <v>3</v>
      </c>
      <c r="C927"/>
      <c r="D927" t="s">
        <v>31</v>
      </c>
      <c r="E927" t="s">
        <v>35</v>
      </c>
      <c r="F927" t="s">
        <v>50</v>
      </c>
      <c r="G927" s="118">
        <v>0.34934027777777782</v>
      </c>
      <c r="H927" s="118">
        <v>1.1458333333333333E-3</v>
      </c>
      <c r="I927" s="118">
        <v>3.4722222222222224E-4</v>
      </c>
      <c r="J927"/>
      <c r="K927"/>
    </row>
    <row r="928" spans="1:11" x14ac:dyDescent="0.25">
      <c r="A928">
        <v>3</v>
      </c>
      <c r="B928">
        <v>4</v>
      </c>
      <c r="C928"/>
      <c r="D928" t="s">
        <v>31</v>
      </c>
      <c r="E928" t="s">
        <v>32</v>
      </c>
      <c r="F928" t="s">
        <v>55</v>
      </c>
      <c r="G928" s="118">
        <v>0.34958333333333336</v>
      </c>
      <c r="H928" s="118">
        <v>4.6296296296296293E-4</v>
      </c>
      <c r="I928" s="118">
        <v>4.3981481481481481E-4</v>
      </c>
      <c r="J928" s="118">
        <v>5.0462962962962961E-3</v>
      </c>
      <c r="K928" s="118">
        <v>5.0462962962962961E-3</v>
      </c>
    </row>
    <row r="929" spans="1:11" x14ac:dyDescent="0.25">
      <c r="A929">
        <v>1</v>
      </c>
      <c r="B929">
        <v>3</v>
      </c>
      <c r="C929"/>
      <c r="D929" t="s">
        <v>31</v>
      </c>
      <c r="E929" t="s">
        <v>32</v>
      </c>
      <c r="F929" t="s">
        <v>50</v>
      </c>
      <c r="G929" s="118">
        <v>0.34968749999999998</v>
      </c>
      <c r="H929" s="118">
        <v>3.4722222222222224E-4</v>
      </c>
      <c r="I929" s="118">
        <v>1.261574074074074E-3</v>
      </c>
      <c r="J929" s="118">
        <v>5.0462962962962961E-3</v>
      </c>
      <c r="K929" s="118">
        <v>5.0462962962962961E-3</v>
      </c>
    </row>
    <row r="930" spans="1:11" x14ac:dyDescent="0.25">
      <c r="A930">
        <v>6</v>
      </c>
      <c r="B930">
        <v>4</v>
      </c>
      <c r="C930"/>
      <c r="D930" t="s">
        <v>31</v>
      </c>
      <c r="E930" t="s">
        <v>35</v>
      </c>
      <c r="F930" t="s">
        <v>48</v>
      </c>
      <c r="G930" s="118">
        <v>0.34972222222222221</v>
      </c>
      <c r="H930" s="118">
        <v>9.1435185185185185E-4</v>
      </c>
      <c r="I930" s="118">
        <v>5.2083333333333333E-4</v>
      </c>
      <c r="J930"/>
      <c r="K930"/>
    </row>
    <row r="931" spans="1:11" x14ac:dyDescent="0.25">
      <c r="A931">
        <v>7</v>
      </c>
      <c r="B931">
        <v>2</v>
      </c>
      <c r="C931"/>
      <c r="D931" t="s">
        <v>31</v>
      </c>
      <c r="E931" t="s">
        <v>32</v>
      </c>
      <c r="F931" t="s">
        <v>39</v>
      </c>
      <c r="G931" s="118">
        <v>0.34974537037037035</v>
      </c>
      <c r="H931" s="118">
        <v>5.2083333333333333E-4</v>
      </c>
      <c r="I931" s="118">
        <v>1.8055555555555557E-3</v>
      </c>
      <c r="J931" s="118">
        <v>5.0462962962962961E-3</v>
      </c>
      <c r="K931" s="118">
        <v>5.0462962962962961E-3</v>
      </c>
    </row>
    <row r="932" spans="1:11" x14ac:dyDescent="0.25">
      <c r="A932">
        <v>5</v>
      </c>
      <c r="B932">
        <v>5</v>
      </c>
      <c r="C932"/>
      <c r="D932" t="s">
        <v>31</v>
      </c>
      <c r="E932" t="s">
        <v>35</v>
      </c>
      <c r="F932" t="s">
        <v>47</v>
      </c>
      <c r="G932" s="118">
        <v>0.34980324074074076</v>
      </c>
      <c r="H932" s="118">
        <v>8.564814814814815E-4</v>
      </c>
      <c r="I932" s="118">
        <v>5.2083333333333333E-4</v>
      </c>
      <c r="J932"/>
      <c r="K932"/>
    </row>
    <row r="933" spans="1:11" x14ac:dyDescent="0.25">
      <c r="A933">
        <v>2</v>
      </c>
      <c r="B933">
        <v>4</v>
      </c>
      <c r="C933"/>
      <c r="D933" t="s">
        <v>31</v>
      </c>
      <c r="E933" t="s">
        <v>35</v>
      </c>
      <c r="F933" t="s">
        <v>33</v>
      </c>
      <c r="G933" s="118">
        <v>0.34996527777777775</v>
      </c>
      <c r="H933" s="118">
        <v>1.3541666666666667E-3</v>
      </c>
      <c r="I933" s="118">
        <v>5.2083333333333333E-4</v>
      </c>
      <c r="J933"/>
      <c r="K933"/>
    </row>
    <row r="934" spans="1:11" x14ac:dyDescent="0.25">
      <c r="A934">
        <v>3</v>
      </c>
      <c r="B934">
        <v>4</v>
      </c>
      <c r="C934"/>
      <c r="D934" t="s">
        <v>31</v>
      </c>
      <c r="E934" t="s">
        <v>35</v>
      </c>
      <c r="F934" t="s">
        <v>58</v>
      </c>
      <c r="G934" s="118">
        <v>0.35002314814814817</v>
      </c>
      <c r="H934" s="118">
        <v>4.3981481481481481E-4</v>
      </c>
      <c r="I934" s="118">
        <v>5.7870370370370366E-5</v>
      </c>
      <c r="J934"/>
      <c r="K934"/>
    </row>
    <row r="935" spans="1:11" x14ac:dyDescent="0.25">
      <c r="A935">
        <v>3</v>
      </c>
      <c r="B935">
        <v>4</v>
      </c>
      <c r="C935"/>
      <c r="D935" t="s">
        <v>31</v>
      </c>
      <c r="E935" t="s">
        <v>32</v>
      </c>
      <c r="F935" t="s">
        <v>58</v>
      </c>
      <c r="G935" s="118">
        <v>0.35008101851851853</v>
      </c>
      <c r="H935" s="118">
        <v>5.7870370370370366E-5</v>
      </c>
      <c r="I935" s="118">
        <v>4.8611111111111104E-4</v>
      </c>
      <c r="J935" s="118">
        <v>5.0462962962962961E-3</v>
      </c>
      <c r="K935" s="118">
        <v>5.0462962962962961E-3</v>
      </c>
    </row>
    <row r="936" spans="1:11" x14ac:dyDescent="0.25">
      <c r="A936">
        <v>4</v>
      </c>
      <c r="B936">
        <v>4</v>
      </c>
      <c r="C936"/>
      <c r="D936" t="s">
        <v>31</v>
      </c>
      <c r="E936" t="s">
        <v>35</v>
      </c>
      <c r="F936" t="s">
        <v>45</v>
      </c>
      <c r="G936" s="118">
        <v>0.35019675925925925</v>
      </c>
      <c r="H936" s="118">
        <v>1.2384259259259258E-3</v>
      </c>
      <c r="I936" s="118">
        <v>3.4722222222222224E-4</v>
      </c>
      <c r="J936"/>
      <c r="K936"/>
    </row>
    <row r="937" spans="1:11" x14ac:dyDescent="0.25">
      <c r="A937">
        <v>6</v>
      </c>
      <c r="B937">
        <v>4</v>
      </c>
      <c r="C937"/>
      <c r="D937" t="s">
        <v>31</v>
      </c>
      <c r="E937" t="s">
        <v>32</v>
      </c>
      <c r="F937" t="s">
        <v>48</v>
      </c>
      <c r="G937" s="118">
        <v>0.35024305555555557</v>
      </c>
      <c r="H937" s="118">
        <v>5.2083333333333333E-4</v>
      </c>
      <c r="I937" s="118">
        <v>8.6805555555555551E-4</v>
      </c>
      <c r="J937" s="118">
        <v>5.0462962962962961E-3</v>
      </c>
      <c r="K937" s="118">
        <v>5.0462962962962961E-3</v>
      </c>
    </row>
    <row r="938" spans="1:11" x14ac:dyDescent="0.25">
      <c r="A938">
        <v>5</v>
      </c>
      <c r="B938">
        <v>5</v>
      </c>
      <c r="C938"/>
      <c r="D938" t="s">
        <v>31</v>
      </c>
      <c r="E938" t="s">
        <v>32</v>
      </c>
      <c r="F938" t="s">
        <v>47</v>
      </c>
      <c r="G938" s="118">
        <v>0.35032407407407407</v>
      </c>
      <c r="H938" s="118">
        <v>5.2083333333333333E-4</v>
      </c>
      <c r="I938" s="118">
        <v>8.7962962962962962E-4</v>
      </c>
      <c r="J938" s="118">
        <v>5.0462962962962961E-3</v>
      </c>
      <c r="K938" s="118">
        <v>5.0462962962962961E-3</v>
      </c>
    </row>
    <row r="939" spans="1:11" x14ac:dyDescent="0.25">
      <c r="A939">
        <v>2</v>
      </c>
      <c r="B939">
        <v>4</v>
      </c>
      <c r="C939"/>
      <c r="D939" t="s">
        <v>31</v>
      </c>
      <c r="E939" t="s">
        <v>32</v>
      </c>
      <c r="F939" t="s">
        <v>33</v>
      </c>
      <c r="G939" s="118">
        <v>0.35048611111111111</v>
      </c>
      <c r="H939" s="118">
        <v>5.2083333333333333E-4</v>
      </c>
      <c r="I939" s="118">
        <v>9.6064814814814808E-4</v>
      </c>
      <c r="J939" s="118">
        <v>5.0462962962962961E-3</v>
      </c>
      <c r="K939" s="118">
        <v>5.0462962962962961E-3</v>
      </c>
    </row>
    <row r="940" spans="1:11" x14ac:dyDescent="0.25">
      <c r="A940">
        <v>4</v>
      </c>
      <c r="B940">
        <v>4</v>
      </c>
      <c r="C940"/>
      <c r="D940" t="s">
        <v>31</v>
      </c>
      <c r="E940" t="s">
        <v>32</v>
      </c>
      <c r="F940" t="s">
        <v>45</v>
      </c>
      <c r="G940" s="118">
        <v>0.35054398148148147</v>
      </c>
      <c r="H940" s="118">
        <v>3.4722222222222224E-4</v>
      </c>
      <c r="I940" s="118">
        <v>1.0416666666666667E-3</v>
      </c>
      <c r="J940" s="118">
        <v>5.0462962962962961E-3</v>
      </c>
      <c r="K940" s="118">
        <v>5.0462962962962961E-3</v>
      </c>
    </row>
    <row r="941" spans="1:11" x14ac:dyDescent="0.25">
      <c r="A941">
        <v>3</v>
      </c>
      <c r="B941">
        <v>4</v>
      </c>
      <c r="C941"/>
      <c r="D941" t="s">
        <v>31</v>
      </c>
      <c r="E941" t="s">
        <v>35</v>
      </c>
      <c r="F941" t="s">
        <v>40</v>
      </c>
      <c r="G941" s="118">
        <v>0.3505671296296296</v>
      </c>
      <c r="H941" s="118">
        <v>4.8611111111111104E-4</v>
      </c>
      <c r="I941" s="118">
        <v>4.6296296296296293E-4</v>
      </c>
      <c r="J941"/>
      <c r="K941"/>
    </row>
    <row r="942" spans="1:11" x14ac:dyDescent="0.25">
      <c r="A942">
        <v>1</v>
      </c>
      <c r="B942">
        <v>3</v>
      </c>
      <c r="C942"/>
      <c r="D942" t="s">
        <v>31</v>
      </c>
      <c r="E942" t="s">
        <v>35</v>
      </c>
      <c r="F942" t="s">
        <v>56</v>
      </c>
      <c r="G942" s="118">
        <v>0.35094907407407411</v>
      </c>
      <c r="H942" s="118">
        <v>1.261574074074074E-3</v>
      </c>
      <c r="I942" s="118">
        <v>3.4722222222222224E-4</v>
      </c>
      <c r="J942"/>
      <c r="K942"/>
    </row>
    <row r="943" spans="1:11" x14ac:dyDescent="0.25">
      <c r="A943">
        <v>3</v>
      </c>
      <c r="B943">
        <v>4</v>
      </c>
      <c r="C943"/>
      <c r="D943" t="s">
        <v>31</v>
      </c>
      <c r="E943" t="s">
        <v>32</v>
      </c>
      <c r="F943" t="s">
        <v>40</v>
      </c>
      <c r="G943" s="118">
        <v>0.3510300925925926</v>
      </c>
      <c r="H943" s="118">
        <v>4.6296296296296293E-4</v>
      </c>
      <c r="I943" s="118">
        <v>1.0069444444444444E-3</v>
      </c>
      <c r="J943" s="118">
        <v>5.0462962962962961E-3</v>
      </c>
      <c r="K943" s="118">
        <v>5.0462962962962961E-3</v>
      </c>
    </row>
    <row r="944" spans="1:11" x14ac:dyDescent="0.25">
      <c r="A944">
        <v>6</v>
      </c>
      <c r="B944">
        <v>4</v>
      </c>
      <c r="C944"/>
      <c r="D944" t="s">
        <v>31</v>
      </c>
      <c r="E944" t="s">
        <v>35</v>
      </c>
      <c r="F944" t="s">
        <v>54</v>
      </c>
      <c r="G944" s="118">
        <v>0.3511111111111111</v>
      </c>
      <c r="H944" s="118">
        <v>8.6805555555555551E-4</v>
      </c>
      <c r="I944" s="118">
        <v>3.4722222222222224E-4</v>
      </c>
      <c r="J944"/>
      <c r="K944"/>
    </row>
    <row r="945" spans="1:11" x14ac:dyDescent="0.25">
      <c r="A945">
        <v>5</v>
      </c>
      <c r="B945">
        <v>5</v>
      </c>
      <c r="C945"/>
      <c r="D945" t="s">
        <v>31</v>
      </c>
      <c r="E945" t="s">
        <v>35</v>
      </c>
      <c r="F945" t="s">
        <v>53</v>
      </c>
      <c r="G945" s="118">
        <v>0.35120370370370368</v>
      </c>
      <c r="H945" s="118">
        <v>8.7962962962962962E-4</v>
      </c>
      <c r="I945" s="118">
        <v>3.4722222222222224E-4</v>
      </c>
      <c r="J945"/>
      <c r="K945"/>
    </row>
    <row r="946" spans="1:11" x14ac:dyDescent="0.25">
      <c r="A946">
        <v>1</v>
      </c>
      <c r="B946">
        <v>3</v>
      </c>
      <c r="C946"/>
      <c r="D946" t="s">
        <v>31</v>
      </c>
      <c r="E946" t="s">
        <v>32</v>
      </c>
      <c r="F946" t="s">
        <v>56</v>
      </c>
      <c r="G946" s="118">
        <v>0.35129629629629627</v>
      </c>
      <c r="H946" s="118">
        <v>3.4722222222222224E-4</v>
      </c>
      <c r="I946" s="118">
        <v>9.6064814814814808E-4</v>
      </c>
      <c r="J946" s="118">
        <v>5.0462962962962961E-3</v>
      </c>
      <c r="K946" s="118">
        <v>5.0462962962962961E-3</v>
      </c>
    </row>
    <row r="947" spans="1:11" x14ac:dyDescent="0.25">
      <c r="A947">
        <v>2</v>
      </c>
      <c r="B947">
        <v>4</v>
      </c>
      <c r="C947"/>
      <c r="D947" t="s">
        <v>31</v>
      </c>
      <c r="E947" t="s">
        <v>35</v>
      </c>
      <c r="F947" t="s">
        <v>36</v>
      </c>
      <c r="G947" s="118">
        <v>0.35144675925925922</v>
      </c>
      <c r="H947" s="118">
        <v>9.6064814814814808E-4</v>
      </c>
      <c r="I947" s="118">
        <v>3.4722222222222224E-4</v>
      </c>
      <c r="J947"/>
      <c r="K947"/>
    </row>
    <row r="948" spans="1:11" x14ac:dyDescent="0.25">
      <c r="A948">
        <v>6</v>
      </c>
      <c r="B948">
        <v>4</v>
      </c>
      <c r="C948"/>
      <c r="D948" t="s">
        <v>31</v>
      </c>
      <c r="E948" t="s">
        <v>32</v>
      </c>
      <c r="F948" t="s">
        <v>54</v>
      </c>
      <c r="G948" s="118">
        <v>0.35145833333333337</v>
      </c>
      <c r="H948" s="118">
        <v>3.4722222222222224E-4</v>
      </c>
      <c r="I948" s="118">
        <v>6.5972222222222213E-4</v>
      </c>
      <c r="J948" s="118">
        <v>5.0462962962962961E-3</v>
      </c>
      <c r="K948" s="118">
        <v>5.0462962962962961E-3</v>
      </c>
    </row>
    <row r="949" spans="1:11" x14ac:dyDescent="0.25">
      <c r="A949">
        <v>5</v>
      </c>
      <c r="B949">
        <v>5</v>
      </c>
      <c r="C949"/>
      <c r="D949" t="s">
        <v>31</v>
      </c>
      <c r="E949" t="s">
        <v>32</v>
      </c>
      <c r="F949" t="s">
        <v>53</v>
      </c>
      <c r="G949" s="118">
        <v>0.35155092592592596</v>
      </c>
      <c r="H949" s="118">
        <v>3.4722222222222224E-4</v>
      </c>
      <c r="I949" s="118">
        <v>8.449074074074075E-4</v>
      </c>
      <c r="J949" s="118">
        <v>5.0462962962962961E-3</v>
      </c>
      <c r="K949" s="118">
        <v>5.0462962962962961E-3</v>
      </c>
    </row>
    <row r="950" spans="1:11" x14ac:dyDescent="0.25">
      <c r="A950">
        <v>7</v>
      </c>
      <c r="B950">
        <v>2</v>
      </c>
      <c r="C950"/>
      <c r="D950" t="s">
        <v>31</v>
      </c>
      <c r="E950" t="s">
        <v>35</v>
      </c>
      <c r="F950" t="s">
        <v>46</v>
      </c>
      <c r="G950" s="118">
        <v>0.35155092592592596</v>
      </c>
      <c r="H950" s="118">
        <v>1.8055555555555557E-3</v>
      </c>
      <c r="I950" s="118">
        <v>3.4722222222222224E-4</v>
      </c>
      <c r="J950"/>
      <c r="K950"/>
    </row>
    <row r="951" spans="1:11" x14ac:dyDescent="0.25">
      <c r="A951">
        <v>4</v>
      </c>
      <c r="B951">
        <v>4</v>
      </c>
      <c r="C951"/>
      <c r="D951" t="s">
        <v>31</v>
      </c>
      <c r="E951" t="s">
        <v>35</v>
      </c>
      <c r="F951" t="s">
        <v>52</v>
      </c>
      <c r="G951" s="118">
        <v>0.35158564814814813</v>
      </c>
      <c r="H951" s="118">
        <v>1.0416666666666667E-3</v>
      </c>
      <c r="I951" s="118">
        <v>3.4722222222222224E-4</v>
      </c>
      <c r="J951"/>
      <c r="K951"/>
    </row>
    <row r="952" spans="1:11" x14ac:dyDescent="0.25">
      <c r="A952">
        <v>2</v>
      </c>
      <c r="B952">
        <v>4</v>
      </c>
      <c r="C952"/>
      <c r="D952" t="s">
        <v>31</v>
      </c>
      <c r="E952" t="s">
        <v>32</v>
      </c>
      <c r="F952" t="s">
        <v>36</v>
      </c>
      <c r="G952" s="118">
        <v>0.3517939814814815</v>
      </c>
      <c r="H952" s="118">
        <v>3.4722222222222224E-4</v>
      </c>
      <c r="I952" s="118">
        <v>1.0995370370370371E-3</v>
      </c>
      <c r="J952" s="118">
        <v>5.0462962962962961E-3</v>
      </c>
      <c r="K952" s="118">
        <v>5.0462962962962961E-3</v>
      </c>
    </row>
    <row r="953" spans="1:11" x14ac:dyDescent="0.25">
      <c r="A953">
        <v>7</v>
      </c>
      <c r="B953">
        <v>2</v>
      </c>
      <c r="C953"/>
      <c r="D953" t="s">
        <v>31</v>
      </c>
      <c r="E953" t="s">
        <v>32</v>
      </c>
      <c r="F953" t="s">
        <v>46</v>
      </c>
      <c r="G953" s="118">
        <v>0.35189814814814818</v>
      </c>
      <c r="H953" s="118">
        <v>3.4722222222222224E-4</v>
      </c>
      <c r="I953" s="118">
        <v>9.1435185185185185E-4</v>
      </c>
      <c r="J953" s="118">
        <v>5.0462962962962961E-3</v>
      </c>
      <c r="K953" s="118">
        <v>5.0462962962962961E-3</v>
      </c>
    </row>
    <row r="954" spans="1:11" x14ac:dyDescent="0.25">
      <c r="A954">
        <v>4</v>
      </c>
      <c r="B954">
        <v>4</v>
      </c>
      <c r="C954"/>
      <c r="D954" t="s">
        <v>31</v>
      </c>
      <c r="E954" t="s">
        <v>32</v>
      </c>
      <c r="F954" t="s">
        <v>52</v>
      </c>
      <c r="G954" s="118">
        <v>0.35193287037037035</v>
      </c>
      <c r="H954" s="118">
        <v>3.4722222222222224E-4</v>
      </c>
      <c r="I954" s="118">
        <v>1.0532407407407407E-3</v>
      </c>
      <c r="J954" s="118">
        <v>5.0462962962962961E-3</v>
      </c>
      <c r="K954" s="118">
        <v>5.0462962962962961E-3</v>
      </c>
    </row>
    <row r="955" spans="1:11" x14ac:dyDescent="0.25">
      <c r="A955">
        <v>3</v>
      </c>
      <c r="B955">
        <v>4</v>
      </c>
      <c r="C955"/>
      <c r="D955" t="s">
        <v>31</v>
      </c>
      <c r="E955" t="s">
        <v>35</v>
      </c>
      <c r="F955" t="s">
        <v>44</v>
      </c>
      <c r="G955" s="118">
        <v>0.35203703703703698</v>
      </c>
      <c r="H955" s="118">
        <v>1.0069444444444444E-3</v>
      </c>
      <c r="I955" s="118">
        <v>3.4722222222222224E-4</v>
      </c>
      <c r="J955"/>
      <c r="K955"/>
    </row>
    <row r="956" spans="1:11" x14ac:dyDescent="0.25">
      <c r="A956">
        <v>6</v>
      </c>
      <c r="B956">
        <v>4</v>
      </c>
      <c r="C956"/>
      <c r="D956" t="s">
        <v>31</v>
      </c>
      <c r="E956" t="s">
        <v>35</v>
      </c>
      <c r="F956" t="s">
        <v>92</v>
      </c>
      <c r="G956" s="118">
        <v>0.35211805555555559</v>
      </c>
      <c r="H956" s="118">
        <v>6.5972222222222213E-4</v>
      </c>
      <c r="I956" s="118">
        <v>5.2083333333333333E-4</v>
      </c>
      <c r="J956"/>
      <c r="K956"/>
    </row>
    <row r="957" spans="1:11" x14ac:dyDescent="0.25">
      <c r="A957">
        <v>1</v>
      </c>
      <c r="B957">
        <v>3</v>
      </c>
      <c r="C957"/>
      <c r="D957" t="s">
        <v>31</v>
      </c>
      <c r="E957" t="s">
        <v>35</v>
      </c>
      <c r="F957" t="s">
        <v>37</v>
      </c>
      <c r="G957" s="118">
        <v>0.3522569444444445</v>
      </c>
      <c r="H957" s="118">
        <v>9.6064814814814808E-4</v>
      </c>
      <c r="I957" s="118">
        <v>3.4722222222222224E-4</v>
      </c>
      <c r="J957"/>
      <c r="K957"/>
    </row>
    <row r="958" spans="1:11" x14ac:dyDescent="0.25">
      <c r="A958">
        <v>3</v>
      </c>
      <c r="B958">
        <v>4</v>
      </c>
      <c r="C958"/>
      <c r="D958" t="s">
        <v>31</v>
      </c>
      <c r="E958" t="s">
        <v>32</v>
      </c>
      <c r="F958" t="s">
        <v>44</v>
      </c>
      <c r="G958" s="118">
        <v>0.35238425925925926</v>
      </c>
      <c r="H958" s="118">
        <v>3.4722222222222224E-4</v>
      </c>
      <c r="I958" s="118">
        <v>9.2592592592592585E-4</v>
      </c>
      <c r="J958" s="118">
        <v>5.0462962962962961E-3</v>
      </c>
      <c r="K958" s="118">
        <v>5.0462962962962961E-3</v>
      </c>
    </row>
    <row r="959" spans="1:11" x14ac:dyDescent="0.25">
      <c r="A959">
        <v>5</v>
      </c>
      <c r="B959">
        <v>5</v>
      </c>
      <c r="C959"/>
      <c r="D959" t="s">
        <v>31</v>
      </c>
      <c r="E959" t="s">
        <v>35</v>
      </c>
      <c r="F959" t="s">
        <v>34</v>
      </c>
      <c r="G959" s="118">
        <v>0.3523958333333333</v>
      </c>
      <c r="H959" s="118">
        <v>8.449074074074075E-4</v>
      </c>
      <c r="I959" s="118">
        <v>3.4722222222222224E-4</v>
      </c>
      <c r="J959"/>
      <c r="K959"/>
    </row>
    <row r="960" spans="1:11" x14ac:dyDescent="0.25">
      <c r="A960">
        <v>1</v>
      </c>
      <c r="B960">
        <v>3</v>
      </c>
      <c r="C960"/>
      <c r="D960" t="s">
        <v>31</v>
      </c>
      <c r="E960" t="s">
        <v>32</v>
      </c>
      <c r="F960" t="s">
        <v>37</v>
      </c>
      <c r="G960" s="118">
        <v>0.35260416666666666</v>
      </c>
      <c r="H960" s="118">
        <v>3.4722222222222224E-4</v>
      </c>
      <c r="I960" s="118">
        <v>9.0277777777777784E-4</v>
      </c>
      <c r="J960" s="118">
        <v>5.0462962962962961E-3</v>
      </c>
      <c r="K960" s="118">
        <v>5.0462962962962961E-3</v>
      </c>
    </row>
    <row r="961" spans="1:11" x14ac:dyDescent="0.25">
      <c r="A961">
        <v>6</v>
      </c>
      <c r="B961">
        <v>5</v>
      </c>
      <c r="C961"/>
      <c r="D961" t="s">
        <v>31</v>
      </c>
      <c r="E961" t="s">
        <v>32</v>
      </c>
      <c r="F961" t="s">
        <v>92</v>
      </c>
      <c r="G961" s="118">
        <v>0.35263888888888889</v>
      </c>
      <c r="H961" s="118">
        <v>5.2083333333333333E-4</v>
      </c>
      <c r="I961" s="118">
        <v>1.0069444444444444E-3</v>
      </c>
      <c r="J961" s="118">
        <v>5.0462962962962961E-3</v>
      </c>
      <c r="K961" s="118">
        <v>5.0462962962962961E-3</v>
      </c>
    </row>
    <row r="962" spans="1:11" x14ac:dyDescent="0.25">
      <c r="A962">
        <v>5</v>
      </c>
      <c r="B962">
        <v>5</v>
      </c>
      <c r="C962"/>
      <c r="D962" t="s">
        <v>31</v>
      </c>
      <c r="E962" t="s">
        <v>32</v>
      </c>
      <c r="F962" t="s">
        <v>34</v>
      </c>
      <c r="G962" s="118">
        <v>0.35274305555555552</v>
      </c>
      <c r="H962" s="118">
        <v>3.4722222222222224E-4</v>
      </c>
      <c r="I962" s="118">
        <v>9.1435185185185185E-4</v>
      </c>
      <c r="J962" s="118">
        <v>5.0462962962962961E-3</v>
      </c>
      <c r="K962" s="118">
        <v>5.0462962962962961E-3</v>
      </c>
    </row>
    <row r="963" spans="1:11" x14ac:dyDescent="0.25">
      <c r="A963">
        <v>7</v>
      </c>
      <c r="B963">
        <v>2</v>
      </c>
      <c r="C963"/>
      <c r="D963" t="s">
        <v>31</v>
      </c>
      <c r="E963" t="s">
        <v>35</v>
      </c>
      <c r="F963" t="s">
        <v>51</v>
      </c>
      <c r="G963" s="118">
        <v>0.35281249999999997</v>
      </c>
      <c r="H963" s="118">
        <v>9.1435185185185185E-4</v>
      </c>
      <c r="I963" s="118">
        <v>3.4722222222222224E-4</v>
      </c>
      <c r="J963"/>
      <c r="K963"/>
    </row>
    <row r="964" spans="1:11" x14ac:dyDescent="0.25">
      <c r="A964">
        <v>2</v>
      </c>
      <c r="B964">
        <v>4</v>
      </c>
      <c r="C964"/>
      <c r="D964" t="s">
        <v>31</v>
      </c>
      <c r="E964" t="s">
        <v>35</v>
      </c>
      <c r="F964" t="s">
        <v>43</v>
      </c>
      <c r="G964" s="118">
        <v>0.35289351851851852</v>
      </c>
      <c r="H964" s="118">
        <v>1.0995370370370371E-3</v>
      </c>
      <c r="I964" s="118">
        <v>3.4722222222222224E-4</v>
      </c>
      <c r="J964"/>
      <c r="K964"/>
    </row>
    <row r="965" spans="1:11" x14ac:dyDescent="0.25">
      <c r="A965">
        <v>4</v>
      </c>
      <c r="B965">
        <v>4</v>
      </c>
      <c r="C965"/>
      <c r="D965" t="s">
        <v>31</v>
      </c>
      <c r="E965" t="s">
        <v>35</v>
      </c>
      <c r="F965" t="s">
        <v>57</v>
      </c>
      <c r="G965" s="118">
        <v>0.35298611111111117</v>
      </c>
      <c r="H965" s="118">
        <v>1.0532407407407407E-3</v>
      </c>
      <c r="I965" s="118">
        <v>3.4722222222222224E-4</v>
      </c>
      <c r="J965"/>
      <c r="K965"/>
    </row>
    <row r="966" spans="1:11" x14ac:dyDescent="0.25">
      <c r="A966">
        <v>7</v>
      </c>
      <c r="B966">
        <v>2</v>
      </c>
      <c r="C966"/>
      <c r="D966" t="s">
        <v>31</v>
      </c>
      <c r="E966" t="s">
        <v>32</v>
      </c>
      <c r="F966" t="s">
        <v>51</v>
      </c>
      <c r="G966" s="118">
        <v>0.35315972222222225</v>
      </c>
      <c r="H966" s="118">
        <v>3.4722222222222224E-4</v>
      </c>
      <c r="I966" s="118">
        <v>1.0069444444444444E-3</v>
      </c>
      <c r="J966" s="118">
        <v>5.0462962962962961E-3</v>
      </c>
      <c r="K966" s="118">
        <v>5.0462962962962961E-3</v>
      </c>
    </row>
    <row r="967" spans="1:11" x14ac:dyDescent="0.25">
      <c r="A967">
        <v>2</v>
      </c>
      <c r="B967">
        <v>4</v>
      </c>
      <c r="C967"/>
      <c r="D967" t="s">
        <v>31</v>
      </c>
      <c r="E967" t="s">
        <v>32</v>
      </c>
      <c r="F967" t="s">
        <v>43</v>
      </c>
      <c r="G967" s="118">
        <v>0.35324074074074074</v>
      </c>
      <c r="H967" s="118">
        <v>3.4722222222222224E-4</v>
      </c>
      <c r="I967" s="118">
        <v>1.1458333333333333E-3</v>
      </c>
      <c r="J967" s="118">
        <v>5.0462962962962961E-3</v>
      </c>
      <c r="K967" s="118">
        <v>5.0462962962962961E-3</v>
      </c>
    </row>
    <row r="968" spans="1:11" x14ac:dyDescent="0.25">
      <c r="A968">
        <v>3</v>
      </c>
      <c r="B968">
        <v>4</v>
      </c>
      <c r="C968"/>
      <c r="D968" t="s">
        <v>31</v>
      </c>
      <c r="E968" t="s">
        <v>35</v>
      </c>
      <c r="F968" t="s">
        <v>49</v>
      </c>
      <c r="G968" s="118">
        <v>0.3533101851851852</v>
      </c>
      <c r="H968" s="118">
        <v>9.2592592592592585E-4</v>
      </c>
      <c r="I968" s="118">
        <v>3.4722222222222224E-4</v>
      </c>
      <c r="J968"/>
      <c r="K968"/>
    </row>
    <row r="969" spans="1:11" x14ac:dyDescent="0.25">
      <c r="A969">
        <v>4</v>
      </c>
      <c r="B969">
        <v>4</v>
      </c>
      <c r="C969"/>
      <c r="D969" t="s">
        <v>31</v>
      </c>
      <c r="E969" t="s">
        <v>32</v>
      </c>
      <c r="F969" t="s">
        <v>57</v>
      </c>
      <c r="G969" s="118">
        <v>0.35333333333333333</v>
      </c>
      <c r="H969" s="118">
        <v>3.4722222222222224E-4</v>
      </c>
      <c r="I969" s="118">
        <v>9.3750000000000007E-4</v>
      </c>
      <c r="J969" s="118">
        <v>5.0462962962962961E-3</v>
      </c>
      <c r="K969" s="118">
        <v>5.0462962962962961E-3</v>
      </c>
    </row>
    <row r="970" spans="1:11" x14ac:dyDescent="0.25">
      <c r="A970">
        <v>1</v>
      </c>
      <c r="B970">
        <v>3</v>
      </c>
      <c r="C970"/>
      <c r="D970" t="s">
        <v>31</v>
      </c>
      <c r="E970" t="s">
        <v>35</v>
      </c>
      <c r="F970" t="s">
        <v>42</v>
      </c>
      <c r="G970" s="118">
        <v>0.35350694444444447</v>
      </c>
      <c r="H970" s="118">
        <v>9.0277777777777784E-4</v>
      </c>
      <c r="I970" s="118">
        <v>3.4722222222222224E-4</v>
      </c>
      <c r="J970"/>
      <c r="K970"/>
    </row>
    <row r="971" spans="1:11" x14ac:dyDescent="0.25">
      <c r="A971">
        <v>6</v>
      </c>
      <c r="B971">
        <v>5</v>
      </c>
      <c r="C971"/>
      <c r="D971" t="s">
        <v>31</v>
      </c>
      <c r="E971" t="s">
        <v>35</v>
      </c>
      <c r="F971" t="s">
        <v>41</v>
      </c>
      <c r="G971" s="118">
        <v>0.35364583333333338</v>
      </c>
      <c r="H971" s="118">
        <v>1.0069444444444444E-3</v>
      </c>
      <c r="I971" s="118">
        <v>3.4722222222222224E-4</v>
      </c>
      <c r="J971"/>
      <c r="K971"/>
    </row>
    <row r="972" spans="1:11" x14ac:dyDescent="0.25">
      <c r="A972">
        <v>3</v>
      </c>
      <c r="B972">
        <v>4</v>
      </c>
      <c r="C972"/>
      <c r="D972" t="s">
        <v>31</v>
      </c>
      <c r="E972" t="s">
        <v>32</v>
      </c>
      <c r="F972" t="s">
        <v>49</v>
      </c>
      <c r="G972" s="118">
        <v>0.35365740740740742</v>
      </c>
      <c r="H972" s="118">
        <v>3.4722222222222224E-4</v>
      </c>
      <c r="I972" s="118">
        <v>1.3541666666666667E-3</v>
      </c>
      <c r="J972" s="118">
        <v>5.0462962962962961E-3</v>
      </c>
      <c r="K972" s="118">
        <v>5.0462962962962961E-3</v>
      </c>
    </row>
    <row r="973" spans="1:11" x14ac:dyDescent="0.25">
      <c r="A973">
        <v>5</v>
      </c>
      <c r="B973">
        <v>5</v>
      </c>
      <c r="C973"/>
      <c r="D973" t="s">
        <v>31</v>
      </c>
      <c r="E973" t="s">
        <v>35</v>
      </c>
      <c r="F973" t="s">
        <v>38</v>
      </c>
      <c r="G973" s="118">
        <v>0.35365740740740742</v>
      </c>
      <c r="H973" s="118">
        <v>9.1435185185185185E-4</v>
      </c>
      <c r="I973" s="118">
        <v>3.4722222222222224E-4</v>
      </c>
      <c r="J973"/>
      <c r="K973"/>
    </row>
    <row r="974" spans="1:11" x14ac:dyDescent="0.25">
      <c r="A974">
        <v>1</v>
      </c>
      <c r="B974">
        <v>3</v>
      </c>
      <c r="C974"/>
      <c r="D974" t="s">
        <v>31</v>
      </c>
      <c r="E974" t="s">
        <v>32</v>
      </c>
      <c r="F974" t="s">
        <v>42</v>
      </c>
      <c r="G974" s="118">
        <v>0.35385416666666664</v>
      </c>
      <c r="H974" s="118">
        <v>3.4722222222222224E-4</v>
      </c>
      <c r="I974" s="118">
        <v>9.1435185185185185E-4</v>
      </c>
      <c r="J974" s="118">
        <v>5.0462962962962961E-3</v>
      </c>
      <c r="K974" s="118">
        <v>5.0462962962962961E-3</v>
      </c>
    </row>
    <row r="975" spans="1:11" x14ac:dyDescent="0.25">
      <c r="A975">
        <v>6</v>
      </c>
      <c r="B975">
        <v>5</v>
      </c>
      <c r="C975"/>
      <c r="D975" t="s">
        <v>31</v>
      </c>
      <c r="E975" t="s">
        <v>32</v>
      </c>
      <c r="F975" t="s">
        <v>41</v>
      </c>
      <c r="G975" s="118">
        <v>0.35399305555555555</v>
      </c>
      <c r="H975" s="118">
        <v>3.4722222222222224E-4</v>
      </c>
      <c r="I975" s="118">
        <v>8.564814814814815E-4</v>
      </c>
      <c r="J975" s="118">
        <v>5.0462962962962961E-3</v>
      </c>
      <c r="K975" s="118">
        <v>5.0462962962962961E-3</v>
      </c>
    </row>
    <row r="976" spans="1:11" x14ac:dyDescent="0.25">
      <c r="A976">
        <v>5</v>
      </c>
      <c r="B976">
        <v>5</v>
      </c>
      <c r="C976"/>
      <c r="D976" t="s">
        <v>31</v>
      </c>
      <c r="E976" t="s">
        <v>32</v>
      </c>
      <c r="F976" t="s">
        <v>38</v>
      </c>
      <c r="G976" s="118">
        <v>0.35400462962962959</v>
      </c>
      <c r="H976" s="118">
        <v>3.4722222222222224E-4</v>
      </c>
      <c r="I976" s="118">
        <v>1.2384259259259258E-3</v>
      </c>
      <c r="J976" s="118">
        <v>5.0462962962962961E-3</v>
      </c>
      <c r="K976" s="118">
        <v>5.0462962962962961E-3</v>
      </c>
    </row>
    <row r="977" spans="1:11" x14ac:dyDescent="0.25">
      <c r="A977">
        <v>7</v>
      </c>
      <c r="B977">
        <v>2</v>
      </c>
      <c r="C977"/>
      <c r="D977" t="s">
        <v>31</v>
      </c>
      <c r="E977" t="s">
        <v>35</v>
      </c>
      <c r="F977" t="s">
        <v>55</v>
      </c>
      <c r="G977" s="118">
        <v>0.35416666666666669</v>
      </c>
      <c r="H977" s="118">
        <v>1.0069444444444444E-3</v>
      </c>
      <c r="I977" s="118">
        <v>4.6296296296296293E-4</v>
      </c>
      <c r="J977"/>
      <c r="K977"/>
    </row>
    <row r="978" spans="1:11" x14ac:dyDescent="0.25">
      <c r="A978">
        <v>4</v>
      </c>
      <c r="B978">
        <v>4</v>
      </c>
      <c r="C978"/>
      <c r="D978" t="s">
        <v>31</v>
      </c>
      <c r="E978" t="s">
        <v>35</v>
      </c>
      <c r="F978" t="s">
        <v>39</v>
      </c>
      <c r="G978" s="118">
        <v>0.35427083333333331</v>
      </c>
      <c r="H978" s="118">
        <v>9.3750000000000007E-4</v>
      </c>
      <c r="I978" s="118">
        <v>5.2083333333333333E-4</v>
      </c>
      <c r="J978"/>
      <c r="K978"/>
    </row>
    <row r="979" spans="1:11" x14ac:dyDescent="0.25">
      <c r="A979">
        <v>2</v>
      </c>
      <c r="B979">
        <v>4</v>
      </c>
      <c r="C979"/>
      <c r="D979" t="s">
        <v>31</v>
      </c>
      <c r="E979" t="s">
        <v>35</v>
      </c>
      <c r="F979" t="s">
        <v>50</v>
      </c>
      <c r="G979" s="118">
        <v>0.35438657407407409</v>
      </c>
      <c r="H979" s="118">
        <v>1.1458333333333333E-3</v>
      </c>
      <c r="I979" s="118">
        <v>3.4722222222222224E-4</v>
      </c>
      <c r="J979"/>
      <c r="K979"/>
    </row>
    <row r="980" spans="1:11" x14ac:dyDescent="0.25">
      <c r="A980">
        <v>7</v>
      </c>
      <c r="B980">
        <v>2</v>
      </c>
      <c r="C980"/>
      <c r="D980" t="s">
        <v>31</v>
      </c>
      <c r="E980" t="s">
        <v>32</v>
      </c>
      <c r="F980" t="s">
        <v>55</v>
      </c>
      <c r="G980" s="118">
        <v>0.35462962962962963</v>
      </c>
      <c r="H980" s="118">
        <v>4.6296296296296293E-4</v>
      </c>
      <c r="I980" s="118">
        <v>4.3981481481481481E-4</v>
      </c>
      <c r="J980" s="118">
        <v>5.0462962962962961E-3</v>
      </c>
      <c r="K980" s="118">
        <v>5.0462962962962961E-3</v>
      </c>
    </row>
    <row r="981" spans="1:11" x14ac:dyDescent="0.25">
      <c r="A981">
        <v>2</v>
      </c>
      <c r="B981">
        <v>4</v>
      </c>
      <c r="C981"/>
      <c r="D981" t="s">
        <v>31</v>
      </c>
      <c r="E981" t="s">
        <v>32</v>
      </c>
      <c r="F981" t="s">
        <v>50</v>
      </c>
      <c r="G981" s="118">
        <v>0.35473379629629626</v>
      </c>
      <c r="H981" s="118">
        <v>3.4722222222222224E-4</v>
      </c>
      <c r="I981" s="118">
        <v>1.261574074074074E-3</v>
      </c>
      <c r="J981" s="118">
        <v>5.0462962962962961E-3</v>
      </c>
      <c r="K981" s="118">
        <v>5.0462962962962961E-3</v>
      </c>
    </row>
    <row r="982" spans="1:11" x14ac:dyDescent="0.25">
      <c r="A982">
        <v>1</v>
      </c>
      <c r="B982">
        <v>3</v>
      </c>
      <c r="C982"/>
      <c r="D982" t="s">
        <v>31</v>
      </c>
      <c r="E982" t="s">
        <v>35</v>
      </c>
      <c r="F982" t="s">
        <v>48</v>
      </c>
      <c r="G982" s="118">
        <v>0.35476851851851854</v>
      </c>
      <c r="H982" s="118">
        <v>9.1435185185185185E-4</v>
      </c>
      <c r="I982" s="118">
        <v>5.2083333333333333E-4</v>
      </c>
      <c r="J982"/>
      <c r="K982"/>
    </row>
    <row r="983" spans="1:11" x14ac:dyDescent="0.25">
      <c r="A983">
        <v>4</v>
      </c>
      <c r="B983">
        <v>4</v>
      </c>
      <c r="C983"/>
      <c r="D983" t="s">
        <v>31</v>
      </c>
      <c r="E983" t="s">
        <v>32</v>
      </c>
      <c r="F983" t="s">
        <v>39</v>
      </c>
      <c r="G983" s="118">
        <v>0.35479166666666667</v>
      </c>
      <c r="H983" s="118">
        <v>5.2083333333333333E-4</v>
      </c>
      <c r="I983" s="118">
        <v>1.8055555555555557E-3</v>
      </c>
      <c r="J983" s="118">
        <v>5.0462962962962961E-3</v>
      </c>
      <c r="K983" s="118">
        <v>5.0462962962962961E-3</v>
      </c>
    </row>
    <row r="984" spans="1:11" x14ac:dyDescent="0.25">
      <c r="A984">
        <v>6</v>
      </c>
      <c r="B984">
        <v>5</v>
      </c>
      <c r="C984"/>
      <c r="D984" t="s">
        <v>31</v>
      </c>
      <c r="E984" t="s">
        <v>35</v>
      </c>
      <c r="F984" t="s">
        <v>47</v>
      </c>
      <c r="G984" s="118">
        <v>0.35484953703703703</v>
      </c>
      <c r="H984" s="118">
        <v>8.564814814814815E-4</v>
      </c>
      <c r="I984" s="118">
        <v>5.2083333333333333E-4</v>
      </c>
      <c r="J984"/>
      <c r="K984"/>
    </row>
    <row r="985" spans="1:11" x14ac:dyDescent="0.25">
      <c r="A985">
        <v>3</v>
      </c>
      <c r="B985">
        <v>4</v>
      </c>
      <c r="C985"/>
      <c r="D985" t="s">
        <v>31</v>
      </c>
      <c r="E985" t="s">
        <v>35</v>
      </c>
      <c r="F985" t="s">
        <v>33</v>
      </c>
      <c r="G985" s="118">
        <v>0.35501157407407408</v>
      </c>
      <c r="H985" s="118">
        <v>1.3541666666666667E-3</v>
      </c>
      <c r="I985" s="118">
        <v>5.2083333333333333E-4</v>
      </c>
      <c r="J985"/>
      <c r="K985"/>
    </row>
    <row r="986" spans="1:11" x14ac:dyDescent="0.25">
      <c r="A986">
        <v>7</v>
      </c>
      <c r="B986">
        <v>2</v>
      </c>
      <c r="C986"/>
      <c r="D986" t="s">
        <v>31</v>
      </c>
      <c r="E986" t="s">
        <v>35</v>
      </c>
      <c r="F986" t="s">
        <v>58</v>
      </c>
      <c r="G986" s="118">
        <v>0.35506944444444444</v>
      </c>
      <c r="H986" s="118">
        <v>4.3981481481481481E-4</v>
      </c>
      <c r="I986" s="118">
        <v>5.7870370370370366E-5</v>
      </c>
      <c r="J986"/>
      <c r="K986"/>
    </row>
    <row r="987" spans="1:11" x14ac:dyDescent="0.25">
      <c r="A987">
        <v>7</v>
      </c>
      <c r="B987">
        <v>2</v>
      </c>
      <c r="C987"/>
      <c r="D987" t="s">
        <v>31</v>
      </c>
      <c r="E987" t="s">
        <v>32</v>
      </c>
      <c r="F987" t="s">
        <v>58</v>
      </c>
      <c r="G987" s="118">
        <v>0.3551273148148148</v>
      </c>
      <c r="H987" s="118">
        <v>5.7870370370370366E-5</v>
      </c>
      <c r="I987" s="118">
        <v>4.8611111111111104E-4</v>
      </c>
      <c r="J987" s="118">
        <v>5.0462962962962961E-3</v>
      </c>
      <c r="K987" s="118">
        <v>5.0462962962962961E-3</v>
      </c>
    </row>
    <row r="988" spans="1:11" x14ac:dyDescent="0.25">
      <c r="A988">
        <v>5</v>
      </c>
      <c r="B988">
        <v>5</v>
      </c>
      <c r="C988"/>
      <c r="D988" t="s">
        <v>31</v>
      </c>
      <c r="E988" t="s">
        <v>35</v>
      </c>
      <c r="F988" t="s">
        <v>45</v>
      </c>
      <c r="G988" s="118">
        <v>0.35524305555555552</v>
      </c>
      <c r="H988" s="118">
        <v>1.2384259259259258E-3</v>
      </c>
      <c r="I988" s="118">
        <v>3.4722222222222224E-4</v>
      </c>
      <c r="J988"/>
      <c r="K988"/>
    </row>
    <row r="989" spans="1:11" x14ac:dyDescent="0.25">
      <c r="A989">
        <v>1</v>
      </c>
      <c r="B989">
        <v>3</v>
      </c>
      <c r="C989"/>
      <c r="D989" t="s">
        <v>31</v>
      </c>
      <c r="E989" t="s">
        <v>32</v>
      </c>
      <c r="F989" t="s">
        <v>48</v>
      </c>
      <c r="G989" s="118">
        <v>0.35528935185185184</v>
      </c>
      <c r="H989" s="118">
        <v>5.2083333333333333E-4</v>
      </c>
      <c r="I989" s="118">
        <v>8.6805555555555551E-4</v>
      </c>
      <c r="J989" s="118">
        <v>5.0462962962962961E-3</v>
      </c>
      <c r="K989" s="118">
        <v>5.0462962962962961E-3</v>
      </c>
    </row>
    <row r="990" spans="1:11" x14ac:dyDescent="0.25">
      <c r="A990">
        <v>6</v>
      </c>
      <c r="B990">
        <v>5</v>
      </c>
      <c r="C990"/>
      <c r="D990" t="s">
        <v>31</v>
      </c>
      <c r="E990" t="s">
        <v>32</v>
      </c>
      <c r="F990" t="s">
        <v>47</v>
      </c>
      <c r="G990" s="118">
        <v>0.35537037037037034</v>
      </c>
      <c r="H990" s="118">
        <v>5.2083333333333333E-4</v>
      </c>
      <c r="I990" s="118">
        <v>8.7962962962962962E-4</v>
      </c>
      <c r="J990" s="118">
        <v>5.0462962962962961E-3</v>
      </c>
      <c r="K990" s="118">
        <v>5.0462962962962961E-3</v>
      </c>
    </row>
    <row r="991" spans="1:11" x14ac:dyDescent="0.25">
      <c r="A991">
        <v>3</v>
      </c>
      <c r="B991">
        <v>4</v>
      </c>
      <c r="C991"/>
      <c r="D991" t="s">
        <v>31</v>
      </c>
      <c r="E991" t="s">
        <v>32</v>
      </c>
      <c r="F991" t="s">
        <v>33</v>
      </c>
      <c r="G991" s="118">
        <v>0.35553240740740738</v>
      </c>
      <c r="H991" s="118">
        <v>5.2083333333333333E-4</v>
      </c>
      <c r="I991" s="118">
        <v>9.6064814814814808E-4</v>
      </c>
      <c r="J991" s="118">
        <v>5.0462962962962961E-3</v>
      </c>
      <c r="K991" s="118">
        <v>5.0462962962962961E-3</v>
      </c>
    </row>
    <row r="992" spans="1:11" x14ac:dyDescent="0.25">
      <c r="A992">
        <v>5</v>
      </c>
      <c r="B992">
        <v>5</v>
      </c>
      <c r="C992"/>
      <c r="D992" t="s">
        <v>31</v>
      </c>
      <c r="E992" t="s">
        <v>32</v>
      </c>
      <c r="F992" t="s">
        <v>45</v>
      </c>
      <c r="G992" s="118">
        <v>0.35559027777777774</v>
      </c>
      <c r="H992" s="118">
        <v>3.4722222222222224E-4</v>
      </c>
      <c r="I992" s="118">
        <v>1.0416666666666667E-3</v>
      </c>
      <c r="J992" s="118">
        <v>5.0462962962962961E-3</v>
      </c>
      <c r="K992" s="118">
        <v>5.0462962962962961E-3</v>
      </c>
    </row>
    <row r="993" spans="1:11" x14ac:dyDescent="0.25">
      <c r="A993">
        <v>7</v>
      </c>
      <c r="B993">
        <v>2</v>
      </c>
      <c r="C993"/>
      <c r="D993" t="s">
        <v>31</v>
      </c>
      <c r="E993" t="s">
        <v>35</v>
      </c>
      <c r="F993" t="s">
        <v>40</v>
      </c>
      <c r="G993" s="118">
        <v>0.35561342592592587</v>
      </c>
      <c r="H993" s="118">
        <v>4.8611111111111104E-4</v>
      </c>
      <c r="I993" s="118">
        <v>4.6296296296296293E-4</v>
      </c>
      <c r="J993"/>
      <c r="K993"/>
    </row>
    <row r="994" spans="1:11" x14ac:dyDescent="0.25">
      <c r="A994">
        <v>2</v>
      </c>
      <c r="B994">
        <v>4</v>
      </c>
      <c r="C994"/>
      <c r="D994" t="s">
        <v>31</v>
      </c>
      <c r="E994" t="s">
        <v>35</v>
      </c>
      <c r="F994" t="s">
        <v>56</v>
      </c>
      <c r="G994" s="118">
        <v>0.35599537037037038</v>
      </c>
      <c r="H994" s="118">
        <v>1.261574074074074E-3</v>
      </c>
      <c r="I994" s="118">
        <v>3.4722222222222224E-4</v>
      </c>
      <c r="J994"/>
      <c r="K994"/>
    </row>
    <row r="995" spans="1:11" x14ac:dyDescent="0.25">
      <c r="A995">
        <v>7</v>
      </c>
      <c r="B995">
        <v>2</v>
      </c>
      <c r="C995"/>
      <c r="D995" t="s">
        <v>31</v>
      </c>
      <c r="E995" t="s">
        <v>32</v>
      </c>
      <c r="F995" t="s">
        <v>40</v>
      </c>
      <c r="G995" s="118">
        <v>0.35607638888888887</v>
      </c>
      <c r="H995" s="118">
        <v>4.6296296296296293E-4</v>
      </c>
      <c r="I995" s="118">
        <v>1.0069444444444444E-3</v>
      </c>
      <c r="J995" s="118">
        <v>5.0462962962962961E-3</v>
      </c>
      <c r="K995" s="118">
        <v>5.0462962962962961E-3</v>
      </c>
    </row>
    <row r="996" spans="1:11" x14ac:dyDescent="0.25">
      <c r="A996">
        <v>1</v>
      </c>
      <c r="B996">
        <v>3</v>
      </c>
      <c r="C996"/>
      <c r="D996" t="s">
        <v>31</v>
      </c>
      <c r="E996" t="s">
        <v>35</v>
      </c>
      <c r="F996" t="s">
        <v>54</v>
      </c>
      <c r="G996" s="118">
        <v>0.35615740740740742</v>
      </c>
      <c r="H996" s="118">
        <v>8.6805555555555551E-4</v>
      </c>
      <c r="I996" s="118">
        <v>3.4722222222222224E-4</v>
      </c>
      <c r="J996"/>
      <c r="K996"/>
    </row>
    <row r="997" spans="1:11" x14ac:dyDescent="0.25">
      <c r="A997">
        <v>6</v>
      </c>
      <c r="B997">
        <v>5</v>
      </c>
      <c r="C997"/>
      <c r="D997" t="s">
        <v>31</v>
      </c>
      <c r="E997" t="s">
        <v>35</v>
      </c>
      <c r="F997" t="s">
        <v>53</v>
      </c>
      <c r="G997" s="118">
        <v>0.35625000000000001</v>
      </c>
      <c r="H997" s="118">
        <v>8.7962962962962962E-4</v>
      </c>
      <c r="I997" s="118">
        <v>3.4722222222222224E-4</v>
      </c>
      <c r="J997"/>
      <c r="K997"/>
    </row>
    <row r="998" spans="1:11" x14ac:dyDescent="0.25">
      <c r="A998">
        <v>2</v>
      </c>
      <c r="B998">
        <v>4</v>
      </c>
      <c r="C998"/>
      <c r="D998" t="s">
        <v>31</v>
      </c>
      <c r="E998" t="s">
        <v>32</v>
      </c>
      <c r="F998" t="s">
        <v>56</v>
      </c>
      <c r="G998" s="118">
        <v>0.35634259259259254</v>
      </c>
      <c r="H998" s="118">
        <v>3.4722222222222224E-4</v>
      </c>
      <c r="I998" s="118">
        <v>9.6064814814814808E-4</v>
      </c>
      <c r="J998" s="118">
        <v>5.0462962962962961E-3</v>
      </c>
      <c r="K998" s="118">
        <v>5.0462962962962961E-3</v>
      </c>
    </row>
    <row r="999" spans="1:11" x14ac:dyDescent="0.25">
      <c r="A999">
        <v>3</v>
      </c>
      <c r="B999">
        <v>4</v>
      </c>
      <c r="C999"/>
      <c r="D999" t="s">
        <v>31</v>
      </c>
      <c r="E999" t="s">
        <v>35</v>
      </c>
      <c r="F999" t="s">
        <v>36</v>
      </c>
      <c r="G999" s="118">
        <v>0.3564930555555556</v>
      </c>
      <c r="H999" s="118">
        <v>9.6064814814814808E-4</v>
      </c>
      <c r="I999" s="118">
        <v>3.4722222222222224E-4</v>
      </c>
      <c r="J999"/>
      <c r="K999"/>
    </row>
    <row r="1000" spans="1:11" x14ac:dyDescent="0.25">
      <c r="A1000">
        <v>1</v>
      </c>
      <c r="B1000">
        <v>3</v>
      </c>
      <c r="C1000"/>
      <c r="D1000" t="s">
        <v>31</v>
      </c>
      <c r="E1000" t="s">
        <v>32</v>
      </c>
      <c r="F1000" t="s">
        <v>54</v>
      </c>
      <c r="G1000" s="118">
        <v>0.35650462962962964</v>
      </c>
      <c r="H1000" s="118">
        <v>3.4722222222222224E-4</v>
      </c>
      <c r="I1000" s="118">
        <v>6.5972222222222213E-4</v>
      </c>
      <c r="J1000" s="118">
        <v>5.0462962962962961E-3</v>
      </c>
      <c r="K1000" s="118">
        <v>5.0462962962962961E-3</v>
      </c>
    </row>
    <row r="1001" spans="1:11" x14ac:dyDescent="0.25">
      <c r="A1001">
        <v>4</v>
      </c>
      <c r="B1001">
        <v>4</v>
      </c>
      <c r="C1001"/>
      <c r="D1001" t="s">
        <v>31</v>
      </c>
      <c r="E1001" t="s">
        <v>35</v>
      </c>
      <c r="F1001" t="s">
        <v>46</v>
      </c>
      <c r="G1001" s="118">
        <v>0.35659722222222223</v>
      </c>
      <c r="H1001" s="118">
        <v>1.8055555555555557E-3</v>
      </c>
      <c r="I1001" s="118">
        <v>3.4722222222222224E-4</v>
      </c>
      <c r="J1001"/>
      <c r="K1001"/>
    </row>
    <row r="1002" spans="1:11" x14ac:dyDescent="0.25">
      <c r="A1002">
        <v>6</v>
      </c>
      <c r="B1002">
        <v>5</v>
      </c>
      <c r="C1002"/>
      <c r="D1002" t="s">
        <v>31</v>
      </c>
      <c r="E1002" t="s">
        <v>32</v>
      </c>
      <c r="F1002" t="s">
        <v>53</v>
      </c>
      <c r="G1002" s="118">
        <v>0.35659722222222223</v>
      </c>
      <c r="H1002" s="118">
        <v>3.4722222222222224E-4</v>
      </c>
      <c r="I1002" s="118">
        <v>8.449074074074075E-4</v>
      </c>
      <c r="J1002" s="118">
        <v>5.0462962962962961E-3</v>
      </c>
      <c r="K1002" s="118">
        <v>5.0462962962962961E-3</v>
      </c>
    </row>
    <row r="1003" spans="1:11" x14ac:dyDescent="0.25">
      <c r="A1003">
        <v>5</v>
      </c>
      <c r="B1003">
        <v>5</v>
      </c>
      <c r="C1003"/>
      <c r="D1003" t="s">
        <v>31</v>
      </c>
      <c r="E1003" t="s">
        <v>35</v>
      </c>
      <c r="F1003" t="s">
        <v>52</v>
      </c>
      <c r="G1003" s="118">
        <v>0.3566319444444444</v>
      </c>
      <c r="H1003" s="118">
        <v>1.0416666666666667E-3</v>
      </c>
      <c r="I1003" s="118">
        <v>3.4722222222222224E-4</v>
      </c>
      <c r="J1003"/>
      <c r="K1003"/>
    </row>
    <row r="1004" spans="1:11" x14ac:dyDescent="0.25">
      <c r="A1004">
        <v>3</v>
      </c>
      <c r="B1004">
        <v>4</v>
      </c>
      <c r="C1004"/>
      <c r="D1004" t="s">
        <v>31</v>
      </c>
      <c r="E1004" t="s">
        <v>32</v>
      </c>
      <c r="F1004" t="s">
        <v>36</v>
      </c>
      <c r="G1004" s="118">
        <v>0.35684027777777777</v>
      </c>
      <c r="H1004" s="118">
        <v>3.4722222222222224E-4</v>
      </c>
      <c r="I1004" s="118">
        <v>1.0995370370370371E-3</v>
      </c>
      <c r="J1004" s="118">
        <v>5.0462962962962961E-3</v>
      </c>
      <c r="K1004" s="118">
        <v>5.0462962962962961E-3</v>
      </c>
    </row>
    <row r="1005" spans="1:11" x14ac:dyDescent="0.25">
      <c r="A1005">
        <v>4</v>
      </c>
      <c r="B1005">
        <v>4</v>
      </c>
      <c r="C1005"/>
      <c r="D1005" t="s">
        <v>31</v>
      </c>
      <c r="E1005" t="s">
        <v>32</v>
      </c>
      <c r="F1005" t="s">
        <v>46</v>
      </c>
      <c r="G1005" s="118">
        <v>0.35694444444444445</v>
      </c>
      <c r="H1005" s="118">
        <v>3.4722222222222224E-4</v>
      </c>
      <c r="I1005" s="118">
        <v>9.1435185185185185E-4</v>
      </c>
      <c r="J1005" s="118">
        <v>5.0462962962962961E-3</v>
      </c>
      <c r="K1005" s="118">
        <v>5.0462962962962961E-3</v>
      </c>
    </row>
    <row r="1006" spans="1:11" x14ac:dyDescent="0.25">
      <c r="A1006">
        <v>5</v>
      </c>
      <c r="B1006">
        <v>5</v>
      </c>
      <c r="C1006"/>
      <c r="D1006" t="s">
        <v>31</v>
      </c>
      <c r="E1006" t="s">
        <v>32</v>
      </c>
      <c r="F1006" t="s">
        <v>52</v>
      </c>
      <c r="G1006" s="118">
        <v>0.35697916666666668</v>
      </c>
      <c r="H1006" s="118">
        <v>3.4722222222222224E-4</v>
      </c>
      <c r="I1006" s="118">
        <v>1.0532407407407407E-3</v>
      </c>
      <c r="J1006" s="118">
        <v>5.0462962962962961E-3</v>
      </c>
      <c r="K1006" s="118">
        <v>5.0462962962962961E-3</v>
      </c>
    </row>
    <row r="1007" spans="1:11" x14ac:dyDescent="0.25">
      <c r="A1007">
        <v>7</v>
      </c>
      <c r="B1007">
        <v>2</v>
      </c>
      <c r="C1007"/>
      <c r="D1007" t="s">
        <v>31</v>
      </c>
      <c r="E1007" t="s">
        <v>35</v>
      </c>
      <c r="F1007" t="s">
        <v>44</v>
      </c>
      <c r="G1007" s="118">
        <v>0.35708333333333336</v>
      </c>
      <c r="H1007" s="118">
        <v>1.0069444444444444E-3</v>
      </c>
      <c r="I1007" s="118">
        <v>3.4722222222222224E-4</v>
      </c>
      <c r="J1007"/>
      <c r="K1007"/>
    </row>
    <row r="1008" spans="1:11" x14ac:dyDescent="0.25">
      <c r="A1008">
        <v>1</v>
      </c>
      <c r="B1008">
        <v>3</v>
      </c>
      <c r="C1008"/>
      <c r="D1008" t="s">
        <v>31</v>
      </c>
      <c r="E1008" t="s">
        <v>35</v>
      </c>
      <c r="F1008" t="s">
        <v>92</v>
      </c>
      <c r="G1008" s="118">
        <v>0.35716435185185186</v>
      </c>
      <c r="H1008" s="118">
        <v>6.5972222222222213E-4</v>
      </c>
      <c r="I1008" s="118">
        <v>5.2083333333333333E-4</v>
      </c>
      <c r="J1008"/>
      <c r="K1008"/>
    </row>
    <row r="1009" spans="1:11" x14ac:dyDescent="0.25">
      <c r="A1009">
        <v>2</v>
      </c>
      <c r="B1009">
        <v>4</v>
      </c>
      <c r="C1009"/>
      <c r="D1009" t="s">
        <v>31</v>
      </c>
      <c r="E1009" t="s">
        <v>35</v>
      </c>
      <c r="F1009" t="s">
        <v>37</v>
      </c>
      <c r="G1009" s="118">
        <v>0.35730324074074077</v>
      </c>
      <c r="H1009" s="118">
        <v>9.6064814814814808E-4</v>
      </c>
      <c r="I1009" s="118">
        <v>3.4722222222222224E-4</v>
      </c>
      <c r="J1009"/>
      <c r="K1009"/>
    </row>
    <row r="1010" spans="1:11" x14ac:dyDescent="0.25">
      <c r="A1010">
        <v>7</v>
      </c>
      <c r="B1010">
        <v>2</v>
      </c>
      <c r="C1010"/>
      <c r="D1010" t="s">
        <v>31</v>
      </c>
      <c r="E1010" t="s">
        <v>32</v>
      </c>
      <c r="F1010" t="s">
        <v>44</v>
      </c>
      <c r="G1010" s="118">
        <v>0.35743055555555553</v>
      </c>
      <c r="H1010" s="118">
        <v>3.4722222222222224E-4</v>
      </c>
      <c r="I1010" s="118">
        <v>9.2592592592592585E-4</v>
      </c>
      <c r="J1010" s="118">
        <v>5.0462962962962961E-3</v>
      </c>
      <c r="K1010" s="118">
        <v>5.0462962962962961E-3</v>
      </c>
    </row>
    <row r="1011" spans="1:11" x14ac:dyDescent="0.25">
      <c r="A1011">
        <v>6</v>
      </c>
      <c r="B1011">
        <v>5</v>
      </c>
      <c r="C1011"/>
      <c r="D1011" t="s">
        <v>31</v>
      </c>
      <c r="E1011" t="s">
        <v>35</v>
      </c>
      <c r="F1011" t="s">
        <v>34</v>
      </c>
      <c r="G1011" s="118">
        <v>0.35744212962962968</v>
      </c>
      <c r="H1011" s="118">
        <v>8.449074074074075E-4</v>
      </c>
      <c r="I1011" s="118">
        <v>3.4722222222222224E-4</v>
      </c>
      <c r="J1011"/>
      <c r="K1011"/>
    </row>
    <row r="1012" spans="1:11" x14ac:dyDescent="0.25">
      <c r="A1012">
        <v>2</v>
      </c>
      <c r="B1012">
        <v>4</v>
      </c>
      <c r="C1012"/>
      <c r="D1012" t="s">
        <v>31</v>
      </c>
      <c r="E1012" t="s">
        <v>32</v>
      </c>
      <c r="F1012" t="s">
        <v>37</v>
      </c>
      <c r="G1012" s="118">
        <v>0.35765046296296293</v>
      </c>
      <c r="H1012" s="118">
        <v>3.4722222222222224E-4</v>
      </c>
      <c r="I1012" s="118">
        <v>9.0277777777777784E-4</v>
      </c>
      <c r="J1012" s="118">
        <v>5.0462962962962961E-3</v>
      </c>
      <c r="K1012" s="118">
        <v>5.0462962962962961E-3</v>
      </c>
    </row>
    <row r="1013" spans="1:11" x14ac:dyDescent="0.25">
      <c r="A1013">
        <v>1</v>
      </c>
      <c r="B1013">
        <v>4</v>
      </c>
      <c r="C1013"/>
      <c r="D1013" t="s">
        <v>31</v>
      </c>
      <c r="E1013" t="s">
        <v>32</v>
      </c>
      <c r="F1013" t="s">
        <v>92</v>
      </c>
      <c r="G1013" s="118">
        <v>0.35768518518518522</v>
      </c>
      <c r="H1013" s="118">
        <v>5.2083333333333333E-4</v>
      </c>
      <c r="I1013" s="118">
        <v>1.0069444444444444E-3</v>
      </c>
      <c r="J1013" s="118">
        <v>5.0462962962962961E-3</v>
      </c>
      <c r="K1013" s="118">
        <v>7.0717592592592594E-3</v>
      </c>
    </row>
    <row r="1014" spans="1:11" x14ac:dyDescent="0.25">
      <c r="A1014">
        <v>6</v>
      </c>
      <c r="B1014">
        <v>5</v>
      </c>
      <c r="C1014"/>
      <c r="D1014" t="s">
        <v>31</v>
      </c>
      <c r="E1014" t="s">
        <v>32</v>
      </c>
      <c r="F1014" t="s">
        <v>34</v>
      </c>
      <c r="G1014" s="118">
        <v>0.35778935185185184</v>
      </c>
      <c r="H1014" s="118">
        <v>3.4722222222222224E-4</v>
      </c>
      <c r="I1014" s="118">
        <v>9.1435185185185185E-4</v>
      </c>
      <c r="J1014" s="118">
        <v>5.0462962962962961E-3</v>
      </c>
      <c r="K1014" s="118">
        <v>5.0462962962962961E-3</v>
      </c>
    </row>
    <row r="1015" spans="1:11" x14ac:dyDescent="0.25">
      <c r="A1015">
        <v>4</v>
      </c>
      <c r="B1015">
        <v>4</v>
      </c>
      <c r="C1015"/>
      <c r="D1015" t="s">
        <v>31</v>
      </c>
      <c r="E1015" t="s">
        <v>35</v>
      </c>
      <c r="F1015" t="s">
        <v>51</v>
      </c>
      <c r="G1015" s="118">
        <v>0.3578587962962963</v>
      </c>
      <c r="H1015" s="118">
        <v>9.1435185185185185E-4</v>
      </c>
      <c r="I1015" s="118">
        <v>3.4722222222222224E-4</v>
      </c>
      <c r="J1015"/>
      <c r="K1015"/>
    </row>
    <row r="1016" spans="1:11" x14ac:dyDescent="0.25">
      <c r="A1016">
        <v>3</v>
      </c>
      <c r="B1016">
        <v>4</v>
      </c>
      <c r="C1016"/>
      <c r="D1016" t="s">
        <v>31</v>
      </c>
      <c r="E1016" t="s">
        <v>35</v>
      </c>
      <c r="F1016" t="s">
        <v>43</v>
      </c>
      <c r="G1016" s="118">
        <v>0.35793981481481479</v>
      </c>
      <c r="H1016" s="118">
        <v>1.0995370370370371E-3</v>
      </c>
      <c r="I1016" s="118">
        <v>3.4722222222222224E-4</v>
      </c>
      <c r="J1016"/>
      <c r="K1016"/>
    </row>
    <row r="1017" spans="1:11" x14ac:dyDescent="0.25">
      <c r="A1017">
        <v>5</v>
      </c>
      <c r="B1017">
        <v>5</v>
      </c>
      <c r="C1017"/>
      <c r="D1017" t="s">
        <v>31</v>
      </c>
      <c r="E1017" t="s">
        <v>35</v>
      </c>
      <c r="F1017" t="s">
        <v>57</v>
      </c>
      <c r="G1017" s="118">
        <v>0.35803240740740744</v>
      </c>
      <c r="H1017" s="118">
        <v>1.0532407407407407E-3</v>
      </c>
      <c r="I1017" s="118">
        <v>3.4722222222222224E-4</v>
      </c>
      <c r="J1017"/>
      <c r="K1017"/>
    </row>
    <row r="1018" spans="1:11" x14ac:dyDescent="0.25">
      <c r="A1018">
        <v>4</v>
      </c>
      <c r="B1018">
        <v>4</v>
      </c>
      <c r="C1018"/>
      <c r="D1018" t="s">
        <v>31</v>
      </c>
      <c r="E1018" t="s">
        <v>32</v>
      </c>
      <c r="F1018" t="s">
        <v>51</v>
      </c>
      <c r="G1018" s="118">
        <v>0.35820601851851852</v>
      </c>
      <c r="H1018" s="118">
        <v>3.4722222222222224E-4</v>
      </c>
      <c r="I1018" s="118">
        <v>1.0069444444444444E-3</v>
      </c>
      <c r="J1018" s="118">
        <v>5.0462962962962961E-3</v>
      </c>
      <c r="K1018" s="118">
        <v>5.0462962962962961E-3</v>
      </c>
    </row>
    <row r="1019" spans="1:11" x14ac:dyDescent="0.25">
      <c r="A1019">
        <v>3</v>
      </c>
      <c r="B1019">
        <v>4</v>
      </c>
      <c r="C1019"/>
      <c r="D1019" t="s">
        <v>31</v>
      </c>
      <c r="E1019" t="s">
        <v>32</v>
      </c>
      <c r="F1019" t="s">
        <v>43</v>
      </c>
      <c r="G1019" s="118">
        <v>0.35828703703703701</v>
      </c>
      <c r="H1019" s="118">
        <v>3.4722222222222224E-4</v>
      </c>
      <c r="I1019" s="118">
        <v>1.1458333333333333E-3</v>
      </c>
      <c r="J1019" s="118">
        <v>5.0462962962962961E-3</v>
      </c>
      <c r="K1019" s="118">
        <v>5.0462962962962961E-3</v>
      </c>
    </row>
    <row r="1020" spans="1:11" x14ac:dyDescent="0.25">
      <c r="A1020">
        <v>7</v>
      </c>
      <c r="B1020">
        <v>2</v>
      </c>
      <c r="C1020"/>
      <c r="D1020" t="s">
        <v>31</v>
      </c>
      <c r="E1020" t="s">
        <v>35</v>
      </c>
      <c r="F1020" t="s">
        <v>49</v>
      </c>
      <c r="G1020" s="118">
        <v>0.35835648148148147</v>
      </c>
      <c r="H1020" s="118">
        <v>9.2592592592592585E-4</v>
      </c>
      <c r="I1020" s="118">
        <v>3.4722222222222224E-4</v>
      </c>
      <c r="J1020"/>
      <c r="K1020"/>
    </row>
    <row r="1021" spans="1:11" x14ac:dyDescent="0.25">
      <c r="A1021">
        <v>5</v>
      </c>
      <c r="B1021">
        <v>5</v>
      </c>
      <c r="C1021"/>
      <c r="D1021" t="s">
        <v>31</v>
      </c>
      <c r="E1021" t="s">
        <v>32</v>
      </c>
      <c r="F1021" t="s">
        <v>57</v>
      </c>
      <c r="G1021" s="118">
        <v>0.3583796296296296</v>
      </c>
      <c r="H1021" s="118">
        <v>3.4722222222222224E-4</v>
      </c>
      <c r="I1021" s="118">
        <v>9.3750000000000007E-4</v>
      </c>
      <c r="J1021" s="118">
        <v>5.0462962962962961E-3</v>
      </c>
      <c r="K1021" s="118">
        <v>5.0462962962962961E-3</v>
      </c>
    </row>
    <row r="1022" spans="1:11" x14ac:dyDescent="0.25">
      <c r="A1022">
        <v>2</v>
      </c>
      <c r="B1022">
        <v>4</v>
      </c>
      <c r="C1022"/>
      <c r="D1022" t="s">
        <v>31</v>
      </c>
      <c r="E1022" t="s">
        <v>35</v>
      </c>
      <c r="F1022" t="s">
        <v>42</v>
      </c>
      <c r="G1022" s="118">
        <v>0.35855324074074074</v>
      </c>
      <c r="H1022" s="118">
        <v>9.0277777777777784E-4</v>
      </c>
      <c r="I1022" s="118">
        <v>3.4722222222222224E-4</v>
      </c>
      <c r="J1022"/>
      <c r="K1022"/>
    </row>
    <row r="1023" spans="1:11" x14ac:dyDescent="0.25">
      <c r="A1023">
        <v>1</v>
      </c>
      <c r="B1023">
        <v>4</v>
      </c>
      <c r="C1023"/>
      <c r="D1023" t="s">
        <v>31</v>
      </c>
      <c r="E1023" t="s">
        <v>35</v>
      </c>
      <c r="F1023" t="s">
        <v>41</v>
      </c>
      <c r="G1023" s="118">
        <v>0.35869212962962965</v>
      </c>
      <c r="H1023" s="118">
        <v>1.0069444444444444E-3</v>
      </c>
      <c r="I1023" s="118">
        <v>3.4722222222222224E-4</v>
      </c>
      <c r="J1023"/>
      <c r="K1023"/>
    </row>
    <row r="1024" spans="1:11" x14ac:dyDescent="0.25">
      <c r="A1024">
        <v>6</v>
      </c>
      <c r="B1024">
        <v>5</v>
      </c>
      <c r="C1024"/>
      <c r="D1024" t="s">
        <v>31</v>
      </c>
      <c r="E1024" t="s">
        <v>35</v>
      </c>
      <c r="F1024" t="s">
        <v>38</v>
      </c>
      <c r="G1024" s="118">
        <v>0.35870370370370369</v>
      </c>
      <c r="H1024" s="118">
        <v>9.1435185185185185E-4</v>
      </c>
      <c r="I1024" s="118">
        <v>3.4722222222222224E-4</v>
      </c>
      <c r="J1024"/>
      <c r="K1024"/>
    </row>
    <row r="1025" spans="1:11" x14ac:dyDescent="0.25">
      <c r="A1025">
        <v>7</v>
      </c>
      <c r="B1025">
        <v>2</v>
      </c>
      <c r="C1025"/>
      <c r="D1025" t="s">
        <v>31</v>
      </c>
      <c r="E1025" t="s">
        <v>32</v>
      </c>
      <c r="F1025" t="s">
        <v>49</v>
      </c>
      <c r="G1025" s="118">
        <v>0.35870370370370369</v>
      </c>
      <c r="H1025" s="118">
        <v>3.4722222222222224E-4</v>
      </c>
      <c r="I1025" s="118">
        <v>1.3541666666666667E-3</v>
      </c>
      <c r="J1025" s="118">
        <v>5.0462962962962961E-3</v>
      </c>
      <c r="K1025" s="118">
        <v>5.0462962962962961E-3</v>
      </c>
    </row>
    <row r="1026" spans="1:11" x14ac:dyDescent="0.25">
      <c r="A1026">
        <v>2</v>
      </c>
      <c r="B1026">
        <v>4</v>
      </c>
      <c r="C1026"/>
      <c r="D1026" t="s">
        <v>31</v>
      </c>
      <c r="E1026" t="s">
        <v>32</v>
      </c>
      <c r="F1026" t="s">
        <v>42</v>
      </c>
      <c r="G1026" s="118">
        <v>0.35890046296296302</v>
      </c>
      <c r="H1026" s="118">
        <v>3.4722222222222224E-4</v>
      </c>
      <c r="I1026" s="118">
        <v>9.1435185185185185E-4</v>
      </c>
      <c r="J1026" s="118">
        <v>5.0462962962962961E-3</v>
      </c>
      <c r="K1026" s="118">
        <v>5.0462962962962961E-3</v>
      </c>
    </row>
    <row r="1027" spans="1:11" x14ac:dyDescent="0.25">
      <c r="A1027">
        <v>1</v>
      </c>
      <c r="B1027">
        <v>4</v>
      </c>
      <c r="C1027"/>
      <c r="D1027" t="s">
        <v>31</v>
      </c>
      <c r="E1027" t="s">
        <v>32</v>
      </c>
      <c r="F1027" t="s">
        <v>41</v>
      </c>
      <c r="G1027" s="118">
        <v>0.35903935185185182</v>
      </c>
      <c r="H1027" s="118">
        <v>3.4722222222222224E-4</v>
      </c>
      <c r="I1027" s="118">
        <v>8.564814814814815E-4</v>
      </c>
      <c r="J1027" s="118">
        <v>5.0462962962962961E-3</v>
      </c>
      <c r="K1027" s="118">
        <v>7.0717592592592594E-3</v>
      </c>
    </row>
    <row r="1028" spans="1:11" x14ac:dyDescent="0.25">
      <c r="A1028">
        <v>6</v>
      </c>
      <c r="B1028">
        <v>5</v>
      </c>
      <c r="C1028"/>
      <c r="D1028" t="s">
        <v>31</v>
      </c>
      <c r="E1028" t="s">
        <v>32</v>
      </c>
      <c r="F1028" t="s">
        <v>38</v>
      </c>
      <c r="G1028" s="118">
        <v>0.35905092592592597</v>
      </c>
      <c r="H1028" s="118">
        <v>3.4722222222222224E-4</v>
      </c>
      <c r="I1028" s="118">
        <v>1.2384259259259258E-3</v>
      </c>
      <c r="J1028" s="118">
        <v>5.0462962962962961E-3</v>
      </c>
      <c r="K1028" s="118">
        <v>5.0462962962962961E-3</v>
      </c>
    </row>
    <row r="1029" spans="1:11" x14ac:dyDescent="0.25">
      <c r="A1029">
        <v>4</v>
      </c>
      <c r="B1029">
        <v>4</v>
      </c>
      <c r="C1029"/>
      <c r="D1029" t="s">
        <v>31</v>
      </c>
      <c r="E1029" t="s">
        <v>35</v>
      </c>
      <c r="F1029" t="s">
        <v>55</v>
      </c>
      <c r="G1029" s="118">
        <v>0.35921296296296296</v>
      </c>
      <c r="H1029" s="118">
        <v>1.0069444444444444E-3</v>
      </c>
      <c r="I1029" s="118">
        <v>4.6296296296296293E-4</v>
      </c>
      <c r="J1029"/>
      <c r="K1029"/>
    </row>
    <row r="1030" spans="1:11" x14ac:dyDescent="0.25">
      <c r="A1030">
        <v>5</v>
      </c>
      <c r="B1030">
        <v>5</v>
      </c>
      <c r="C1030"/>
      <c r="D1030" t="s">
        <v>31</v>
      </c>
      <c r="E1030" t="s">
        <v>35</v>
      </c>
      <c r="F1030" t="s">
        <v>39</v>
      </c>
      <c r="G1030" s="118">
        <v>0.35931712962962964</v>
      </c>
      <c r="H1030" s="118">
        <v>9.3750000000000007E-4</v>
      </c>
      <c r="I1030" s="118">
        <v>5.2083333333333333E-4</v>
      </c>
      <c r="J1030"/>
      <c r="K1030"/>
    </row>
    <row r="1031" spans="1:11" x14ac:dyDescent="0.25">
      <c r="A1031">
        <v>3</v>
      </c>
      <c r="B1031">
        <v>4</v>
      </c>
      <c r="C1031"/>
      <c r="D1031" t="s">
        <v>31</v>
      </c>
      <c r="E1031" t="s">
        <v>35</v>
      </c>
      <c r="F1031" t="s">
        <v>50</v>
      </c>
      <c r="G1031" s="118">
        <v>0.35943287037037036</v>
      </c>
      <c r="H1031" s="118">
        <v>1.1458333333333333E-3</v>
      </c>
      <c r="I1031" s="118">
        <v>3.4722222222222224E-4</v>
      </c>
      <c r="J1031"/>
      <c r="K1031"/>
    </row>
    <row r="1032" spans="1:11" x14ac:dyDescent="0.25">
      <c r="A1032">
        <v>4</v>
      </c>
      <c r="B1032">
        <v>4</v>
      </c>
      <c r="C1032"/>
      <c r="D1032" t="s">
        <v>31</v>
      </c>
      <c r="E1032" t="s">
        <v>32</v>
      </c>
      <c r="F1032" t="s">
        <v>55</v>
      </c>
      <c r="G1032" s="118">
        <v>0.3596759259259259</v>
      </c>
      <c r="H1032" s="118">
        <v>4.6296296296296293E-4</v>
      </c>
      <c r="I1032" s="118">
        <v>4.3981481481481481E-4</v>
      </c>
      <c r="J1032" s="118">
        <v>5.0462962962962961E-3</v>
      </c>
      <c r="K1032" s="118">
        <v>5.0462962962962961E-3</v>
      </c>
    </row>
    <row r="1033" spans="1:11" x14ac:dyDescent="0.25">
      <c r="A1033">
        <v>3</v>
      </c>
      <c r="B1033">
        <v>4</v>
      </c>
      <c r="C1033"/>
      <c r="D1033" t="s">
        <v>31</v>
      </c>
      <c r="E1033" t="s">
        <v>32</v>
      </c>
      <c r="F1033" t="s">
        <v>50</v>
      </c>
      <c r="G1033" s="118">
        <v>0.35978009259259264</v>
      </c>
      <c r="H1033" s="118">
        <v>3.4722222222222224E-4</v>
      </c>
      <c r="I1033" s="118">
        <v>1.261574074074074E-3</v>
      </c>
      <c r="J1033" s="118">
        <v>5.0462962962962961E-3</v>
      </c>
      <c r="K1033" s="118">
        <v>5.0462962962962961E-3</v>
      </c>
    </row>
    <row r="1034" spans="1:11" x14ac:dyDescent="0.25">
      <c r="A1034">
        <v>2</v>
      </c>
      <c r="B1034">
        <v>4</v>
      </c>
      <c r="C1034"/>
      <c r="D1034" t="s">
        <v>31</v>
      </c>
      <c r="E1034" t="s">
        <v>35</v>
      </c>
      <c r="F1034" t="s">
        <v>48</v>
      </c>
      <c r="G1034" s="118">
        <v>0.35981481481481481</v>
      </c>
      <c r="H1034" s="118">
        <v>9.1435185185185185E-4</v>
      </c>
      <c r="I1034" s="118">
        <v>5.2083333333333333E-4</v>
      </c>
      <c r="J1034"/>
      <c r="K1034"/>
    </row>
    <row r="1035" spans="1:11" x14ac:dyDescent="0.25">
      <c r="A1035">
        <v>5</v>
      </c>
      <c r="B1035">
        <v>5</v>
      </c>
      <c r="C1035"/>
      <c r="D1035" t="s">
        <v>31</v>
      </c>
      <c r="E1035" t="s">
        <v>32</v>
      </c>
      <c r="F1035" t="s">
        <v>39</v>
      </c>
      <c r="G1035" s="118">
        <v>0.35983796296296294</v>
      </c>
      <c r="H1035" s="118">
        <v>5.2083333333333333E-4</v>
      </c>
      <c r="I1035" s="118">
        <v>1.8055555555555557E-3</v>
      </c>
      <c r="J1035" s="118">
        <v>5.0462962962962961E-3</v>
      </c>
      <c r="K1035" s="118">
        <v>5.0462962962962961E-3</v>
      </c>
    </row>
    <row r="1036" spans="1:11" x14ac:dyDescent="0.25">
      <c r="A1036">
        <v>1</v>
      </c>
      <c r="B1036">
        <v>4</v>
      </c>
      <c r="C1036"/>
      <c r="D1036" t="s">
        <v>31</v>
      </c>
      <c r="E1036" t="s">
        <v>35</v>
      </c>
      <c r="F1036" t="s">
        <v>47</v>
      </c>
      <c r="G1036" s="118">
        <v>0.3598958333333333</v>
      </c>
      <c r="H1036" s="118">
        <v>8.564814814814815E-4</v>
      </c>
      <c r="I1036" s="118">
        <v>5.2083333333333333E-4</v>
      </c>
      <c r="J1036"/>
      <c r="K1036"/>
    </row>
    <row r="1037" spans="1:11" x14ac:dyDescent="0.25">
      <c r="A1037">
        <v>7</v>
      </c>
      <c r="B1037">
        <v>2</v>
      </c>
      <c r="C1037"/>
      <c r="D1037" t="s">
        <v>31</v>
      </c>
      <c r="E1037" t="s">
        <v>35</v>
      </c>
      <c r="F1037" t="s">
        <v>33</v>
      </c>
      <c r="G1037" s="118">
        <v>0.36005787037037035</v>
      </c>
      <c r="H1037" s="118">
        <v>1.3541666666666667E-3</v>
      </c>
      <c r="I1037" s="118">
        <v>5.2083333333333333E-4</v>
      </c>
      <c r="J1037"/>
      <c r="K1037"/>
    </row>
    <row r="1038" spans="1:11" x14ac:dyDescent="0.25">
      <c r="A1038">
        <v>4</v>
      </c>
      <c r="B1038">
        <v>4</v>
      </c>
      <c r="C1038"/>
      <c r="D1038" t="s">
        <v>31</v>
      </c>
      <c r="E1038" t="s">
        <v>35</v>
      </c>
      <c r="F1038" t="s">
        <v>58</v>
      </c>
      <c r="G1038" s="118">
        <v>0.36011574074074071</v>
      </c>
      <c r="H1038" s="118">
        <v>4.3981481481481481E-4</v>
      </c>
      <c r="I1038" s="118">
        <v>5.7870370370370366E-5</v>
      </c>
      <c r="J1038"/>
      <c r="K1038"/>
    </row>
    <row r="1039" spans="1:11" x14ac:dyDescent="0.25">
      <c r="A1039">
        <v>4</v>
      </c>
      <c r="B1039">
        <v>4</v>
      </c>
      <c r="C1039"/>
      <c r="D1039" t="s">
        <v>31</v>
      </c>
      <c r="E1039" t="s">
        <v>32</v>
      </c>
      <c r="F1039" t="s">
        <v>58</v>
      </c>
      <c r="G1039" s="118">
        <v>0.36017361111111112</v>
      </c>
      <c r="H1039" s="118">
        <v>5.7870370370370366E-5</v>
      </c>
      <c r="I1039" s="118">
        <v>4.8611111111111104E-4</v>
      </c>
      <c r="J1039" s="118">
        <v>5.0462962962962961E-3</v>
      </c>
      <c r="K1039" s="118">
        <v>5.0462962962962961E-3</v>
      </c>
    </row>
    <row r="1040" spans="1:11" x14ac:dyDescent="0.25">
      <c r="A1040">
        <v>6</v>
      </c>
      <c r="B1040">
        <v>5</v>
      </c>
      <c r="C1040"/>
      <c r="D1040" t="s">
        <v>31</v>
      </c>
      <c r="E1040" t="s">
        <v>35</v>
      </c>
      <c r="F1040" t="s">
        <v>45</v>
      </c>
      <c r="G1040" s="118">
        <v>0.3602893518518519</v>
      </c>
      <c r="H1040" s="118">
        <v>1.2384259259259258E-3</v>
      </c>
      <c r="I1040" s="118">
        <v>3.4722222222222224E-4</v>
      </c>
      <c r="J1040"/>
      <c r="K1040"/>
    </row>
    <row r="1041" spans="1:11" x14ac:dyDescent="0.25">
      <c r="A1041">
        <v>2</v>
      </c>
      <c r="B1041">
        <v>4</v>
      </c>
      <c r="C1041"/>
      <c r="D1041" t="s">
        <v>31</v>
      </c>
      <c r="E1041" t="s">
        <v>32</v>
      </c>
      <c r="F1041" t="s">
        <v>48</v>
      </c>
      <c r="G1041" s="118">
        <v>0.36033564814814811</v>
      </c>
      <c r="H1041" s="118">
        <v>5.2083333333333333E-4</v>
      </c>
      <c r="I1041" s="118">
        <v>8.6805555555555551E-4</v>
      </c>
      <c r="J1041" s="118">
        <v>5.0462962962962961E-3</v>
      </c>
      <c r="K1041" s="118">
        <v>5.0462962962962961E-3</v>
      </c>
    </row>
    <row r="1042" spans="1:11" x14ac:dyDescent="0.25">
      <c r="A1042">
        <v>1</v>
      </c>
      <c r="B1042">
        <v>4</v>
      </c>
      <c r="C1042"/>
      <c r="D1042" t="s">
        <v>31</v>
      </c>
      <c r="E1042" t="s">
        <v>32</v>
      </c>
      <c r="F1042" t="s">
        <v>47</v>
      </c>
      <c r="G1042" s="118">
        <v>0.36041666666666666</v>
      </c>
      <c r="H1042" s="118">
        <v>5.2083333333333333E-4</v>
      </c>
      <c r="I1042" s="118">
        <v>8.7962962962962962E-4</v>
      </c>
      <c r="J1042" s="118">
        <v>5.0462962962962961E-3</v>
      </c>
      <c r="K1042" s="118">
        <v>7.0717592592592594E-3</v>
      </c>
    </row>
    <row r="1043" spans="1:11" x14ac:dyDescent="0.25">
      <c r="A1043">
        <v>7</v>
      </c>
      <c r="B1043">
        <v>2</v>
      </c>
      <c r="C1043"/>
      <c r="D1043" t="s">
        <v>31</v>
      </c>
      <c r="E1043" t="s">
        <v>32</v>
      </c>
      <c r="F1043" t="s">
        <v>33</v>
      </c>
      <c r="G1043" s="118">
        <v>0.36057870370370365</v>
      </c>
      <c r="H1043" s="118">
        <v>5.2083333333333333E-4</v>
      </c>
      <c r="I1043" s="118">
        <v>9.6064814814814808E-4</v>
      </c>
      <c r="J1043" s="118">
        <v>5.0462962962962961E-3</v>
      </c>
      <c r="K1043" s="118">
        <v>5.0462962962962961E-3</v>
      </c>
    </row>
    <row r="1044" spans="1:11" x14ac:dyDescent="0.25">
      <c r="A1044">
        <v>6</v>
      </c>
      <c r="B1044">
        <v>5</v>
      </c>
      <c r="C1044"/>
      <c r="D1044" t="s">
        <v>31</v>
      </c>
      <c r="E1044" t="s">
        <v>32</v>
      </c>
      <c r="F1044" t="s">
        <v>45</v>
      </c>
      <c r="G1044" s="118">
        <v>0.36063657407407407</v>
      </c>
      <c r="H1044" s="118">
        <v>3.4722222222222224E-4</v>
      </c>
      <c r="I1044" s="118">
        <v>1.0416666666666667E-3</v>
      </c>
      <c r="J1044" s="118">
        <v>5.0462962962962961E-3</v>
      </c>
      <c r="K1044" s="118">
        <v>5.0462962962962961E-3</v>
      </c>
    </row>
    <row r="1045" spans="1:11" x14ac:dyDescent="0.25">
      <c r="A1045">
        <v>4</v>
      </c>
      <c r="B1045">
        <v>4</v>
      </c>
      <c r="C1045"/>
      <c r="D1045" t="s">
        <v>31</v>
      </c>
      <c r="E1045" t="s">
        <v>35</v>
      </c>
      <c r="F1045" t="s">
        <v>40</v>
      </c>
      <c r="G1045" s="118">
        <v>0.36065972222222226</v>
      </c>
      <c r="H1045" s="118">
        <v>4.8611111111111104E-4</v>
      </c>
      <c r="I1045" s="118">
        <v>4.6296296296296293E-4</v>
      </c>
      <c r="J1045"/>
      <c r="K1045"/>
    </row>
    <row r="1046" spans="1:11" x14ac:dyDescent="0.25">
      <c r="A1046">
        <v>3</v>
      </c>
      <c r="B1046">
        <v>4</v>
      </c>
      <c r="C1046"/>
      <c r="D1046" t="s">
        <v>31</v>
      </c>
      <c r="E1046" t="s">
        <v>35</v>
      </c>
      <c r="F1046" t="s">
        <v>56</v>
      </c>
      <c r="G1046" s="118">
        <v>0.36104166666666665</v>
      </c>
      <c r="H1046" s="118">
        <v>1.261574074074074E-3</v>
      </c>
      <c r="I1046" s="118">
        <v>3.4722222222222224E-4</v>
      </c>
      <c r="J1046"/>
      <c r="K1046"/>
    </row>
    <row r="1047" spans="1:11" x14ac:dyDescent="0.25">
      <c r="A1047">
        <v>4</v>
      </c>
      <c r="B1047">
        <v>4</v>
      </c>
      <c r="C1047"/>
      <c r="D1047" t="s">
        <v>31</v>
      </c>
      <c r="E1047" t="s">
        <v>32</v>
      </c>
      <c r="F1047" t="s">
        <v>40</v>
      </c>
      <c r="G1047" s="118">
        <v>0.3611226851851852</v>
      </c>
      <c r="H1047" s="118">
        <v>4.6296296296296293E-4</v>
      </c>
      <c r="I1047" s="118">
        <v>1.0069444444444444E-3</v>
      </c>
      <c r="J1047" s="118">
        <v>5.0462962962962961E-3</v>
      </c>
      <c r="K1047" s="118">
        <v>5.0462962962962961E-3</v>
      </c>
    </row>
    <row r="1048" spans="1:11" x14ac:dyDescent="0.25">
      <c r="A1048">
        <v>2</v>
      </c>
      <c r="B1048">
        <v>4</v>
      </c>
      <c r="C1048"/>
      <c r="D1048" t="s">
        <v>31</v>
      </c>
      <c r="E1048" t="s">
        <v>35</v>
      </c>
      <c r="F1048" t="s">
        <v>54</v>
      </c>
      <c r="G1048" s="118">
        <v>0.36120370370370369</v>
      </c>
      <c r="H1048" s="118">
        <v>8.6805555555555551E-4</v>
      </c>
      <c r="I1048" s="118">
        <v>3.4722222222222224E-4</v>
      </c>
      <c r="J1048"/>
      <c r="K1048"/>
    </row>
    <row r="1049" spans="1:11" x14ac:dyDescent="0.25">
      <c r="A1049">
        <v>1</v>
      </c>
      <c r="B1049">
        <v>4</v>
      </c>
      <c r="C1049"/>
      <c r="D1049" t="s">
        <v>31</v>
      </c>
      <c r="E1049" t="s">
        <v>35</v>
      </c>
      <c r="F1049" t="s">
        <v>53</v>
      </c>
      <c r="G1049" s="118">
        <v>0.36129629629629628</v>
      </c>
      <c r="H1049" s="118">
        <v>8.7962962962962962E-4</v>
      </c>
      <c r="I1049" s="118">
        <v>3.4722222222222224E-4</v>
      </c>
      <c r="J1049"/>
      <c r="K1049"/>
    </row>
    <row r="1050" spans="1:11" x14ac:dyDescent="0.25">
      <c r="A1050">
        <v>3</v>
      </c>
      <c r="B1050">
        <v>4</v>
      </c>
      <c r="C1050"/>
      <c r="D1050" t="s">
        <v>31</v>
      </c>
      <c r="E1050" t="s">
        <v>32</v>
      </c>
      <c r="F1050" t="s">
        <v>56</v>
      </c>
      <c r="G1050" s="118">
        <v>0.36138888888888893</v>
      </c>
      <c r="H1050" s="118">
        <v>3.4722222222222224E-4</v>
      </c>
      <c r="I1050" s="118">
        <v>9.6064814814814808E-4</v>
      </c>
      <c r="J1050" s="118">
        <v>5.0462962962962961E-3</v>
      </c>
      <c r="K1050" s="118">
        <v>5.0462962962962961E-3</v>
      </c>
    </row>
    <row r="1051" spans="1:11" x14ac:dyDescent="0.25">
      <c r="A1051">
        <v>7</v>
      </c>
      <c r="B1051">
        <v>2</v>
      </c>
      <c r="C1051"/>
      <c r="D1051" t="s">
        <v>31</v>
      </c>
      <c r="E1051" t="s">
        <v>35</v>
      </c>
      <c r="F1051" t="s">
        <v>36</v>
      </c>
      <c r="G1051" s="118">
        <v>0.36153935185185188</v>
      </c>
      <c r="H1051" s="118">
        <v>9.6064814814814808E-4</v>
      </c>
      <c r="I1051" s="118">
        <v>3.4722222222222224E-4</v>
      </c>
      <c r="J1051"/>
      <c r="K1051"/>
    </row>
    <row r="1052" spans="1:11" x14ac:dyDescent="0.25">
      <c r="A1052">
        <v>2</v>
      </c>
      <c r="B1052">
        <v>4</v>
      </c>
      <c r="C1052"/>
      <c r="D1052" t="s">
        <v>31</v>
      </c>
      <c r="E1052" t="s">
        <v>32</v>
      </c>
      <c r="F1052" t="s">
        <v>54</v>
      </c>
      <c r="G1052" s="118">
        <v>0.36155092592592591</v>
      </c>
      <c r="H1052" s="118">
        <v>3.4722222222222224E-4</v>
      </c>
      <c r="I1052" s="118">
        <v>1.1921296296296296E-3</v>
      </c>
      <c r="J1052" s="118">
        <v>5.0462962962962961E-3</v>
      </c>
      <c r="K1052" s="118">
        <v>5.0462962962962961E-3</v>
      </c>
    </row>
    <row r="1053" spans="1:11" x14ac:dyDescent="0.25">
      <c r="A1053">
        <v>1</v>
      </c>
      <c r="B1053">
        <v>4</v>
      </c>
      <c r="C1053"/>
      <c r="D1053" t="s">
        <v>31</v>
      </c>
      <c r="E1053" t="s">
        <v>32</v>
      </c>
      <c r="F1053" t="s">
        <v>53</v>
      </c>
      <c r="G1053" s="118">
        <v>0.3616435185185185</v>
      </c>
      <c r="H1053" s="118">
        <v>3.4722222222222224E-4</v>
      </c>
      <c r="I1053" s="118">
        <v>8.449074074074075E-4</v>
      </c>
      <c r="J1053" s="118">
        <v>5.0462962962962961E-3</v>
      </c>
      <c r="K1053" s="118">
        <v>7.0717592592592594E-3</v>
      </c>
    </row>
    <row r="1054" spans="1:11" x14ac:dyDescent="0.25">
      <c r="A1054">
        <v>5</v>
      </c>
      <c r="B1054">
        <v>5</v>
      </c>
      <c r="C1054"/>
      <c r="D1054" t="s">
        <v>31</v>
      </c>
      <c r="E1054" t="s">
        <v>35</v>
      </c>
      <c r="F1054" t="s">
        <v>46</v>
      </c>
      <c r="G1054" s="118">
        <v>0.3616435185185185</v>
      </c>
      <c r="H1054" s="118">
        <v>1.8055555555555557E-3</v>
      </c>
      <c r="I1054" s="118">
        <v>3.4722222222222224E-4</v>
      </c>
      <c r="J1054"/>
      <c r="K1054"/>
    </row>
    <row r="1055" spans="1:11" x14ac:dyDescent="0.25">
      <c r="A1055">
        <v>6</v>
      </c>
      <c r="B1055">
        <v>5</v>
      </c>
      <c r="C1055"/>
      <c r="D1055" t="s">
        <v>31</v>
      </c>
      <c r="E1055" t="s">
        <v>35</v>
      </c>
      <c r="F1055" t="s">
        <v>52</v>
      </c>
      <c r="G1055" s="118">
        <v>0.36167824074074079</v>
      </c>
      <c r="H1055" s="118">
        <v>1.0416666666666667E-3</v>
      </c>
      <c r="I1055" s="118">
        <v>3.4722222222222224E-4</v>
      </c>
      <c r="J1055"/>
      <c r="K1055"/>
    </row>
    <row r="1056" spans="1:11" x14ac:dyDescent="0.25">
      <c r="A1056">
        <v>7</v>
      </c>
      <c r="B1056">
        <v>2</v>
      </c>
      <c r="C1056"/>
      <c r="D1056" t="s">
        <v>31</v>
      </c>
      <c r="E1056" t="s">
        <v>32</v>
      </c>
      <c r="F1056" t="s">
        <v>36</v>
      </c>
      <c r="G1056" s="118">
        <v>0.36188657407407404</v>
      </c>
      <c r="H1056" s="118">
        <v>3.4722222222222224E-4</v>
      </c>
      <c r="I1056" s="118">
        <v>1.0995370370370371E-3</v>
      </c>
      <c r="J1056" s="118">
        <v>5.0462962962962961E-3</v>
      </c>
      <c r="K1056" s="118">
        <v>5.0462962962962961E-3</v>
      </c>
    </row>
    <row r="1057" spans="1:11" x14ac:dyDescent="0.25">
      <c r="A1057">
        <v>5</v>
      </c>
      <c r="B1057">
        <v>5</v>
      </c>
      <c r="C1057"/>
      <c r="D1057" t="s">
        <v>31</v>
      </c>
      <c r="E1057" t="s">
        <v>32</v>
      </c>
      <c r="F1057" t="s">
        <v>46</v>
      </c>
      <c r="G1057" s="118">
        <v>0.36199074074074072</v>
      </c>
      <c r="H1057" s="118">
        <v>3.4722222222222224E-4</v>
      </c>
      <c r="I1057" s="118">
        <v>9.1435185185185185E-4</v>
      </c>
      <c r="J1057" s="118">
        <v>5.0462962962962961E-3</v>
      </c>
      <c r="K1057" s="118">
        <v>5.0462962962962961E-3</v>
      </c>
    </row>
    <row r="1058" spans="1:11" x14ac:dyDescent="0.25">
      <c r="A1058">
        <v>6</v>
      </c>
      <c r="B1058">
        <v>5</v>
      </c>
      <c r="C1058"/>
      <c r="D1058" t="s">
        <v>31</v>
      </c>
      <c r="E1058" t="s">
        <v>32</v>
      </c>
      <c r="F1058" t="s">
        <v>52</v>
      </c>
      <c r="G1058" s="118">
        <v>0.36202546296296295</v>
      </c>
      <c r="H1058" s="118">
        <v>3.4722222222222224E-4</v>
      </c>
      <c r="I1058" s="118">
        <v>1.0532407407407407E-3</v>
      </c>
      <c r="J1058" s="118">
        <v>5.0462962962962961E-3</v>
      </c>
      <c r="K1058" s="118">
        <v>5.0462962962962961E-3</v>
      </c>
    </row>
    <row r="1059" spans="1:11" x14ac:dyDescent="0.25">
      <c r="A1059">
        <v>4</v>
      </c>
      <c r="B1059">
        <v>4</v>
      </c>
      <c r="C1059"/>
      <c r="D1059" t="s">
        <v>31</v>
      </c>
      <c r="E1059" t="s">
        <v>35</v>
      </c>
      <c r="F1059" t="s">
        <v>44</v>
      </c>
      <c r="G1059" s="118">
        <v>0.36212962962962963</v>
      </c>
      <c r="H1059" s="118">
        <v>1.0069444444444444E-3</v>
      </c>
      <c r="I1059" s="118">
        <v>3.4722222222222224E-4</v>
      </c>
      <c r="J1059"/>
      <c r="K1059"/>
    </row>
    <row r="1060" spans="1:11" x14ac:dyDescent="0.25">
      <c r="A1060">
        <v>3</v>
      </c>
      <c r="B1060">
        <v>4</v>
      </c>
      <c r="C1060"/>
      <c r="D1060" t="s">
        <v>31</v>
      </c>
      <c r="E1060" t="s">
        <v>35</v>
      </c>
      <c r="F1060" t="s">
        <v>37</v>
      </c>
      <c r="G1060" s="118">
        <v>0.36234953703703704</v>
      </c>
      <c r="H1060" s="118">
        <v>9.6064814814814808E-4</v>
      </c>
      <c r="I1060" s="118">
        <v>3.4722222222222224E-4</v>
      </c>
      <c r="J1060"/>
      <c r="K1060"/>
    </row>
    <row r="1061" spans="1:11" x14ac:dyDescent="0.25">
      <c r="A1061">
        <v>4</v>
      </c>
      <c r="B1061">
        <v>4</v>
      </c>
      <c r="C1061"/>
      <c r="D1061" t="s">
        <v>31</v>
      </c>
      <c r="E1061" t="s">
        <v>32</v>
      </c>
      <c r="F1061" t="s">
        <v>44</v>
      </c>
      <c r="G1061" s="118">
        <v>0.3624768518518518</v>
      </c>
      <c r="H1061" s="118">
        <v>3.4722222222222224E-4</v>
      </c>
      <c r="I1061" s="118">
        <v>9.2592592592592585E-4</v>
      </c>
      <c r="J1061" s="118">
        <v>5.0462962962962961E-3</v>
      </c>
      <c r="K1061" s="118">
        <v>5.0462962962962961E-3</v>
      </c>
    </row>
    <row r="1062" spans="1:11" x14ac:dyDescent="0.25">
      <c r="A1062">
        <v>1</v>
      </c>
      <c r="B1062">
        <v>4</v>
      </c>
      <c r="C1062"/>
      <c r="D1062" t="s">
        <v>31</v>
      </c>
      <c r="E1062" t="s">
        <v>35</v>
      </c>
      <c r="F1062" t="s">
        <v>34</v>
      </c>
      <c r="G1062" s="118">
        <v>0.36248842592592595</v>
      </c>
      <c r="H1062" s="118">
        <v>8.449074074074075E-4</v>
      </c>
      <c r="I1062" s="118">
        <v>3.4722222222222224E-4</v>
      </c>
      <c r="J1062"/>
      <c r="K1062"/>
    </row>
    <row r="1063" spans="1:11" x14ac:dyDescent="0.25">
      <c r="A1063">
        <v>3</v>
      </c>
      <c r="B1063">
        <v>4</v>
      </c>
      <c r="C1063"/>
      <c r="D1063" t="s">
        <v>31</v>
      </c>
      <c r="E1063" t="s">
        <v>32</v>
      </c>
      <c r="F1063" t="s">
        <v>37</v>
      </c>
      <c r="G1063" s="118">
        <v>0.3626967592592592</v>
      </c>
      <c r="H1063" s="118">
        <v>3.4722222222222224E-4</v>
      </c>
      <c r="I1063" s="118">
        <v>9.0277777777777784E-4</v>
      </c>
      <c r="J1063" s="118">
        <v>5.0462962962962961E-3</v>
      </c>
      <c r="K1063" s="118">
        <v>5.0462962962962961E-3</v>
      </c>
    </row>
    <row r="1064" spans="1:11" x14ac:dyDescent="0.25">
      <c r="A1064">
        <v>2</v>
      </c>
      <c r="B1064">
        <v>4</v>
      </c>
      <c r="C1064"/>
      <c r="D1064" t="s">
        <v>31</v>
      </c>
      <c r="E1064" t="s">
        <v>35</v>
      </c>
      <c r="F1064" t="s">
        <v>92</v>
      </c>
      <c r="G1064" s="118">
        <v>0.36274305555555553</v>
      </c>
      <c r="H1064" s="118">
        <v>1.1921296296296296E-3</v>
      </c>
      <c r="I1064" s="118">
        <v>2.0138888888888888E-3</v>
      </c>
      <c r="J1064"/>
      <c r="K1064"/>
    </row>
    <row r="1065" spans="1:11" x14ac:dyDescent="0.25">
      <c r="A1065">
        <v>1</v>
      </c>
      <c r="B1065">
        <v>4</v>
      </c>
      <c r="C1065"/>
      <c r="D1065" t="s">
        <v>31</v>
      </c>
      <c r="E1065" t="s">
        <v>32</v>
      </c>
      <c r="F1065" t="s">
        <v>34</v>
      </c>
      <c r="G1065" s="118">
        <v>0.36283564814814812</v>
      </c>
      <c r="H1065" s="118">
        <v>3.4722222222222224E-4</v>
      </c>
      <c r="I1065" s="118">
        <v>9.1435185185185185E-4</v>
      </c>
      <c r="J1065" s="118">
        <v>5.0462962962962961E-3</v>
      </c>
      <c r="K1065" s="118">
        <v>7.0717592592592594E-3</v>
      </c>
    </row>
    <row r="1066" spans="1:11" x14ac:dyDescent="0.25">
      <c r="A1066">
        <v>5</v>
      </c>
      <c r="B1066">
        <v>5</v>
      </c>
      <c r="C1066"/>
      <c r="D1066" t="s">
        <v>31</v>
      </c>
      <c r="E1066" t="s">
        <v>35</v>
      </c>
      <c r="F1066" t="s">
        <v>51</v>
      </c>
      <c r="G1066" s="118">
        <v>0.36290509259259257</v>
      </c>
      <c r="H1066" s="118">
        <v>9.1435185185185185E-4</v>
      </c>
      <c r="I1066" s="118">
        <v>3.4722222222222224E-4</v>
      </c>
      <c r="J1066"/>
      <c r="K1066"/>
    </row>
    <row r="1067" spans="1:11" x14ac:dyDescent="0.25">
      <c r="A1067">
        <v>7</v>
      </c>
      <c r="B1067">
        <v>2</v>
      </c>
      <c r="C1067"/>
      <c r="D1067" t="s">
        <v>31</v>
      </c>
      <c r="E1067" t="s">
        <v>35</v>
      </c>
      <c r="F1067" t="s">
        <v>43</v>
      </c>
      <c r="G1067" s="118">
        <v>0.36298611111111106</v>
      </c>
      <c r="H1067" s="118">
        <v>1.0995370370370371E-3</v>
      </c>
      <c r="I1067" s="118">
        <v>3.4722222222222224E-4</v>
      </c>
      <c r="J1067"/>
      <c r="K1067"/>
    </row>
    <row r="1068" spans="1:11" x14ac:dyDescent="0.25">
      <c r="A1068">
        <v>6</v>
      </c>
      <c r="B1068">
        <v>5</v>
      </c>
      <c r="C1068"/>
      <c r="D1068" t="s">
        <v>31</v>
      </c>
      <c r="E1068" t="s">
        <v>35</v>
      </c>
      <c r="F1068" t="s">
        <v>57</v>
      </c>
      <c r="G1068" s="118">
        <v>0.36307870370370371</v>
      </c>
      <c r="H1068" s="118">
        <v>1.0532407407407407E-3</v>
      </c>
      <c r="I1068" s="118">
        <v>3.4722222222222224E-4</v>
      </c>
      <c r="J1068"/>
      <c r="K1068"/>
    </row>
    <row r="1069" spans="1:11" x14ac:dyDescent="0.25">
      <c r="A1069">
        <v>5</v>
      </c>
      <c r="B1069">
        <v>5</v>
      </c>
      <c r="C1069"/>
      <c r="D1069" t="s">
        <v>31</v>
      </c>
      <c r="E1069" t="s">
        <v>32</v>
      </c>
      <c r="F1069" t="s">
        <v>51</v>
      </c>
      <c r="G1069" s="118">
        <v>0.36325231481481479</v>
      </c>
      <c r="H1069" s="118">
        <v>3.4722222222222224E-4</v>
      </c>
      <c r="I1069" s="118">
        <v>1.0069444444444444E-3</v>
      </c>
      <c r="J1069" s="118">
        <v>5.0462962962962961E-3</v>
      </c>
      <c r="K1069" s="118">
        <v>5.0462962962962961E-3</v>
      </c>
    </row>
    <row r="1070" spans="1:11" x14ac:dyDescent="0.25">
      <c r="A1070">
        <v>7</v>
      </c>
      <c r="B1070">
        <v>2</v>
      </c>
      <c r="C1070"/>
      <c r="D1070" t="s">
        <v>31</v>
      </c>
      <c r="E1070" t="s">
        <v>32</v>
      </c>
      <c r="F1070" t="s">
        <v>43</v>
      </c>
      <c r="G1070" s="118">
        <v>0.36333333333333334</v>
      </c>
      <c r="H1070" s="118">
        <v>3.4722222222222224E-4</v>
      </c>
      <c r="I1070" s="118">
        <v>1.1458333333333333E-3</v>
      </c>
      <c r="J1070" s="118">
        <v>5.0462962962962961E-3</v>
      </c>
      <c r="K1070" s="118">
        <v>5.0462962962962961E-3</v>
      </c>
    </row>
    <row r="1071" spans="1:11" x14ac:dyDescent="0.25">
      <c r="A1071">
        <v>4</v>
      </c>
      <c r="B1071">
        <v>4</v>
      </c>
      <c r="C1071"/>
      <c r="D1071" t="s">
        <v>31</v>
      </c>
      <c r="E1071" t="s">
        <v>35</v>
      </c>
      <c r="F1071" t="s">
        <v>49</v>
      </c>
      <c r="G1071" s="118">
        <v>0.36340277777777774</v>
      </c>
      <c r="H1071" s="118">
        <v>9.2592592592592585E-4</v>
      </c>
      <c r="I1071" s="118">
        <v>3.4722222222222224E-4</v>
      </c>
      <c r="J1071"/>
      <c r="K1071"/>
    </row>
    <row r="1072" spans="1:11" x14ac:dyDescent="0.25">
      <c r="A1072">
        <v>6</v>
      </c>
      <c r="B1072">
        <v>5</v>
      </c>
      <c r="C1072"/>
      <c r="D1072" t="s">
        <v>31</v>
      </c>
      <c r="E1072" t="s">
        <v>32</v>
      </c>
      <c r="F1072" t="s">
        <v>57</v>
      </c>
      <c r="G1072" s="118">
        <v>0.36342592592592587</v>
      </c>
      <c r="H1072" s="118">
        <v>3.4722222222222224E-4</v>
      </c>
      <c r="I1072" s="118">
        <v>9.3750000000000007E-4</v>
      </c>
      <c r="J1072" s="118">
        <v>5.0462962962962961E-3</v>
      </c>
      <c r="K1072" s="118">
        <v>5.0462962962962961E-3</v>
      </c>
    </row>
    <row r="1073" spans="1:11" x14ac:dyDescent="0.25">
      <c r="A1073">
        <v>3</v>
      </c>
      <c r="B1073">
        <v>4</v>
      </c>
      <c r="C1073"/>
      <c r="D1073" t="s">
        <v>31</v>
      </c>
      <c r="E1073" t="s">
        <v>35</v>
      </c>
      <c r="F1073" t="s">
        <v>42</v>
      </c>
      <c r="G1073" s="118">
        <v>0.36359953703703707</v>
      </c>
      <c r="H1073" s="118">
        <v>9.0277777777777784E-4</v>
      </c>
      <c r="I1073" s="118">
        <v>3.4722222222222224E-4</v>
      </c>
      <c r="J1073"/>
      <c r="K1073"/>
    </row>
    <row r="1074" spans="1:11" x14ac:dyDescent="0.25">
      <c r="A1074">
        <v>1</v>
      </c>
      <c r="B1074">
        <v>4</v>
      </c>
      <c r="C1074"/>
      <c r="D1074" t="s">
        <v>31</v>
      </c>
      <c r="E1074" t="s">
        <v>35</v>
      </c>
      <c r="F1074" t="s">
        <v>38</v>
      </c>
      <c r="G1074" s="118">
        <v>0.36375000000000002</v>
      </c>
      <c r="H1074" s="118">
        <v>9.1435185185185185E-4</v>
      </c>
      <c r="I1074" s="118">
        <v>3.4722222222222224E-4</v>
      </c>
      <c r="J1074"/>
      <c r="K1074"/>
    </row>
    <row r="1075" spans="1:11" x14ac:dyDescent="0.25">
      <c r="A1075">
        <v>4</v>
      </c>
      <c r="B1075">
        <v>4</v>
      </c>
      <c r="C1075"/>
      <c r="D1075" t="s">
        <v>31</v>
      </c>
      <c r="E1075" t="s">
        <v>32</v>
      </c>
      <c r="F1075" t="s">
        <v>49</v>
      </c>
      <c r="G1075" s="118">
        <v>0.36375000000000002</v>
      </c>
      <c r="H1075" s="118">
        <v>3.4722222222222224E-4</v>
      </c>
      <c r="I1075" s="118">
        <v>1.3541666666666667E-3</v>
      </c>
      <c r="J1075" s="118">
        <v>5.0462962962962961E-3</v>
      </c>
      <c r="K1075" s="118">
        <v>5.0462962962962961E-3</v>
      </c>
    </row>
    <row r="1076" spans="1:11" x14ac:dyDescent="0.25">
      <c r="A1076">
        <v>3</v>
      </c>
      <c r="B1076">
        <v>4</v>
      </c>
      <c r="C1076"/>
      <c r="D1076" t="s">
        <v>31</v>
      </c>
      <c r="E1076" t="s">
        <v>32</v>
      </c>
      <c r="F1076" t="s">
        <v>42</v>
      </c>
      <c r="G1076" s="118">
        <v>0.36394675925925929</v>
      </c>
      <c r="H1076" s="118">
        <v>3.4722222222222224E-4</v>
      </c>
      <c r="I1076" s="118">
        <v>9.1435185185185185E-4</v>
      </c>
      <c r="J1076" s="118">
        <v>5.0462962962962961E-3</v>
      </c>
      <c r="K1076" s="118">
        <v>5.0462962962962961E-3</v>
      </c>
    </row>
    <row r="1077" spans="1:11" x14ac:dyDescent="0.25">
      <c r="A1077">
        <v>1</v>
      </c>
      <c r="B1077">
        <v>4</v>
      </c>
      <c r="C1077"/>
      <c r="D1077" t="s">
        <v>31</v>
      </c>
      <c r="E1077" t="s">
        <v>32</v>
      </c>
      <c r="F1077" t="s">
        <v>38</v>
      </c>
      <c r="G1077" s="118">
        <v>0.36409722222222224</v>
      </c>
      <c r="H1077" s="118">
        <v>3.4722222222222224E-4</v>
      </c>
      <c r="I1077" s="118">
        <v>1.2384259259259258E-3</v>
      </c>
      <c r="J1077" s="118">
        <v>5.0462962962962961E-3</v>
      </c>
      <c r="K1077" s="118">
        <v>7.0717592592592594E-3</v>
      </c>
    </row>
    <row r="1078" spans="1:11" x14ac:dyDescent="0.25">
      <c r="A1078">
        <v>5</v>
      </c>
      <c r="B1078">
        <v>5</v>
      </c>
      <c r="C1078"/>
      <c r="D1078" t="s">
        <v>31</v>
      </c>
      <c r="E1078" t="s">
        <v>35</v>
      </c>
      <c r="F1078" t="s">
        <v>55</v>
      </c>
      <c r="G1078" s="118">
        <v>0.36425925925925928</v>
      </c>
      <c r="H1078" s="118">
        <v>1.0069444444444444E-3</v>
      </c>
      <c r="I1078" s="118">
        <v>4.6296296296296293E-4</v>
      </c>
      <c r="J1078"/>
      <c r="K1078"/>
    </row>
    <row r="1079" spans="1:11" x14ac:dyDescent="0.25">
      <c r="A1079">
        <v>6</v>
      </c>
      <c r="B1079">
        <v>5</v>
      </c>
      <c r="C1079"/>
      <c r="D1079" t="s">
        <v>31</v>
      </c>
      <c r="E1079" t="s">
        <v>35</v>
      </c>
      <c r="F1079" t="s">
        <v>39</v>
      </c>
      <c r="G1079" s="118">
        <v>0.36436342592592591</v>
      </c>
      <c r="H1079" s="118">
        <v>9.3750000000000007E-4</v>
      </c>
      <c r="I1079" s="118">
        <v>5.2083333333333333E-4</v>
      </c>
      <c r="J1079"/>
      <c r="K1079"/>
    </row>
    <row r="1080" spans="1:11" x14ac:dyDescent="0.25">
      <c r="A1080">
        <v>7</v>
      </c>
      <c r="B1080">
        <v>2</v>
      </c>
      <c r="C1080"/>
      <c r="D1080" t="s">
        <v>31</v>
      </c>
      <c r="E1080" t="s">
        <v>35</v>
      </c>
      <c r="F1080" t="s">
        <v>50</v>
      </c>
      <c r="G1080" s="118">
        <v>0.36447916666666669</v>
      </c>
      <c r="H1080" s="118">
        <v>1.1458333333333333E-3</v>
      </c>
      <c r="I1080" s="118">
        <v>3.4722222222222224E-4</v>
      </c>
      <c r="J1080"/>
      <c r="K1080"/>
    </row>
    <row r="1081" spans="1:11" x14ac:dyDescent="0.25">
      <c r="A1081">
        <v>5</v>
      </c>
      <c r="B1081">
        <v>5</v>
      </c>
      <c r="C1081"/>
      <c r="D1081" t="s">
        <v>31</v>
      </c>
      <c r="E1081" t="s">
        <v>32</v>
      </c>
      <c r="F1081" t="s">
        <v>55</v>
      </c>
      <c r="G1081" s="118">
        <v>0.36472222222222223</v>
      </c>
      <c r="H1081" s="118">
        <v>4.6296296296296293E-4</v>
      </c>
      <c r="I1081" s="118">
        <v>4.3981481481481481E-4</v>
      </c>
      <c r="J1081" s="118">
        <v>5.0462962962962961E-3</v>
      </c>
      <c r="K1081" s="118">
        <v>5.0462962962962961E-3</v>
      </c>
    </row>
    <row r="1082" spans="1:11" x14ac:dyDescent="0.25">
      <c r="A1082">
        <v>2</v>
      </c>
      <c r="B1082">
        <v>5</v>
      </c>
      <c r="C1082"/>
      <c r="D1082" t="s">
        <v>31</v>
      </c>
      <c r="E1082" t="s">
        <v>32</v>
      </c>
      <c r="F1082" t="s">
        <v>92</v>
      </c>
      <c r="G1082" s="118">
        <v>0.36475694444444445</v>
      </c>
      <c r="H1082" s="118">
        <v>2.0138888888888888E-3</v>
      </c>
      <c r="I1082" s="118">
        <v>1.0069444444444444E-3</v>
      </c>
      <c r="J1082" s="118">
        <v>7.0717592592592594E-3</v>
      </c>
      <c r="K1082" s="118">
        <v>7.0717592592592594E-3</v>
      </c>
    </row>
    <row r="1083" spans="1:11" x14ac:dyDescent="0.25">
      <c r="A1083">
        <v>7</v>
      </c>
      <c r="B1083">
        <v>2</v>
      </c>
      <c r="C1083"/>
      <c r="D1083" t="s">
        <v>31</v>
      </c>
      <c r="E1083" t="s">
        <v>32</v>
      </c>
      <c r="F1083" t="s">
        <v>50</v>
      </c>
      <c r="G1083" s="118">
        <v>0.36482638888888891</v>
      </c>
      <c r="H1083" s="118">
        <v>3.4722222222222224E-4</v>
      </c>
      <c r="I1083" s="118">
        <v>1.261574074074074E-3</v>
      </c>
      <c r="J1083" s="118">
        <v>5.0462962962962961E-3</v>
      </c>
      <c r="K1083" s="118">
        <v>5.0462962962962961E-3</v>
      </c>
    </row>
    <row r="1084" spans="1:11" x14ac:dyDescent="0.25">
      <c r="A1084">
        <v>3</v>
      </c>
      <c r="B1084">
        <v>4</v>
      </c>
      <c r="C1084"/>
      <c r="D1084" t="s">
        <v>31</v>
      </c>
      <c r="E1084" t="s">
        <v>35</v>
      </c>
      <c r="F1084" t="s">
        <v>48</v>
      </c>
      <c r="G1084" s="118">
        <v>0.36486111111111108</v>
      </c>
      <c r="H1084" s="118">
        <v>9.1435185185185185E-4</v>
      </c>
      <c r="I1084" s="118">
        <v>5.2083333333333333E-4</v>
      </c>
      <c r="J1084"/>
      <c r="K1084"/>
    </row>
    <row r="1085" spans="1:11" x14ac:dyDescent="0.25">
      <c r="A1085">
        <v>6</v>
      </c>
      <c r="B1085">
        <v>5</v>
      </c>
      <c r="C1085"/>
      <c r="D1085" t="s">
        <v>31</v>
      </c>
      <c r="E1085" t="s">
        <v>32</v>
      </c>
      <c r="F1085" t="s">
        <v>39</v>
      </c>
      <c r="G1085" s="118">
        <v>0.36488425925925921</v>
      </c>
      <c r="H1085" s="118">
        <v>5.2083333333333333E-4</v>
      </c>
      <c r="I1085" s="118">
        <v>1.8055555555555557E-3</v>
      </c>
      <c r="J1085" s="118">
        <v>5.0462962962962961E-3</v>
      </c>
      <c r="K1085" s="118">
        <v>5.0462962962962961E-3</v>
      </c>
    </row>
    <row r="1086" spans="1:11" x14ac:dyDescent="0.25">
      <c r="A1086">
        <v>4</v>
      </c>
      <c r="B1086">
        <v>4</v>
      </c>
      <c r="C1086"/>
      <c r="D1086" t="s">
        <v>31</v>
      </c>
      <c r="E1086" t="s">
        <v>35</v>
      </c>
      <c r="F1086" t="s">
        <v>33</v>
      </c>
      <c r="G1086" s="118">
        <v>0.36510416666666662</v>
      </c>
      <c r="H1086" s="118">
        <v>1.3541666666666667E-3</v>
      </c>
      <c r="I1086" s="118">
        <v>5.2083333333333333E-4</v>
      </c>
      <c r="J1086"/>
      <c r="K1086"/>
    </row>
    <row r="1087" spans="1:11" x14ac:dyDescent="0.25">
      <c r="A1087">
        <v>5</v>
      </c>
      <c r="B1087">
        <v>5</v>
      </c>
      <c r="C1087"/>
      <c r="D1087" t="s">
        <v>31</v>
      </c>
      <c r="E1087" t="s">
        <v>35</v>
      </c>
      <c r="F1087" t="s">
        <v>58</v>
      </c>
      <c r="G1087" s="118">
        <v>0.36516203703703703</v>
      </c>
      <c r="H1087" s="118">
        <v>4.3981481481481481E-4</v>
      </c>
      <c r="I1087" s="118">
        <v>5.7870370370370366E-5</v>
      </c>
      <c r="J1087"/>
      <c r="K1087"/>
    </row>
    <row r="1088" spans="1:11" x14ac:dyDescent="0.25">
      <c r="A1088">
        <v>5</v>
      </c>
      <c r="B1088">
        <v>5</v>
      </c>
      <c r="C1088"/>
      <c r="D1088" t="s">
        <v>31</v>
      </c>
      <c r="E1088" t="s">
        <v>32</v>
      </c>
      <c r="F1088" t="s">
        <v>58</v>
      </c>
      <c r="G1088" s="118">
        <v>0.3652199074074074</v>
      </c>
      <c r="H1088" s="118">
        <v>5.7870370370370366E-5</v>
      </c>
      <c r="I1088" s="118">
        <v>4.8611111111111104E-4</v>
      </c>
      <c r="J1088" s="118">
        <v>5.0462962962962961E-3</v>
      </c>
      <c r="K1088" s="118">
        <v>5.0462962962962961E-3</v>
      </c>
    </row>
    <row r="1089" spans="1:11" x14ac:dyDescent="0.25">
      <c r="A1089">
        <v>1</v>
      </c>
      <c r="B1089">
        <v>4</v>
      </c>
      <c r="C1089"/>
      <c r="D1089" t="s">
        <v>31</v>
      </c>
      <c r="E1089" t="s">
        <v>35</v>
      </c>
      <c r="F1089" t="s">
        <v>45</v>
      </c>
      <c r="G1089" s="118">
        <v>0.36533564814814817</v>
      </c>
      <c r="H1089" s="118">
        <v>1.2384259259259258E-3</v>
      </c>
      <c r="I1089" s="118">
        <v>3.4722222222222224E-4</v>
      </c>
      <c r="J1089"/>
      <c r="K1089"/>
    </row>
    <row r="1090" spans="1:11" x14ac:dyDescent="0.25">
      <c r="A1090">
        <v>3</v>
      </c>
      <c r="B1090">
        <v>4</v>
      </c>
      <c r="C1090"/>
      <c r="D1090" t="s">
        <v>31</v>
      </c>
      <c r="E1090" t="s">
        <v>32</v>
      </c>
      <c r="F1090" t="s">
        <v>48</v>
      </c>
      <c r="G1090" s="118">
        <v>0.36538194444444444</v>
      </c>
      <c r="H1090" s="118">
        <v>5.2083333333333333E-4</v>
      </c>
      <c r="I1090" s="118">
        <v>8.6805555555555551E-4</v>
      </c>
      <c r="J1090" s="118">
        <v>5.0462962962962961E-3</v>
      </c>
      <c r="K1090" s="118">
        <v>5.0462962962962961E-3</v>
      </c>
    </row>
    <row r="1091" spans="1:11" x14ac:dyDescent="0.25">
      <c r="A1091">
        <v>4</v>
      </c>
      <c r="B1091">
        <v>4</v>
      </c>
      <c r="C1091"/>
      <c r="D1091" t="s">
        <v>31</v>
      </c>
      <c r="E1091" t="s">
        <v>32</v>
      </c>
      <c r="F1091" t="s">
        <v>33</v>
      </c>
      <c r="G1091" s="118">
        <v>0.36562500000000003</v>
      </c>
      <c r="H1091" s="118">
        <v>5.2083333333333333E-4</v>
      </c>
      <c r="I1091" s="118">
        <v>9.6064814814814808E-4</v>
      </c>
      <c r="J1091" s="118">
        <v>5.0462962962962961E-3</v>
      </c>
      <c r="K1091" s="118">
        <v>5.0462962962962961E-3</v>
      </c>
    </row>
    <row r="1092" spans="1:11" x14ac:dyDescent="0.25">
      <c r="A1092">
        <v>1</v>
      </c>
      <c r="B1092">
        <v>4</v>
      </c>
      <c r="C1092"/>
      <c r="D1092" t="s">
        <v>31</v>
      </c>
      <c r="E1092" t="s">
        <v>32</v>
      </c>
      <c r="F1092" t="s">
        <v>45</v>
      </c>
      <c r="G1092" s="118">
        <v>0.36568287037037034</v>
      </c>
      <c r="H1092" s="118">
        <v>3.4722222222222224E-4</v>
      </c>
      <c r="I1092" s="118">
        <v>1.0416666666666667E-3</v>
      </c>
      <c r="J1092" s="118">
        <v>5.0462962962962961E-3</v>
      </c>
      <c r="K1092" s="118">
        <v>7.0717592592592594E-3</v>
      </c>
    </row>
    <row r="1093" spans="1:11" x14ac:dyDescent="0.25">
      <c r="A1093">
        <v>5</v>
      </c>
      <c r="B1093">
        <v>5</v>
      </c>
      <c r="C1093"/>
      <c r="D1093" t="s">
        <v>31</v>
      </c>
      <c r="E1093" t="s">
        <v>35</v>
      </c>
      <c r="F1093" t="s">
        <v>40</v>
      </c>
      <c r="G1093" s="118">
        <v>0.36570601851851853</v>
      </c>
      <c r="H1093" s="118">
        <v>4.8611111111111104E-4</v>
      </c>
      <c r="I1093" s="118">
        <v>4.6296296296296293E-4</v>
      </c>
      <c r="J1093"/>
      <c r="K1093"/>
    </row>
    <row r="1094" spans="1:11" x14ac:dyDescent="0.25">
      <c r="A1094">
        <v>2</v>
      </c>
      <c r="B1094">
        <v>5</v>
      </c>
      <c r="C1094"/>
      <c r="D1094" t="s">
        <v>31</v>
      </c>
      <c r="E1094" t="s">
        <v>35</v>
      </c>
      <c r="F1094" t="s">
        <v>41</v>
      </c>
      <c r="G1094" s="118">
        <v>0.36576388888888894</v>
      </c>
      <c r="H1094" s="118">
        <v>1.0069444444444444E-3</v>
      </c>
      <c r="I1094" s="118">
        <v>3.4722222222222224E-4</v>
      </c>
      <c r="J1094"/>
      <c r="K1094"/>
    </row>
    <row r="1095" spans="1:11" x14ac:dyDescent="0.25">
      <c r="A1095">
        <v>7</v>
      </c>
      <c r="B1095">
        <v>2</v>
      </c>
      <c r="C1095"/>
      <c r="D1095" t="s">
        <v>31</v>
      </c>
      <c r="E1095" t="s">
        <v>35</v>
      </c>
      <c r="F1095" t="s">
        <v>56</v>
      </c>
      <c r="G1095" s="118">
        <v>0.36608796296296298</v>
      </c>
      <c r="H1095" s="118">
        <v>1.261574074074074E-3</v>
      </c>
      <c r="I1095" s="118">
        <v>3.4722222222222224E-4</v>
      </c>
      <c r="J1095"/>
      <c r="K1095"/>
    </row>
    <row r="1096" spans="1:11" x14ac:dyDescent="0.25">
      <c r="A1096">
        <v>2</v>
      </c>
      <c r="B1096">
        <v>5</v>
      </c>
      <c r="C1096"/>
      <c r="D1096" t="s">
        <v>31</v>
      </c>
      <c r="E1096" t="s">
        <v>32</v>
      </c>
      <c r="F1096" t="s">
        <v>41</v>
      </c>
      <c r="G1096" s="118">
        <v>0.36611111111111111</v>
      </c>
      <c r="H1096" s="118">
        <v>3.4722222222222224E-4</v>
      </c>
      <c r="I1096" s="118">
        <v>8.564814814814815E-4</v>
      </c>
      <c r="J1096" s="118">
        <v>7.0717592592592594E-3</v>
      </c>
      <c r="K1096" s="118">
        <v>7.0717592592592594E-3</v>
      </c>
    </row>
    <row r="1097" spans="1:11" x14ac:dyDescent="0.25">
      <c r="A1097">
        <v>5</v>
      </c>
      <c r="B1097">
        <v>5</v>
      </c>
      <c r="C1097"/>
      <c r="D1097" t="s">
        <v>31</v>
      </c>
      <c r="E1097" t="s">
        <v>32</v>
      </c>
      <c r="F1097" t="s">
        <v>40</v>
      </c>
      <c r="G1097" s="118">
        <v>0.36616898148148147</v>
      </c>
      <c r="H1097" s="118">
        <v>4.6296296296296293E-4</v>
      </c>
      <c r="I1097" s="118">
        <v>1.0069444444444444E-3</v>
      </c>
      <c r="J1097" s="118">
        <v>5.0462962962962961E-3</v>
      </c>
      <c r="K1097" s="118">
        <v>5.0462962962962961E-3</v>
      </c>
    </row>
    <row r="1098" spans="1:11" x14ac:dyDescent="0.25">
      <c r="A1098">
        <v>3</v>
      </c>
      <c r="B1098">
        <v>4</v>
      </c>
      <c r="C1098"/>
      <c r="D1098" t="s">
        <v>31</v>
      </c>
      <c r="E1098" t="s">
        <v>35</v>
      </c>
      <c r="F1098" t="s">
        <v>54</v>
      </c>
      <c r="G1098" s="118">
        <v>0.36624999999999996</v>
      </c>
      <c r="H1098" s="118">
        <v>8.6805555555555551E-4</v>
      </c>
      <c r="I1098" s="118">
        <v>3.4722222222222224E-4</v>
      </c>
      <c r="J1098"/>
      <c r="K1098"/>
    </row>
    <row r="1099" spans="1:11" x14ac:dyDescent="0.25">
      <c r="A1099">
        <v>7</v>
      </c>
      <c r="B1099">
        <v>2</v>
      </c>
      <c r="C1099"/>
      <c r="D1099" t="s">
        <v>31</v>
      </c>
      <c r="E1099" t="s">
        <v>32</v>
      </c>
      <c r="F1099" t="s">
        <v>56</v>
      </c>
      <c r="G1099" s="118">
        <v>0.3664351851851852</v>
      </c>
      <c r="H1099" s="118">
        <v>3.4722222222222224E-4</v>
      </c>
      <c r="I1099" s="118">
        <v>9.6064814814814808E-4</v>
      </c>
      <c r="J1099" s="118">
        <v>5.0462962962962961E-3</v>
      </c>
      <c r="K1099" s="118">
        <v>5.0462962962962961E-3</v>
      </c>
    </row>
    <row r="1100" spans="1:11" x14ac:dyDescent="0.25">
      <c r="A1100">
        <v>4</v>
      </c>
      <c r="B1100">
        <v>4</v>
      </c>
      <c r="C1100"/>
      <c r="D1100" t="s">
        <v>31</v>
      </c>
      <c r="E1100" t="s">
        <v>35</v>
      </c>
      <c r="F1100" t="s">
        <v>36</v>
      </c>
      <c r="G1100" s="118">
        <v>0.36658564814814815</v>
      </c>
      <c r="H1100" s="118">
        <v>9.6064814814814808E-4</v>
      </c>
      <c r="I1100" s="118">
        <v>3.4722222222222224E-4</v>
      </c>
      <c r="J1100"/>
      <c r="K1100"/>
    </row>
    <row r="1101" spans="1:11" x14ac:dyDescent="0.25">
      <c r="A1101">
        <v>3</v>
      </c>
      <c r="B1101">
        <v>4</v>
      </c>
      <c r="C1101"/>
      <c r="D1101" t="s">
        <v>31</v>
      </c>
      <c r="E1101" t="s">
        <v>32</v>
      </c>
      <c r="F1101" t="s">
        <v>54</v>
      </c>
      <c r="G1101" s="118">
        <v>0.36659722222222224</v>
      </c>
      <c r="H1101" s="118">
        <v>3.4722222222222224E-4</v>
      </c>
      <c r="I1101" s="118">
        <v>1.7592592592592592E-3</v>
      </c>
      <c r="J1101" s="118">
        <v>5.0462962962962961E-3</v>
      </c>
      <c r="K1101" s="118">
        <v>5.0462962962962961E-3</v>
      </c>
    </row>
    <row r="1102" spans="1:11" x14ac:dyDescent="0.25">
      <c r="A1102">
        <v>6</v>
      </c>
      <c r="B1102">
        <v>5</v>
      </c>
      <c r="C1102"/>
      <c r="D1102" t="s">
        <v>31</v>
      </c>
      <c r="E1102" t="s">
        <v>35</v>
      </c>
      <c r="F1102" t="s">
        <v>46</v>
      </c>
      <c r="G1102" s="118">
        <v>0.36668981481481483</v>
      </c>
      <c r="H1102" s="118">
        <v>1.8055555555555557E-3</v>
      </c>
      <c r="I1102" s="118">
        <v>3.4722222222222224E-4</v>
      </c>
      <c r="J1102"/>
      <c r="K1102"/>
    </row>
    <row r="1103" spans="1:11" x14ac:dyDescent="0.25">
      <c r="A1103">
        <v>1</v>
      </c>
      <c r="B1103">
        <v>4</v>
      </c>
      <c r="C1103"/>
      <c r="D1103" t="s">
        <v>31</v>
      </c>
      <c r="E1103" t="s">
        <v>35</v>
      </c>
      <c r="F1103" t="s">
        <v>52</v>
      </c>
      <c r="G1103" s="118">
        <v>0.36672453703703706</v>
      </c>
      <c r="H1103" s="118">
        <v>1.0416666666666667E-3</v>
      </c>
      <c r="I1103" s="118">
        <v>3.4722222222222224E-4</v>
      </c>
      <c r="J1103"/>
      <c r="K1103"/>
    </row>
    <row r="1104" spans="1:11" x14ac:dyDescent="0.25">
      <c r="A1104">
        <v>4</v>
      </c>
      <c r="B1104">
        <v>4</v>
      </c>
      <c r="C1104"/>
      <c r="D1104" t="s">
        <v>31</v>
      </c>
      <c r="E1104" t="s">
        <v>32</v>
      </c>
      <c r="F1104" t="s">
        <v>36</v>
      </c>
      <c r="G1104" s="118">
        <v>0.36693287037037042</v>
      </c>
      <c r="H1104" s="118">
        <v>3.4722222222222224E-4</v>
      </c>
      <c r="I1104" s="118">
        <v>1.0995370370370371E-3</v>
      </c>
      <c r="J1104" s="118">
        <v>5.0462962962962961E-3</v>
      </c>
      <c r="K1104" s="118">
        <v>5.0462962962962961E-3</v>
      </c>
    </row>
    <row r="1105" spans="1:11" x14ac:dyDescent="0.25">
      <c r="A1105">
        <v>2</v>
      </c>
      <c r="B1105">
        <v>5</v>
      </c>
      <c r="C1105"/>
      <c r="D1105" t="s">
        <v>31</v>
      </c>
      <c r="E1105" t="s">
        <v>35</v>
      </c>
      <c r="F1105" t="s">
        <v>47</v>
      </c>
      <c r="G1105" s="118">
        <v>0.3669675925925926</v>
      </c>
      <c r="H1105" s="118">
        <v>8.564814814814815E-4</v>
      </c>
      <c r="I1105" s="118">
        <v>5.2083333333333333E-4</v>
      </c>
      <c r="J1105"/>
      <c r="K1105"/>
    </row>
    <row r="1106" spans="1:11" x14ac:dyDescent="0.25">
      <c r="A1106">
        <v>6</v>
      </c>
      <c r="B1106">
        <v>5</v>
      </c>
      <c r="C1106"/>
      <c r="D1106" t="s">
        <v>31</v>
      </c>
      <c r="E1106" t="s">
        <v>32</v>
      </c>
      <c r="F1106" t="s">
        <v>46</v>
      </c>
      <c r="G1106" s="118">
        <v>0.36703703703703705</v>
      </c>
      <c r="H1106" s="118">
        <v>3.4722222222222224E-4</v>
      </c>
      <c r="I1106" s="118">
        <v>9.1435185185185185E-4</v>
      </c>
      <c r="J1106" s="118">
        <v>5.0462962962962961E-3</v>
      </c>
      <c r="K1106" s="118">
        <v>5.0462962962962961E-3</v>
      </c>
    </row>
    <row r="1107" spans="1:11" x14ac:dyDescent="0.25">
      <c r="A1107">
        <v>1</v>
      </c>
      <c r="B1107">
        <v>4</v>
      </c>
      <c r="C1107"/>
      <c r="D1107" t="s">
        <v>31</v>
      </c>
      <c r="E1107" t="s">
        <v>32</v>
      </c>
      <c r="F1107" t="s">
        <v>52</v>
      </c>
      <c r="G1107" s="118">
        <v>0.36707175925925922</v>
      </c>
      <c r="H1107" s="118">
        <v>3.4722222222222224E-4</v>
      </c>
      <c r="I1107" s="118">
        <v>1.0532407407407407E-3</v>
      </c>
      <c r="J1107" s="118">
        <v>5.0462962962962961E-3</v>
      </c>
      <c r="K1107" s="118">
        <v>7.0717592592592594E-3</v>
      </c>
    </row>
    <row r="1108" spans="1:11" x14ac:dyDescent="0.25">
      <c r="A1108">
        <v>5</v>
      </c>
      <c r="B1108">
        <v>5</v>
      </c>
      <c r="C1108"/>
      <c r="D1108" t="s">
        <v>31</v>
      </c>
      <c r="E1108" t="s">
        <v>35</v>
      </c>
      <c r="F1108" t="s">
        <v>44</v>
      </c>
      <c r="G1108" s="118">
        <v>0.36717592592592596</v>
      </c>
      <c r="H1108" s="118">
        <v>1.0069444444444444E-3</v>
      </c>
      <c r="I1108" s="118">
        <v>3.4722222222222224E-4</v>
      </c>
      <c r="J1108"/>
      <c r="K1108"/>
    </row>
    <row r="1109" spans="1:11" x14ac:dyDescent="0.25">
      <c r="A1109">
        <v>7</v>
      </c>
      <c r="B1109">
        <v>2</v>
      </c>
      <c r="C1109"/>
      <c r="D1109" t="s">
        <v>31</v>
      </c>
      <c r="E1109" t="s">
        <v>35</v>
      </c>
      <c r="F1109" t="s">
        <v>37</v>
      </c>
      <c r="G1109" s="118">
        <v>0.36739583333333337</v>
      </c>
      <c r="H1109" s="118">
        <v>9.6064814814814808E-4</v>
      </c>
      <c r="I1109" s="118">
        <v>3.4722222222222224E-4</v>
      </c>
      <c r="J1109"/>
      <c r="K1109"/>
    </row>
    <row r="1110" spans="1:11" x14ac:dyDescent="0.25">
      <c r="A1110">
        <v>2</v>
      </c>
      <c r="B1110">
        <v>5</v>
      </c>
      <c r="C1110"/>
      <c r="D1110" t="s">
        <v>31</v>
      </c>
      <c r="E1110" t="s">
        <v>32</v>
      </c>
      <c r="F1110" t="s">
        <v>47</v>
      </c>
      <c r="G1110" s="118">
        <v>0.3674884259259259</v>
      </c>
      <c r="H1110" s="118">
        <v>5.2083333333333333E-4</v>
      </c>
      <c r="I1110" s="118">
        <v>8.7962962962962962E-4</v>
      </c>
      <c r="J1110" s="118">
        <v>7.0717592592592594E-3</v>
      </c>
      <c r="K1110" s="118">
        <v>7.0717592592592594E-3</v>
      </c>
    </row>
    <row r="1111" spans="1:11" x14ac:dyDescent="0.25">
      <c r="A1111">
        <v>5</v>
      </c>
      <c r="B1111">
        <v>5</v>
      </c>
      <c r="C1111"/>
      <c r="D1111" t="s">
        <v>31</v>
      </c>
      <c r="E1111" t="s">
        <v>32</v>
      </c>
      <c r="F1111" t="s">
        <v>44</v>
      </c>
      <c r="G1111" s="118">
        <v>0.36752314814814818</v>
      </c>
      <c r="H1111" s="118">
        <v>3.4722222222222224E-4</v>
      </c>
      <c r="I1111" s="118">
        <v>9.2592592592592585E-4</v>
      </c>
      <c r="J1111" s="118">
        <v>5.0462962962962961E-3</v>
      </c>
      <c r="K1111" s="118">
        <v>5.0462962962962961E-3</v>
      </c>
    </row>
    <row r="1112" spans="1:11" x14ac:dyDescent="0.25">
      <c r="A1112">
        <v>7</v>
      </c>
      <c r="B1112">
        <v>2</v>
      </c>
      <c r="C1112"/>
      <c r="D1112" t="s">
        <v>31</v>
      </c>
      <c r="E1112" t="s">
        <v>32</v>
      </c>
      <c r="F1112" t="s">
        <v>37</v>
      </c>
      <c r="G1112" s="118">
        <v>0.36774305555555559</v>
      </c>
      <c r="H1112" s="118">
        <v>3.4722222222222224E-4</v>
      </c>
      <c r="I1112" s="118">
        <v>9.0277777777777784E-4</v>
      </c>
      <c r="J1112" s="118">
        <v>5.0462962962962961E-3</v>
      </c>
      <c r="K1112" s="118">
        <v>5.0462962962962961E-3</v>
      </c>
    </row>
    <row r="1113" spans="1:11" x14ac:dyDescent="0.25">
      <c r="A1113">
        <v>6</v>
      </c>
      <c r="B1113">
        <v>5</v>
      </c>
      <c r="C1113"/>
      <c r="D1113" t="s">
        <v>31</v>
      </c>
      <c r="E1113" t="s">
        <v>35</v>
      </c>
      <c r="F1113" t="s">
        <v>51</v>
      </c>
      <c r="G1113" s="118">
        <v>0.36795138888888884</v>
      </c>
      <c r="H1113" s="118">
        <v>9.1435185185185185E-4</v>
      </c>
      <c r="I1113" s="118">
        <v>3.4722222222222224E-4</v>
      </c>
      <c r="J1113"/>
      <c r="K1113"/>
    </row>
    <row r="1114" spans="1:11" x14ac:dyDescent="0.25">
      <c r="A1114">
        <v>4</v>
      </c>
      <c r="B1114">
        <v>4</v>
      </c>
      <c r="C1114"/>
      <c r="D1114" t="s">
        <v>31</v>
      </c>
      <c r="E1114" t="s">
        <v>35</v>
      </c>
      <c r="F1114" t="s">
        <v>43</v>
      </c>
      <c r="G1114" s="118">
        <v>0.36803240740740745</v>
      </c>
      <c r="H1114" s="118">
        <v>1.0995370370370371E-3</v>
      </c>
      <c r="I1114" s="118">
        <v>3.4722222222222224E-4</v>
      </c>
      <c r="J1114"/>
      <c r="K1114"/>
    </row>
    <row r="1115" spans="1:11" x14ac:dyDescent="0.25">
      <c r="A1115">
        <v>1</v>
      </c>
      <c r="B1115">
        <v>4</v>
      </c>
      <c r="C1115"/>
      <c r="D1115" t="s">
        <v>31</v>
      </c>
      <c r="E1115" t="s">
        <v>35</v>
      </c>
      <c r="F1115" t="s">
        <v>57</v>
      </c>
      <c r="G1115" s="118">
        <v>0.36812500000000004</v>
      </c>
      <c r="H1115" s="118">
        <v>1.0532407407407407E-3</v>
      </c>
      <c r="I1115" s="118">
        <v>3.4722222222222224E-4</v>
      </c>
      <c r="J1115"/>
      <c r="K1115"/>
    </row>
    <row r="1116" spans="1:11" x14ac:dyDescent="0.25">
      <c r="A1116">
        <v>6</v>
      </c>
      <c r="B1116">
        <v>5</v>
      </c>
      <c r="C1116"/>
      <c r="D1116" t="s">
        <v>31</v>
      </c>
      <c r="E1116" t="s">
        <v>32</v>
      </c>
      <c r="F1116" t="s">
        <v>51</v>
      </c>
      <c r="G1116" s="118">
        <v>0.36829861111111112</v>
      </c>
      <c r="H1116" s="118">
        <v>3.4722222222222224E-4</v>
      </c>
      <c r="I1116" s="118">
        <v>1.0069444444444444E-3</v>
      </c>
      <c r="J1116" s="118">
        <v>5.0462962962962961E-3</v>
      </c>
      <c r="K1116" s="118">
        <v>5.0462962962962961E-3</v>
      </c>
    </row>
    <row r="1117" spans="1:11" x14ac:dyDescent="0.25">
      <c r="A1117">
        <v>3</v>
      </c>
      <c r="B1117">
        <v>4</v>
      </c>
      <c r="C1117"/>
      <c r="D1117" t="s">
        <v>31</v>
      </c>
      <c r="E1117" t="s">
        <v>35</v>
      </c>
      <c r="F1117" t="s">
        <v>92</v>
      </c>
      <c r="G1117" s="118">
        <v>0.36835648148148148</v>
      </c>
      <c r="H1117" s="118">
        <v>1.7592592592592592E-3</v>
      </c>
      <c r="I1117" s="118">
        <v>3.472222222222222E-3</v>
      </c>
      <c r="J1117"/>
      <c r="K1117"/>
    </row>
    <row r="1118" spans="1:11" x14ac:dyDescent="0.25">
      <c r="A1118">
        <v>2</v>
      </c>
      <c r="B1118">
        <v>5</v>
      </c>
      <c r="C1118"/>
      <c r="D1118" t="s">
        <v>31</v>
      </c>
      <c r="E1118" t="s">
        <v>35</v>
      </c>
      <c r="F1118" t="s">
        <v>53</v>
      </c>
      <c r="G1118" s="118">
        <v>0.36836805555555557</v>
      </c>
      <c r="H1118" s="118">
        <v>8.7962962962962962E-4</v>
      </c>
      <c r="I1118" s="118">
        <v>3.4722222222222224E-4</v>
      </c>
      <c r="J1118"/>
      <c r="K1118"/>
    </row>
    <row r="1119" spans="1:11" x14ac:dyDescent="0.25">
      <c r="A1119">
        <v>4</v>
      </c>
      <c r="B1119">
        <v>4</v>
      </c>
      <c r="C1119"/>
      <c r="D1119" t="s">
        <v>31</v>
      </c>
      <c r="E1119" t="s">
        <v>32</v>
      </c>
      <c r="F1119" t="s">
        <v>43</v>
      </c>
      <c r="G1119" s="118">
        <v>0.36837962962962961</v>
      </c>
      <c r="H1119" s="118">
        <v>3.4722222222222224E-4</v>
      </c>
      <c r="I1119" s="118">
        <v>1.1458333333333333E-3</v>
      </c>
      <c r="J1119" s="118">
        <v>5.0462962962962961E-3</v>
      </c>
      <c r="K1119" s="118">
        <v>5.0462962962962961E-3</v>
      </c>
    </row>
    <row r="1120" spans="1:11" x14ac:dyDescent="0.25">
      <c r="A1120">
        <v>5</v>
      </c>
      <c r="B1120">
        <v>5</v>
      </c>
      <c r="C1120"/>
      <c r="D1120" t="s">
        <v>31</v>
      </c>
      <c r="E1120" t="s">
        <v>35</v>
      </c>
      <c r="F1120" t="s">
        <v>49</v>
      </c>
      <c r="G1120" s="118">
        <v>0.36844907407407407</v>
      </c>
      <c r="H1120" s="118">
        <v>9.2592592592592585E-4</v>
      </c>
      <c r="I1120" s="118">
        <v>3.4722222222222224E-4</v>
      </c>
      <c r="J1120"/>
      <c r="K1120"/>
    </row>
    <row r="1121" spans="1:11" x14ac:dyDescent="0.25">
      <c r="A1121">
        <v>1</v>
      </c>
      <c r="B1121">
        <v>4</v>
      </c>
      <c r="C1121"/>
      <c r="D1121" t="s">
        <v>31</v>
      </c>
      <c r="E1121" t="s">
        <v>32</v>
      </c>
      <c r="F1121" t="s">
        <v>57</v>
      </c>
      <c r="G1121" s="118">
        <v>0.36847222222222226</v>
      </c>
      <c r="H1121" s="118">
        <v>3.4722222222222224E-4</v>
      </c>
      <c r="I1121" s="118">
        <v>9.3750000000000007E-4</v>
      </c>
      <c r="J1121" s="118">
        <v>5.0462962962962961E-3</v>
      </c>
      <c r="K1121" s="118">
        <v>7.0717592592592594E-3</v>
      </c>
    </row>
    <row r="1122" spans="1:11" x14ac:dyDescent="0.25">
      <c r="A1122">
        <v>7</v>
      </c>
      <c r="B1122">
        <v>2</v>
      </c>
      <c r="C1122"/>
      <c r="D1122" t="s">
        <v>31</v>
      </c>
      <c r="E1122" t="s">
        <v>35</v>
      </c>
      <c r="F1122" t="s">
        <v>42</v>
      </c>
      <c r="G1122" s="118">
        <v>0.36864583333333334</v>
      </c>
      <c r="H1122" s="118">
        <v>9.0277777777777784E-4</v>
      </c>
      <c r="I1122" s="118">
        <v>3.4722222222222224E-4</v>
      </c>
      <c r="J1122"/>
      <c r="K1122"/>
    </row>
    <row r="1123" spans="1:11" x14ac:dyDescent="0.25">
      <c r="A1123">
        <v>2</v>
      </c>
      <c r="B1123">
        <v>5</v>
      </c>
      <c r="C1123"/>
      <c r="D1123" t="s">
        <v>31</v>
      </c>
      <c r="E1123" t="s">
        <v>32</v>
      </c>
      <c r="F1123" t="s">
        <v>53</v>
      </c>
      <c r="G1123" s="118">
        <v>0.36871527777777779</v>
      </c>
      <c r="H1123" s="118">
        <v>3.4722222222222224E-4</v>
      </c>
      <c r="I1123" s="118">
        <v>8.449074074074075E-4</v>
      </c>
      <c r="J1123" s="118">
        <v>7.0717592592592594E-3</v>
      </c>
      <c r="K1123" s="118">
        <v>7.0717592592592594E-3</v>
      </c>
    </row>
    <row r="1124" spans="1:11" x14ac:dyDescent="0.25">
      <c r="A1124">
        <v>5</v>
      </c>
      <c r="B1124">
        <v>5</v>
      </c>
      <c r="C1124"/>
      <c r="D1124" t="s">
        <v>31</v>
      </c>
      <c r="E1124" t="s">
        <v>32</v>
      </c>
      <c r="F1124" t="s">
        <v>49</v>
      </c>
      <c r="G1124" s="118">
        <v>0.36879629629629629</v>
      </c>
      <c r="H1124" s="118">
        <v>3.4722222222222224E-4</v>
      </c>
      <c r="I1124" s="118">
        <v>1.3541666666666667E-3</v>
      </c>
      <c r="J1124" s="118">
        <v>5.0462962962962961E-3</v>
      </c>
      <c r="K1124" s="118">
        <v>5.0462962962962961E-3</v>
      </c>
    </row>
    <row r="1125" spans="1:11" x14ac:dyDescent="0.25">
      <c r="A1125">
        <v>7</v>
      </c>
      <c r="B1125">
        <v>2</v>
      </c>
      <c r="C1125"/>
      <c r="D1125" t="s">
        <v>31</v>
      </c>
      <c r="E1125" t="s">
        <v>32</v>
      </c>
      <c r="F1125" t="s">
        <v>42</v>
      </c>
      <c r="G1125" s="118">
        <v>0.36899305555555556</v>
      </c>
      <c r="H1125" s="118">
        <v>3.4722222222222224E-4</v>
      </c>
      <c r="I1125" s="118">
        <v>9.1435185185185185E-4</v>
      </c>
      <c r="J1125" s="118">
        <v>5.0462962962962961E-3</v>
      </c>
      <c r="K1125" s="118">
        <v>5.0462962962962961E-3</v>
      </c>
    </row>
    <row r="1126" spans="1:11" x14ac:dyDescent="0.25">
      <c r="A1126">
        <v>6</v>
      </c>
      <c r="B1126">
        <v>5</v>
      </c>
      <c r="C1126"/>
      <c r="D1126" t="s">
        <v>31</v>
      </c>
      <c r="E1126" t="s">
        <v>35</v>
      </c>
      <c r="F1126" t="s">
        <v>55</v>
      </c>
      <c r="G1126" s="118">
        <v>0.36930555555555555</v>
      </c>
      <c r="H1126" s="118">
        <v>1.0069444444444444E-3</v>
      </c>
      <c r="I1126" s="118">
        <v>4.6296296296296293E-4</v>
      </c>
      <c r="J1126"/>
      <c r="K1126"/>
    </row>
    <row r="1127" spans="1:11" x14ac:dyDescent="0.25">
      <c r="A1127">
        <v>1</v>
      </c>
      <c r="B1127">
        <v>4</v>
      </c>
      <c r="C1127"/>
      <c r="D1127" t="s">
        <v>31</v>
      </c>
      <c r="E1127" t="s">
        <v>35</v>
      </c>
      <c r="F1127" t="s">
        <v>39</v>
      </c>
      <c r="G1127" s="118">
        <v>0.36940972222222218</v>
      </c>
      <c r="H1127" s="118">
        <v>9.3750000000000007E-4</v>
      </c>
      <c r="I1127" s="118">
        <v>5.2083333333333333E-4</v>
      </c>
      <c r="J1127"/>
      <c r="K1127"/>
    </row>
    <row r="1128" spans="1:11" x14ac:dyDescent="0.25">
      <c r="A1128">
        <v>4</v>
      </c>
      <c r="B1128">
        <v>4</v>
      </c>
      <c r="C1128"/>
      <c r="D1128" t="s">
        <v>31</v>
      </c>
      <c r="E1128" t="s">
        <v>35</v>
      </c>
      <c r="F1128" t="s">
        <v>50</v>
      </c>
      <c r="G1128" s="118">
        <v>0.36952546296296296</v>
      </c>
      <c r="H1128" s="118">
        <v>1.1458333333333333E-3</v>
      </c>
      <c r="I1128" s="118">
        <v>3.4722222222222224E-4</v>
      </c>
      <c r="J1128"/>
      <c r="K1128"/>
    </row>
    <row r="1129" spans="1:11" x14ac:dyDescent="0.25">
      <c r="A1129">
        <v>2</v>
      </c>
      <c r="B1129">
        <v>5</v>
      </c>
      <c r="C1129"/>
      <c r="D1129" t="s">
        <v>31</v>
      </c>
      <c r="E1129" t="s">
        <v>35</v>
      </c>
      <c r="F1129" t="s">
        <v>34</v>
      </c>
      <c r="G1129" s="118">
        <v>0.36956018518518513</v>
      </c>
      <c r="H1129" s="118">
        <v>8.449074074074075E-4</v>
      </c>
      <c r="I1129" s="118">
        <v>3.4722222222222224E-4</v>
      </c>
      <c r="J1129"/>
      <c r="K1129"/>
    </row>
    <row r="1130" spans="1:11" x14ac:dyDescent="0.25">
      <c r="A1130">
        <v>6</v>
      </c>
      <c r="B1130">
        <v>5</v>
      </c>
      <c r="C1130"/>
      <c r="D1130" t="s">
        <v>31</v>
      </c>
      <c r="E1130" t="s">
        <v>32</v>
      </c>
      <c r="F1130" t="s">
        <v>55</v>
      </c>
      <c r="G1130" s="118">
        <v>0.3697685185185185</v>
      </c>
      <c r="H1130" s="118">
        <v>4.6296296296296293E-4</v>
      </c>
      <c r="I1130" s="118">
        <v>4.3981481481481481E-4</v>
      </c>
      <c r="J1130" s="118">
        <v>5.0462962962962961E-3</v>
      </c>
      <c r="K1130" s="118">
        <v>5.0462962962962961E-3</v>
      </c>
    </row>
    <row r="1131" spans="1:11" x14ac:dyDescent="0.25">
      <c r="A1131">
        <v>4</v>
      </c>
      <c r="B1131">
        <v>4</v>
      </c>
      <c r="C1131"/>
      <c r="D1131" t="s">
        <v>31</v>
      </c>
      <c r="E1131" t="s">
        <v>32</v>
      </c>
      <c r="F1131" t="s">
        <v>50</v>
      </c>
      <c r="G1131" s="118">
        <v>0.36987268518518518</v>
      </c>
      <c r="H1131" s="118">
        <v>3.4722222222222224E-4</v>
      </c>
      <c r="I1131" s="118">
        <v>1.261574074074074E-3</v>
      </c>
      <c r="J1131" s="118">
        <v>5.0462962962962961E-3</v>
      </c>
      <c r="K1131" s="118">
        <v>5.0462962962962961E-3</v>
      </c>
    </row>
    <row r="1132" spans="1:11" x14ac:dyDescent="0.25">
      <c r="A1132">
        <v>2</v>
      </c>
      <c r="B1132">
        <v>5</v>
      </c>
      <c r="C1132"/>
      <c r="D1132" t="s">
        <v>31</v>
      </c>
      <c r="E1132" t="s">
        <v>32</v>
      </c>
      <c r="F1132" t="s">
        <v>34</v>
      </c>
      <c r="G1132" s="118">
        <v>0.36990740740740741</v>
      </c>
      <c r="H1132" s="118">
        <v>3.4722222222222224E-4</v>
      </c>
      <c r="I1132" s="118">
        <v>9.1435185185185185E-4</v>
      </c>
      <c r="J1132" s="118">
        <v>7.0717592592592594E-3</v>
      </c>
      <c r="K1132" s="118">
        <v>7.0717592592592594E-3</v>
      </c>
    </row>
    <row r="1133" spans="1:11" x14ac:dyDescent="0.25">
      <c r="A1133">
        <v>7</v>
      </c>
      <c r="B1133">
        <v>2</v>
      </c>
      <c r="C1133"/>
      <c r="D1133" t="s">
        <v>31</v>
      </c>
      <c r="E1133" t="s">
        <v>35</v>
      </c>
      <c r="F1133" t="s">
        <v>48</v>
      </c>
      <c r="G1133" s="118">
        <v>0.36990740740740741</v>
      </c>
      <c r="H1133" s="118">
        <v>9.1435185185185185E-4</v>
      </c>
      <c r="I1133" s="118">
        <v>5.2083333333333333E-4</v>
      </c>
      <c r="J1133"/>
      <c r="K1133"/>
    </row>
    <row r="1134" spans="1:11" x14ac:dyDescent="0.25">
      <c r="A1134">
        <v>1</v>
      </c>
      <c r="B1134">
        <v>4</v>
      </c>
      <c r="C1134"/>
      <c r="D1134" t="s">
        <v>31</v>
      </c>
      <c r="E1134" t="s">
        <v>32</v>
      </c>
      <c r="F1134" t="s">
        <v>39</v>
      </c>
      <c r="G1134" s="118">
        <v>0.3699305555555556</v>
      </c>
      <c r="H1134" s="118">
        <v>5.2083333333333333E-4</v>
      </c>
      <c r="I1134" s="118">
        <v>1.8055555555555557E-3</v>
      </c>
      <c r="J1134" s="118">
        <v>5.0462962962962961E-3</v>
      </c>
      <c r="K1134" s="118">
        <v>7.0717592592592594E-3</v>
      </c>
    </row>
    <row r="1135" spans="1:11" x14ac:dyDescent="0.25">
      <c r="A1135">
        <v>5</v>
      </c>
      <c r="B1135">
        <v>5</v>
      </c>
      <c r="C1135"/>
      <c r="D1135" t="s">
        <v>31</v>
      </c>
      <c r="E1135" t="s">
        <v>35</v>
      </c>
      <c r="F1135" t="s">
        <v>33</v>
      </c>
      <c r="G1135" s="118">
        <v>0.370150462962963</v>
      </c>
      <c r="H1135" s="118">
        <v>1.3541666666666667E-3</v>
      </c>
      <c r="I1135" s="118">
        <v>5.2083333333333333E-4</v>
      </c>
      <c r="J1135"/>
      <c r="K1135"/>
    </row>
    <row r="1136" spans="1:11" x14ac:dyDescent="0.25">
      <c r="A1136">
        <v>6</v>
      </c>
      <c r="B1136">
        <v>5</v>
      </c>
      <c r="C1136"/>
      <c r="D1136" t="s">
        <v>31</v>
      </c>
      <c r="E1136" t="s">
        <v>35</v>
      </c>
      <c r="F1136" t="s">
        <v>58</v>
      </c>
      <c r="G1136" s="118">
        <v>0.37020833333333331</v>
      </c>
      <c r="H1136" s="118">
        <v>4.3981481481481481E-4</v>
      </c>
      <c r="I1136" s="118">
        <v>5.7870370370370366E-5</v>
      </c>
      <c r="J1136"/>
      <c r="K1136"/>
    </row>
    <row r="1137" spans="1:11" x14ac:dyDescent="0.25">
      <c r="A1137">
        <v>6</v>
      </c>
      <c r="B1137">
        <v>5</v>
      </c>
      <c r="C1137"/>
      <c r="D1137" t="s">
        <v>31</v>
      </c>
      <c r="E1137" t="s">
        <v>32</v>
      </c>
      <c r="F1137" t="s">
        <v>58</v>
      </c>
      <c r="G1137" s="118">
        <v>0.37026620370370367</v>
      </c>
      <c r="H1137" s="118">
        <v>5.7870370370370366E-5</v>
      </c>
      <c r="I1137" s="118">
        <v>4.8611111111111104E-4</v>
      </c>
      <c r="J1137" s="118">
        <v>5.0462962962962961E-3</v>
      </c>
      <c r="K1137" s="118">
        <v>5.0462962962962961E-3</v>
      </c>
    </row>
    <row r="1138" spans="1:11" x14ac:dyDescent="0.25">
      <c r="A1138">
        <v>7</v>
      </c>
      <c r="B1138">
        <v>2</v>
      </c>
      <c r="C1138"/>
      <c r="D1138" t="s">
        <v>31</v>
      </c>
      <c r="E1138" t="s">
        <v>32</v>
      </c>
      <c r="F1138" t="s">
        <v>48</v>
      </c>
      <c r="G1138" s="118">
        <v>0.37042824074074071</v>
      </c>
      <c r="H1138" s="118">
        <v>5.2083333333333333E-4</v>
      </c>
      <c r="I1138" s="118">
        <v>8.6805555555555551E-4</v>
      </c>
      <c r="J1138" s="118">
        <v>5.0462962962962961E-3</v>
      </c>
      <c r="K1138" s="118">
        <v>5.0462962962962961E-3</v>
      </c>
    </row>
    <row r="1139" spans="1:11" x14ac:dyDescent="0.25">
      <c r="A1139">
        <v>5</v>
      </c>
      <c r="B1139">
        <v>5</v>
      </c>
      <c r="C1139"/>
      <c r="D1139" t="s">
        <v>31</v>
      </c>
      <c r="E1139" t="s">
        <v>32</v>
      </c>
      <c r="F1139" t="s">
        <v>33</v>
      </c>
      <c r="G1139" s="118">
        <v>0.3706712962962963</v>
      </c>
      <c r="H1139" s="118">
        <v>5.2083333333333333E-4</v>
      </c>
      <c r="I1139" s="118">
        <v>9.6064814814814808E-4</v>
      </c>
      <c r="J1139" s="118">
        <v>5.0462962962962961E-3</v>
      </c>
      <c r="K1139" s="118">
        <v>5.0462962962962961E-3</v>
      </c>
    </row>
    <row r="1140" spans="1:11" x14ac:dyDescent="0.25">
      <c r="A1140">
        <v>6</v>
      </c>
      <c r="B1140">
        <v>5</v>
      </c>
      <c r="C1140"/>
      <c r="D1140" t="s">
        <v>31</v>
      </c>
      <c r="E1140" t="s">
        <v>35</v>
      </c>
      <c r="F1140" t="s">
        <v>40</v>
      </c>
      <c r="G1140" s="118">
        <v>0.3707523148148148</v>
      </c>
      <c r="H1140" s="118">
        <v>4.8611111111111104E-4</v>
      </c>
      <c r="I1140" s="118">
        <v>4.6296296296296293E-4</v>
      </c>
      <c r="J1140"/>
      <c r="K1140"/>
    </row>
    <row r="1141" spans="1:11" x14ac:dyDescent="0.25">
      <c r="A1141">
        <v>2</v>
      </c>
      <c r="B1141">
        <v>5</v>
      </c>
      <c r="C1141"/>
      <c r="D1141" t="s">
        <v>31</v>
      </c>
      <c r="E1141" t="s">
        <v>35</v>
      </c>
      <c r="F1141" t="s">
        <v>38</v>
      </c>
      <c r="G1141" s="118">
        <v>0.37082175925925925</v>
      </c>
      <c r="H1141" s="118">
        <v>9.1435185185185185E-4</v>
      </c>
      <c r="I1141" s="118">
        <v>3.4722222222222224E-4</v>
      </c>
      <c r="J1141"/>
      <c r="K1141"/>
    </row>
    <row r="1142" spans="1:11" x14ac:dyDescent="0.25">
      <c r="A1142">
        <v>4</v>
      </c>
      <c r="B1142">
        <v>4</v>
      </c>
      <c r="C1142"/>
      <c r="D1142" t="s">
        <v>31</v>
      </c>
      <c r="E1142" t="s">
        <v>35</v>
      </c>
      <c r="F1142" t="s">
        <v>56</v>
      </c>
      <c r="G1142" s="118">
        <v>0.37113425925925925</v>
      </c>
      <c r="H1142" s="118">
        <v>1.261574074074074E-3</v>
      </c>
      <c r="I1142" s="118">
        <v>3.4722222222222224E-4</v>
      </c>
      <c r="J1142"/>
      <c r="K1142"/>
    </row>
    <row r="1143" spans="1:11" x14ac:dyDescent="0.25">
      <c r="A1143">
        <v>2</v>
      </c>
      <c r="B1143">
        <v>5</v>
      </c>
      <c r="C1143"/>
      <c r="D1143" t="s">
        <v>31</v>
      </c>
      <c r="E1143" t="s">
        <v>32</v>
      </c>
      <c r="F1143" t="s">
        <v>38</v>
      </c>
      <c r="G1143" s="118">
        <v>0.37116898148148153</v>
      </c>
      <c r="H1143" s="118">
        <v>3.4722222222222224E-4</v>
      </c>
      <c r="I1143" s="118">
        <v>1.2384259259259258E-3</v>
      </c>
      <c r="J1143" s="118">
        <v>7.0717592592592594E-3</v>
      </c>
      <c r="K1143" s="118">
        <v>7.0717592592592594E-3</v>
      </c>
    </row>
    <row r="1144" spans="1:11" x14ac:dyDescent="0.25">
      <c r="A1144">
        <v>6</v>
      </c>
      <c r="B1144">
        <v>5</v>
      </c>
      <c r="C1144"/>
      <c r="D1144" t="s">
        <v>31</v>
      </c>
      <c r="E1144" t="s">
        <v>32</v>
      </c>
      <c r="F1144" t="s">
        <v>40</v>
      </c>
      <c r="G1144" s="118">
        <v>0.37121527777777774</v>
      </c>
      <c r="H1144" s="118">
        <v>4.6296296296296293E-4</v>
      </c>
      <c r="I1144" s="118">
        <v>1.0069444444444444E-3</v>
      </c>
      <c r="J1144" s="118">
        <v>5.0462962962962961E-3</v>
      </c>
      <c r="K1144" s="118">
        <v>5.0462962962962961E-3</v>
      </c>
    </row>
    <row r="1145" spans="1:11" x14ac:dyDescent="0.25">
      <c r="A1145">
        <v>7</v>
      </c>
      <c r="B1145">
        <v>2</v>
      </c>
      <c r="C1145"/>
      <c r="D1145" t="s">
        <v>31</v>
      </c>
      <c r="E1145" t="s">
        <v>35</v>
      </c>
      <c r="F1145" t="s">
        <v>54</v>
      </c>
      <c r="G1145" s="118">
        <v>0.37129629629629629</v>
      </c>
      <c r="H1145" s="118">
        <v>8.6805555555555551E-4</v>
      </c>
      <c r="I1145" s="118">
        <v>3.4722222222222224E-4</v>
      </c>
      <c r="J1145"/>
      <c r="K1145"/>
    </row>
    <row r="1146" spans="1:11" x14ac:dyDescent="0.25">
      <c r="A1146">
        <v>4</v>
      </c>
      <c r="B1146">
        <v>4</v>
      </c>
      <c r="C1146"/>
      <c r="D1146" t="s">
        <v>31</v>
      </c>
      <c r="E1146" t="s">
        <v>32</v>
      </c>
      <c r="F1146" t="s">
        <v>56</v>
      </c>
      <c r="G1146" s="118">
        <v>0.37148148148148147</v>
      </c>
      <c r="H1146" s="118">
        <v>3.4722222222222224E-4</v>
      </c>
      <c r="I1146" s="118">
        <v>9.6064814814814808E-4</v>
      </c>
      <c r="J1146" s="118">
        <v>5.0462962962962961E-3</v>
      </c>
      <c r="K1146" s="118">
        <v>5.0462962962962961E-3</v>
      </c>
    </row>
    <row r="1147" spans="1:11" x14ac:dyDescent="0.25">
      <c r="A1147">
        <v>5</v>
      </c>
      <c r="B1147">
        <v>5</v>
      </c>
      <c r="C1147"/>
      <c r="D1147" t="s">
        <v>31</v>
      </c>
      <c r="E1147" t="s">
        <v>35</v>
      </c>
      <c r="F1147" t="s">
        <v>36</v>
      </c>
      <c r="G1147" s="118">
        <v>0.37163194444444447</v>
      </c>
      <c r="H1147" s="118">
        <v>9.6064814814814808E-4</v>
      </c>
      <c r="I1147" s="118">
        <v>3.4722222222222224E-4</v>
      </c>
      <c r="J1147"/>
      <c r="K1147"/>
    </row>
    <row r="1148" spans="1:11" x14ac:dyDescent="0.25">
      <c r="A1148">
        <v>7</v>
      </c>
      <c r="B1148">
        <v>2</v>
      </c>
      <c r="C1148"/>
      <c r="D1148" t="s">
        <v>31</v>
      </c>
      <c r="E1148" t="s">
        <v>32</v>
      </c>
      <c r="F1148" t="s">
        <v>54</v>
      </c>
      <c r="G1148" s="118">
        <v>0.37164351851851851</v>
      </c>
      <c r="H1148" s="118">
        <v>3.4722222222222224E-4</v>
      </c>
      <c r="I1148" s="118">
        <v>1.1921296296296296E-3</v>
      </c>
      <c r="J1148" s="118">
        <v>5.0462962962962961E-3</v>
      </c>
      <c r="K1148" s="118">
        <v>5.0462962962962961E-3</v>
      </c>
    </row>
    <row r="1149" spans="1:11" x14ac:dyDescent="0.25">
      <c r="A1149">
        <v>1</v>
      </c>
      <c r="B1149">
        <v>4</v>
      </c>
      <c r="C1149"/>
      <c r="D1149" t="s">
        <v>31</v>
      </c>
      <c r="E1149" t="s">
        <v>35</v>
      </c>
      <c r="F1149" t="s">
        <v>46</v>
      </c>
      <c r="G1149" s="118">
        <v>0.3717361111111111</v>
      </c>
      <c r="H1149" s="118">
        <v>1.8055555555555557E-3</v>
      </c>
      <c r="I1149" s="118">
        <v>3.4722222222222224E-4</v>
      </c>
      <c r="J1149"/>
      <c r="K1149"/>
    </row>
    <row r="1150" spans="1:11" x14ac:dyDescent="0.25">
      <c r="A1150">
        <v>3</v>
      </c>
      <c r="B1150">
        <v>5</v>
      </c>
      <c r="C1150"/>
      <c r="D1150" t="s">
        <v>31</v>
      </c>
      <c r="E1150" t="s">
        <v>32</v>
      </c>
      <c r="F1150" t="s">
        <v>92</v>
      </c>
      <c r="G1150" s="118">
        <v>0.37182870370370374</v>
      </c>
      <c r="H1150" s="118">
        <v>3.472222222222222E-3</v>
      </c>
      <c r="I1150" s="118">
        <v>1.0069444444444444E-3</v>
      </c>
      <c r="J1150" s="118">
        <v>7.0717592592592594E-3</v>
      </c>
      <c r="K1150" s="118">
        <v>7.0717592592592594E-3</v>
      </c>
    </row>
    <row r="1151" spans="1:11" x14ac:dyDescent="0.25">
      <c r="A1151">
        <v>5</v>
      </c>
      <c r="B1151">
        <v>5</v>
      </c>
      <c r="C1151"/>
      <c r="D1151" t="s">
        <v>31</v>
      </c>
      <c r="E1151" t="s">
        <v>32</v>
      </c>
      <c r="F1151" t="s">
        <v>36</v>
      </c>
      <c r="G1151" s="118">
        <v>0.37197916666666669</v>
      </c>
      <c r="H1151" s="118">
        <v>3.4722222222222224E-4</v>
      </c>
      <c r="I1151" s="118">
        <v>1.0995370370370371E-3</v>
      </c>
      <c r="J1151" s="118">
        <v>5.0462962962962961E-3</v>
      </c>
      <c r="K1151" s="118">
        <v>5.0462962962962961E-3</v>
      </c>
    </row>
    <row r="1152" spans="1:11" x14ac:dyDescent="0.25">
      <c r="A1152">
        <v>1</v>
      </c>
      <c r="B1152">
        <v>4</v>
      </c>
      <c r="C1152"/>
      <c r="D1152" t="s">
        <v>31</v>
      </c>
      <c r="E1152" t="s">
        <v>32</v>
      </c>
      <c r="F1152" t="s">
        <v>46</v>
      </c>
      <c r="G1152" s="118">
        <v>0.37208333333333332</v>
      </c>
      <c r="H1152" s="118">
        <v>3.4722222222222224E-4</v>
      </c>
      <c r="I1152" s="118">
        <v>9.1435185185185185E-4</v>
      </c>
      <c r="J1152" s="118">
        <v>5.0462962962962961E-3</v>
      </c>
      <c r="K1152" s="118">
        <v>7.0717592592592594E-3</v>
      </c>
    </row>
    <row r="1153" spans="1:11" x14ac:dyDescent="0.25">
      <c r="A1153">
        <v>6</v>
      </c>
      <c r="B1153">
        <v>5</v>
      </c>
      <c r="C1153"/>
      <c r="D1153" t="s">
        <v>31</v>
      </c>
      <c r="E1153" t="s">
        <v>35</v>
      </c>
      <c r="F1153" t="s">
        <v>44</v>
      </c>
      <c r="G1153" s="118">
        <v>0.37222222222222223</v>
      </c>
      <c r="H1153" s="118">
        <v>1.0069444444444444E-3</v>
      </c>
      <c r="I1153" s="118">
        <v>3.4722222222222224E-4</v>
      </c>
      <c r="J1153"/>
      <c r="K1153"/>
    </row>
    <row r="1154" spans="1:11" x14ac:dyDescent="0.25">
      <c r="A1154">
        <v>2</v>
      </c>
      <c r="B1154">
        <v>5</v>
      </c>
      <c r="C1154"/>
      <c r="D1154" t="s">
        <v>31</v>
      </c>
      <c r="E1154" t="s">
        <v>35</v>
      </c>
      <c r="F1154" t="s">
        <v>45</v>
      </c>
      <c r="G1154" s="118">
        <v>0.37240740740740735</v>
      </c>
      <c r="H1154" s="118">
        <v>1.2384259259259258E-3</v>
      </c>
      <c r="I1154" s="118">
        <v>3.4722222222222224E-4</v>
      </c>
      <c r="J1154"/>
      <c r="K1154"/>
    </row>
    <row r="1155" spans="1:11" x14ac:dyDescent="0.25">
      <c r="A1155">
        <v>4</v>
      </c>
      <c r="B1155">
        <v>4</v>
      </c>
      <c r="C1155"/>
      <c r="D1155" t="s">
        <v>31</v>
      </c>
      <c r="E1155" t="s">
        <v>35</v>
      </c>
      <c r="F1155" t="s">
        <v>37</v>
      </c>
      <c r="G1155" s="118">
        <v>0.37244212962962964</v>
      </c>
      <c r="H1155" s="118">
        <v>9.6064814814814808E-4</v>
      </c>
      <c r="I1155" s="118">
        <v>3.4722222222222224E-4</v>
      </c>
      <c r="J1155"/>
      <c r="K1155"/>
    </row>
    <row r="1156" spans="1:11" x14ac:dyDescent="0.25">
      <c r="A1156">
        <v>6</v>
      </c>
      <c r="B1156">
        <v>5</v>
      </c>
      <c r="C1156"/>
      <c r="D1156" t="s">
        <v>31</v>
      </c>
      <c r="E1156" t="s">
        <v>32</v>
      </c>
      <c r="F1156" t="s">
        <v>44</v>
      </c>
      <c r="G1156" s="118">
        <v>0.37256944444444445</v>
      </c>
      <c r="H1156" s="118">
        <v>3.4722222222222224E-4</v>
      </c>
      <c r="I1156" s="118">
        <v>9.2592592592592585E-4</v>
      </c>
      <c r="J1156" s="118">
        <v>5.0462962962962961E-3</v>
      </c>
      <c r="K1156" s="118">
        <v>5.0462962962962961E-3</v>
      </c>
    </row>
    <row r="1157" spans="1:11" x14ac:dyDescent="0.25">
      <c r="A1157">
        <v>2</v>
      </c>
      <c r="B1157">
        <v>5</v>
      </c>
      <c r="C1157"/>
      <c r="D1157" t="s">
        <v>31</v>
      </c>
      <c r="E1157" t="s">
        <v>32</v>
      </c>
      <c r="F1157" t="s">
        <v>45</v>
      </c>
      <c r="G1157" s="118">
        <v>0.37275462962962963</v>
      </c>
      <c r="H1157" s="118">
        <v>3.4722222222222224E-4</v>
      </c>
      <c r="I1157" s="118">
        <v>1.0416666666666667E-3</v>
      </c>
      <c r="J1157" s="118">
        <v>7.0717592592592594E-3</v>
      </c>
      <c r="K1157" s="118">
        <v>7.0717592592592594E-3</v>
      </c>
    </row>
    <row r="1158" spans="1:11" x14ac:dyDescent="0.25">
      <c r="A1158">
        <v>4</v>
      </c>
      <c r="B1158">
        <v>4</v>
      </c>
      <c r="C1158"/>
      <c r="D1158" t="s">
        <v>31</v>
      </c>
      <c r="E1158" t="s">
        <v>32</v>
      </c>
      <c r="F1158" t="s">
        <v>37</v>
      </c>
      <c r="G1158" s="118">
        <v>0.37278935185185186</v>
      </c>
      <c r="H1158" s="118">
        <v>3.4722222222222224E-4</v>
      </c>
      <c r="I1158" s="118">
        <v>9.0277777777777784E-4</v>
      </c>
      <c r="J1158" s="118">
        <v>5.0462962962962961E-3</v>
      </c>
      <c r="K1158" s="118">
        <v>5.0462962962962961E-3</v>
      </c>
    </row>
    <row r="1159" spans="1:11" x14ac:dyDescent="0.25">
      <c r="A1159">
        <v>3</v>
      </c>
      <c r="B1159">
        <v>5</v>
      </c>
      <c r="C1159"/>
      <c r="D1159" t="s">
        <v>31</v>
      </c>
      <c r="E1159" t="s">
        <v>35</v>
      </c>
      <c r="F1159" t="s">
        <v>41</v>
      </c>
      <c r="G1159" s="118">
        <v>0.37283564814814812</v>
      </c>
      <c r="H1159" s="118">
        <v>1.0069444444444444E-3</v>
      </c>
      <c r="I1159" s="118">
        <v>3.4722222222222224E-4</v>
      </c>
      <c r="J1159"/>
      <c r="K1159"/>
    </row>
    <row r="1160" spans="1:11" x14ac:dyDescent="0.25">
      <c r="A1160">
        <v>7</v>
      </c>
      <c r="B1160">
        <v>2</v>
      </c>
      <c r="C1160"/>
      <c r="D1160" t="s">
        <v>31</v>
      </c>
      <c r="E1160" t="s">
        <v>35</v>
      </c>
      <c r="F1160" t="s">
        <v>92</v>
      </c>
      <c r="G1160" s="118">
        <v>0.37283564814814812</v>
      </c>
      <c r="H1160" s="118">
        <v>1.1921296296296296E-3</v>
      </c>
      <c r="I1160"/>
      <c r="J1160"/>
      <c r="K1160"/>
    </row>
    <row r="1161" spans="1:11" x14ac:dyDescent="0.25">
      <c r="A1161">
        <v>1</v>
      </c>
      <c r="B1161">
        <v>4</v>
      </c>
      <c r="C1161"/>
      <c r="D1161" t="s">
        <v>31</v>
      </c>
      <c r="E1161" t="s">
        <v>35</v>
      </c>
      <c r="F1161" t="s">
        <v>51</v>
      </c>
      <c r="G1161" s="118">
        <v>0.37299768518518522</v>
      </c>
      <c r="H1161" s="118">
        <v>9.1435185185185185E-4</v>
      </c>
      <c r="I1161" s="118">
        <v>3.4722222222222224E-4</v>
      </c>
      <c r="J1161"/>
      <c r="K1161"/>
    </row>
    <row r="1162" spans="1:11" x14ac:dyDescent="0.25">
      <c r="A1162">
        <v>5</v>
      </c>
      <c r="B1162">
        <v>5</v>
      </c>
      <c r="C1162"/>
      <c r="D1162" t="s">
        <v>31</v>
      </c>
      <c r="E1162" t="s">
        <v>35</v>
      </c>
      <c r="F1162" t="s">
        <v>43</v>
      </c>
      <c r="G1162" s="118">
        <v>0.37307870370370372</v>
      </c>
      <c r="H1162" s="118">
        <v>1.0995370370370371E-3</v>
      </c>
      <c r="I1162" s="118">
        <v>3.4722222222222224E-4</v>
      </c>
      <c r="J1162"/>
      <c r="K1162"/>
    </row>
    <row r="1163" spans="1:11" x14ac:dyDescent="0.25">
      <c r="A1163">
        <v>3</v>
      </c>
      <c r="B1163">
        <v>5</v>
      </c>
      <c r="C1163"/>
      <c r="D1163" t="s">
        <v>31</v>
      </c>
      <c r="E1163" t="s">
        <v>32</v>
      </c>
      <c r="F1163" t="s">
        <v>41</v>
      </c>
      <c r="G1163" s="118">
        <v>0.37318287037037035</v>
      </c>
      <c r="H1163" s="118">
        <v>3.4722222222222224E-4</v>
      </c>
      <c r="I1163" s="118">
        <v>8.564814814814815E-4</v>
      </c>
      <c r="J1163" s="118">
        <v>7.0717592592592594E-3</v>
      </c>
      <c r="K1163" s="118">
        <v>7.0717592592592594E-3</v>
      </c>
    </row>
    <row r="1164" spans="1:11" x14ac:dyDescent="0.25">
      <c r="A1164">
        <v>1</v>
      </c>
      <c r="B1164">
        <v>4</v>
      </c>
      <c r="C1164"/>
      <c r="D1164" t="s">
        <v>31</v>
      </c>
      <c r="E1164" t="s">
        <v>32</v>
      </c>
      <c r="F1164" t="s">
        <v>51</v>
      </c>
      <c r="G1164" s="118">
        <v>0.37334490740740739</v>
      </c>
      <c r="H1164" s="118">
        <v>3.4722222222222224E-4</v>
      </c>
      <c r="I1164" s="118">
        <v>1.0069444444444444E-3</v>
      </c>
      <c r="J1164" s="118">
        <v>5.0462962962962961E-3</v>
      </c>
      <c r="K1164" s="118">
        <v>7.0717592592592594E-3</v>
      </c>
    </row>
    <row r="1165" spans="1:11" x14ac:dyDescent="0.25">
      <c r="A1165">
        <v>5</v>
      </c>
      <c r="B1165">
        <v>5</v>
      </c>
      <c r="C1165"/>
      <c r="D1165" t="s">
        <v>31</v>
      </c>
      <c r="E1165" t="s">
        <v>32</v>
      </c>
      <c r="F1165" t="s">
        <v>43</v>
      </c>
      <c r="G1165" s="118">
        <v>0.37342592592592588</v>
      </c>
      <c r="H1165" s="118">
        <v>3.4722222222222224E-4</v>
      </c>
      <c r="I1165" s="118">
        <v>1.1458333333333333E-3</v>
      </c>
      <c r="J1165" s="118">
        <v>5.0462962962962961E-3</v>
      </c>
      <c r="K1165" s="118">
        <v>5.0462962962962961E-3</v>
      </c>
    </row>
    <row r="1166" spans="1:11" x14ac:dyDescent="0.25">
      <c r="A1166">
        <v>6</v>
      </c>
      <c r="B1166">
        <v>5</v>
      </c>
      <c r="C1166"/>
      <c r="D1166" t="s">
        <v>31</v>
      </c>
      <c r="E1166" t="s">
        <v>35</v>
      </c>
      <c r="F1166" t="s">
        <v>49</v>
      </c>
      <c r="G1166" s="118">
        <v>0.37349537037037034</v>
      </c>
      <c r="H1166" s="118">
        <v>9.2592592592592585E-4</v>
      </c>
      <c r="I1166" s="118">
        <v>3.4722222222222224E-4</v>
      </c>
      <c r="J1166"/>
      <c r="K1166"/>
    </row>
    <row r="1167" spans="1:11" x14ac:dyDescent="0.25">
      <c r="A1167">
        <v>4</v>
      </c>
      <c r="B1167">
        <v>4</v>
      </c>
      <c r="C1167"/>
      <c r="D1167" t="s">
        <v>31</v>
      </c>
      <c r="E1167" t="s">
        <v>35</v>
      </c>
      <c r="F1167" t="s">
        <v>42</v>
      </c>
      <c r="G1167" s="118">
        <v>0.37369212962962961</v>
      </c>
      <c r="H1167" s="118">
        <v>9.0277777777777784E-4</v>
      </c>
      <c r="I1167" s="118">
        <v>3.4722222222222224E-4</v>
      </c>
      <c r="J1167"/>
      <c r="K1167"/>
    </row>
    <row r="1168" spans="1:11" x14ac:dyDescent="0.25">
      <c r="A1168">
        <v>2</v>
      </c>
      <c r="B1168">
        <v>5</v>
      </c>
      <c r="C1168"/>
      <c r="D1168" t="s">
        <v>31</v>
      </c>
      <c r="E1168" t="s">
        <v>35</v>
      </c>
      <c r="F1168" t="s">
        <v>52</v>
      </c>
      <c r="G1168" s="118">
        <v>0.37379629629629635</v>
      </c>
      <c r="H1168" s="118">
        <v>1.0416666666666667E-3</v>
      </c>
      <c r="I1168" s="118">
        <v>3.4722222222222224E-4</v>
      </c>
      <c r="J1168"/>
      <c r="K1168"/>
    </row>
    <row r="1169" spans="1:11" x14ac:dyDescent="0.25">
      <c r="A1169">
        <v>6</v>
      </c>
      <c r="B1169">
        <v>5</v>
      </c>
      <c r="C1169"/>
      <c r="D1169" t="s">
        <v>31</v>
      </c>
      <c r="E1169" t="s">
        <v>32</v>
      </c>
      <c r="F1169" t="s">
        <v>49</v>
      </c>
      <c r="G1169" s="118">
        <v>0.37384259259259256</v>
      </c>
      <c r="H1169" s="118">
        <v>3.4722222222222224E-4</v>
      </c>
      <c r="I1169" s="118">
        <v>1.3541666666666667E-3</v>
      </c>
      <c r="J1169" s="118">
        <v>5.0462962962962961E-3</v>
      </c>
      <c r="K1169" s="118">
        <v>5.0462962962962961E-3</v>
      </c>
    </row>
    <row r="1170" spans="1:11" x14ac:dyDescent="0.25">
      <c r="A1170">
        <v>3</v>
      </c>
      <c r="B1170">
        <v>5</v>
      </c>
      <c r="C1170"/>
      <c r="D1170" t="s">
        <v>31</v>
      </c>
      <c r="E1170" t="s">
        <v>35</v>
      </c>
      <c r="F1170" t="s">
        <v>47</v>
      </c>
      <c r="G1170" s="118">
        <v>0.37403935185185189</v>
      </c>
      <c r="H1170" s="118">
        <v>8.564814814814815E-4</v>
      </c>
      <c r="I1170" s="118">
        <v>5.2083333333333333E-4</v>
      </c>
      <c r="J1170"/>
      <c r="K1170"/>
    </row>
    <row r="1171" spans="1:11" x14ac:dyDescent="0.25">
      <c r="A1171">
        <v>4</v>
      </c>
      <c r="B1171">
        <v>4</v>
      </c>
      <c r="C1171"/>
      <c r="D1171" t="s">
        <v>31</v>
      </c>
      <c r="E1171" t="s">
        <v>32</v>
      </c>
      <c r="F1171" t="s">
        <v>42</v>
      </c>
      <c r="G1171" s="118">
        <v>0.37403935185185189</v>
      </c>
      <c r="H1171" s="118">
        <v>3.4722222222222224E-4</v>
      </c>
      <c r="I1171" s="118">
        <v>9.1435185185185185E-4</v>
      </c>
      <c r="J1171" s="118">
        <v>5.0462962962962961E-3</v>
      </c>
      <c r="K1171" s="118">
        <v>5.0462962962962961E-3</v>
      </c>
    </row>
    <row r="1172" spans="1:11" x14ac:dyDescent="0.25">
      <c r="A1172">
        <v>2</v>
      </c>
      <c r="B1172">
        <v>5</v>
      </c>
      <c r="C1172"/>
      <c r="D1172" t="s">
        <v>31</v>
      </c>
      <c r="E1172" t="s">
        <v>32</v>
      </c>
      <c r="F1172" t="s">
        <v>52</v>
      </c>
      <c r="G1172" s="118">
        <v>0.37414351851851851</v>
      </c>
      <c r="H1172" s="118">
        <v>3.4722222222222224E-4</v>
      </c>
      <c r="I1172" s="118">
        <v>1.0532407407407407E-3</v>
      </c>
      <c r="J1172" s="118">
        <v>7.0717592592592594E-3</v>
      </c>
      <c r="K1172" s="118">
        <v>7.0717592592592594E-3</v>
      </c>
    </row>
    <row r="1173" spans="1:11" x14ac:dyDescent="0.25">
      <c r="A1173">
        <v>1</v>
      </c>
      <c r="B1173">
        <v>4</v>
      </c>
      <c r="C1173"/>
      <c r="D1173" t="s">
        <v>31</v>
      </c>
      <c r="E1173" t="s">
        <v>35</v>
      </c>
      <c r="F1173" t="s">
        <v>55</v>
      </c>
      <c r="G1173" s="118">
        <v>0.37435185185185182</v>
      </c>
      <c r="H1173" s="118">
        <v>1.0069444444444444E-3</v>
      </c>
      <c r="I1173" s="118">
        <v>4.6296296296296293E-4</v>
      </c>
      <c r="J1173"/>
      <c r="K1173"/>
    </row>
    <row r="1174" spans="1:11" x14ac:dyDescent="0.25">
      <c r="A1174">
        <v>3</v>
      </c>
      <c r="B1174">
        <v>5</v>
      </c>
      <c r="C1174"/>
      <c r="D1174" t="s">
        <v>31</v>
      </c>
      <c r="E1174" t="s">
        <v>32</v>
      </c>
      <c r="F1174" t="s">
        <v>47</v>
      </c>
      <c r="G1174" s="118">
        <v>0.37456018518518519</v>
      </c>
      <c r="H1174" s="118">
        <v>5.2083333333333333E-4</v>
      </c>
      <c r="I1174" s="118">
        <v>8.7962962962962962E-4</v>
      </c>
      <c r="J1174" s="118">
        <v>7.0717592592592594E-3</v>
      </c>
      <c r="K1174" s="118">
        <v>7.0717592592592594E-3</v>
      </c>
    </row>
    <row r="1175" spans="1:11" x14ac:dyDescent="0.25">
      <c r="A1175">
        <v>5</v>
      </c>
      <c r="B1175">
        <v>5</v>
      </c>
      <c r="C1175"/>
      <c r="D1175" t="s">
        <v>31</v>
      </c>
      <c r="E1175" t="s">
        <v>35</v>
      </c>
      <c r="F1175" t="s">
        <v>50</v>
      </c>
      <c r="G1175" s="118">
        <v>0.37457175925925923</v>
      </c>
      <c r="H1175" s="118">
        <v>1.1458333333333333E-3</v>
      </c>
      <c r="I1175" s="118">
        <v>3.4722222222222224E-4</v>
      </c>
      <c r="J1175"/>
      <c r="K1175"/>
    </row>
    <row r="1176" spans="1:11" x14ac:dyDescent="0.25">
      <c r="A1176">
        <v>1</v>
      </c>
      <c r="B1176">
        <v>4</v>
      </c>
      <c r="C1176"/>
      <c r="D1176" t="s">
        <v>31</v>
      </c>
      <c r="E1176" t="s">
        <v>32</v>
      </c>
      <c r="F1176" t="s">
        <v>55</v>
      </c>
      <c r="G1176" s="118">
        <v>0.37481481481481477</v>
      </c>
      <c r="H1176" s="118">
        <v>4.6296296296296293E-4</v>
      </c>
      <c r="I1176" s="118">
        <v>4.3981481481481481E-4</v>
      </c>
      <c r="J1176" s="118">
        <v>5.0462962962962961E-3</v>
      </c>
      <c r="K1176" s="118">
        <v>7.0717592592592594E-3</v>
      </c>
    </row>
    <row r="1177" spans="1:11" x14ac:dyDescent="0.25">
      <c r="A1177">
        <v>5</v>
      </c>
      <c r="B1177">
        <v>5</v>
      </c>
      <c r="C1177"/>
      <c r="D1177" t="s">
        <v>31</v>
      </c>
      <c r="E1177" t="s">
        <v>32</v>
      </c>
      <c r="F1177" t="s">
        <v>50</v>
      </c>
      <c r="G1177" s="118">
        <v>0.37491898148148151</v>
      </c>
      <c r="H1177" s="118">
        <v>3.4722222222222224E-4</v>
      </c>
      <c r="I1177" s="118">
        <v>1.261574074074074E-3</v>
      </c>
      <c r="J1177" s="118">
        <v>5.0462962962962961E-3</v>
      </c>
      <c r="K1177" s="118">
        <v>5.0462962962962961E-3</v>
      </c>
    </row>
    <row r="1178" spans="1:11" x14ac:dyDescent="0.25">
      <c r="A1178">
        <v>4</v>
      </c>
      <c r="B1178">
        <v>4</v>
      </c>
      <c r="C1178"/>
      <c r="D1178" t="s">
        <v>31</v>
      </c>
      <c r="E1178" t="s">
        <v>35</v>
      </c>
      <c r="F1178" t="s">
        <v>48</v>
      </c>
      <c r="G1178" s="118">
        <v>0.37495370370370368</v>
      </c>
      <c r="H1178" s="118">
        <v>9.1435185185185185E-4</v>
      </c>
      <c r="I1178" s="118">
        <v>5.2083333333333333E-4</v>
      </c>
      <c r="J1178"/>
      <c r="K1178"/>
    </row>
    <row r="1179" spans="1:11" x14ac:dyDescent="0.25">
      <c r="A1179">
        <v>2</v>
      </c>
      <c r="B1179">
        <v>5</v>
      </c>
      <c r="C1179"/>
      <c r="D1179" t="s">
        <v>31</v>
      </c>
      <c r="E1179" t="s">
        <v>35</v>
      </c>
      <c r="F1179" t="s">
        <v>57</v>
      </c>
      <c r="G1179" s="118">
        <v>0.37519675925925927</v>
      </c>
      <c r="H1179" s="118">
        <v>1.0532407407407407E-3</v>
      </c>
      <c r="I1179" s="118">
        <v>3.4722222222222224E-4</v>
      </c>
      <c r="J1179"/>
      <c r="K1179"/>
    </row>
    <row r="1180" spans="1:11" x14ac:dyDescent="0.25">
      <c r="A1180">
        <v>6</v>
      </c>
      <c r="B1180">
        <v>5</v>
      </c>
      <c r="C1180"/>
      <c r="D1180" t="s">
        <v>31</v>
      </c>
      <c r="E1180" t="s">
        <v>35</v>
      </c>
      <c r="F1180" t="s">
        <v>33</v>
      </c>
      <c r="G1180" s="118">
        <v>0.37519675925925927</v>
      </c>
      <c r="H1180" s="118">
        <v>1.3541666666666667E-3</v>
      </c>
      <c r="I1180" s="118">
        <v>5.2083333333333333E-4</v>
      </c>
      <c r="J1180"/>
      <c r="K1180"/>
    </row>
    <row r="1181" spans="1:11" x14ac:dyDescent="0.25">
      <c r="A1181">
        <v>1</v>
      </c>
      <c r="B1181">
        <v>4</v>
      </c>
      <c r="C1181"/>
      <c r="D1181" t="s">
        <v>31</v>
      </c>
      <c r="E1181" t="s">
        <v>35</v>
      </c>
      <c r="F1181" t="s">
        <v>58</v>
      </c>
      <c r="G1181" s="118">
        <v>0.37525462962962958</v>
      </c>
      <c r="H1181" s="118">
        <v>4.3981481481481481E-4</v>
      </c>
      <c r="I1181" s="118">
        <v>5.7870370370370366E-5</v>
      </c>
      <c r="J1181"/>
      <c r="K1181"/>
    </row>
    <row r="1182" spans="1:11" x14ac:dyDescent="0.25">
      <c r="A1182">
        <v>1</v>
      </c>
      <c r="B1182">
        <v>4</v>
      </c>
      <c r="C1182"/>
      <c r="D1182" t="s">
        <v>31</v>
      </c>
      <c r="E1182" t="s">
        <v>32</v>
      </c>
      <c r="F1182" t="s">
        <v>58</v>
      </c>
      <c r="G1182" s="118">
        <v>0.37531249999999999</v>
      </c>
      <c r="H1182" s="118">
        <v>5.7870370370370366E-5</v>
      </c>
      <c r="I1182" s="118">
        <v>4.8611111111111104E-4</v>
      </c>
      <c r="J1182" s="118">
        <v>5.0462962962962961E-3</v>
      </c>
      <c r="K1182" s="118">
        <v>7.0717592592592594E-3</v>
      </c>
    </row>
    <row r="1183" spans="1:11" x14ac:dyDescent="0.25">
      <c r="A1183">
        <v>3</v>
      </c>
      <c r="B1183">
        <v>5</v>
      </c>
      <c r="C1183"/>
      <c r="D1183" t="s">
        <v>31</v>
      </c>
      <c r="E1183" t="s">
        <v>35</v>
      </c>
      <c r="F1183" t="s">
        <v>53</v>
      </c>
      <c r="G1183" s="118">
        <v>0.37543981481481481</v>
      </c>
      <c r="H1183" s="118">
        <v>8.7962962962962962E-4</v>
      </c>
      <c r="I1183" s="118">
        <v>3.4722222222222224E-4</v>
      </c>
      <c r="J1183"/>
      <c r="K1183"/>
    </row>
    <row r="1184" spans="1:11" x14ac:dyDescent="0.25">
      <c r="A1184">
        <v>4</v>
      </c>
      <c r="B1184">
        <v>4</v>
      </c>
      <c r="C1184"/>
      <c r="D1184" t="s">
        <v>31</v>
      </c>
      <c r="E1184" t="s">
        <v>32</v>
      </c>
      <c r="F1184" t="s">
        <v>48</v>
      </c>
      <c r="G1184" s="118">
        <v>0.37547453703703698</v>
      </c>
      <c r="H1184" s="118">
        <v>5.2083333333333333E-4</v>
      </c>
      <c r="I1184" s="118">
        <v>8.6805555555555551E-4</v>
      </c>
      <c r="J1184" s="118">
        <v>5.0462962962962961E-3</v>
      </c>
      <c r="K1184" s="118">
        <v>5.0462962962962961E-3</v>
      </c>
    </row>
    <row r="1185" spans="1:11" x14ac:dyDescent="0.25">
      <c r="A1185">
        <v>2</v>
      </c>
      <c r="B1185">
        <v>5</v>
      </c>
      <c r="C1185"/>
      <c r="D1185" t="s">
        <v>31</v>
      </c>
      <c r="E1185" t="s">
        <v>32</v>
      </c>
      <c r="F1185" t="s">
        <v>57</v>
      </c>
      <c r="G1185" s="118">
        <v>0.37554398148148144</v>
      </c>
      <c r="H1185" s="118">
        <v>3.4722222222222224E-4</v>
      </c>
      <c r="I1185" s="118">
        <v>9.3750000000000007E-4</v>
      </c>
      <c r="J1185" s="118">
        <v>7.0717592592592594E-3</v>
      </c>
      <c r="K1185" s="118">
        <v>7.0717592592592594E-3</v>
      </c>
    </row>
    <row r="1186" spans="1:11" x14ac:dyDescent="0.25">
      <c r="A1186">
        <v>6</v>
      </c>
      <c r="B1186">
        <v>5</v>
      </c>
      <c r="C1186"/>
      <c r="D1186" t="s">
        <v>31</v>
      </c>
      <c r="E1186" t="s">
        <v>32</v>
      </c>
      <c r="F1186" t="s">
        <v>33</v>
      </c>
      <c r="G1186" s="118">
        <v>0.37571759259259258</v>
      </c>
      <c r="H1186" s="118">
        <v>5.2083333333333333E-4</v>
      </c>
      <c r="I1186" s="118">
        <v>9.6064814814814808E-4</v>
      </c>
      <c r="J1186" s="118">
        <v>5.0462962962962961E-3</v>
      </c>
      <c r="K1186" s="118">
        <v>5.0462962962962961E-3</v>
      </c>
    </row>
    <row r="1187" spans="1:11" x14ac:dyDescent="0.25">
      <c r="A1187">
        <v>3</v>
      </c>
      <c r="B1187">
        <v>5</v>
      </c>
      <c r="C1187"/>
      <c r="D1187" t="s">
        <v>31</v>
      </c>
      <c r="E1187" t="s">
        <v>32</v>
      </c>
      <c r="F1187" t="s">
        <v>53</v>
      </c>
      <c r="G1187" s="118">
        <v>0.37578703703703703</v>
      </c>
      <c r="H1187" s="118">
        <v>3.4722222222222224E-4</v>
      </c>
      <c r="I1187" s="118">
        <v>8.449074074074075E-4</v>
      </c>
      <c r="J1187" s="118">
        <v>7.0717592592592594E-3</v>
      </c>
      <c r="K1187" s="118">
        <v>7.0717592592592594E-3</v>
      </c>
    </row>
    <row r="1188" spans="1:11" x14ac:dyDescent="0.25">
      <c r="A1188">
        <v>1</v>
      </c>
      <c r="B1188">
        <v>4</v>
      </c>
      <c r="C1188"/>
      <c r="D1188" t="s">
        <v>31</v>
      </c>
      <c r="E1188" t="s">
        <v>35</v>
      </c>
      <c r="F1188" t="s">
        <v>40</v>
      </c>
      <c r="G1188" s="118">
        <v>0.37579861111111112</v>
      </c>
      <c r="H1188" s="118">
        <v>4.8611111111111104E-4</v>
      </c>
      <c r="I1188" s="118">
        <v>4.6296296296296293E-4</v>
      </c>
      <c r="J1188"/>
      <c r="K1188"/>
    </row>
    <row r="1189" spans="1:11" x14ac:dyDescent="0.25">
      <c r="A1189">
        <v>5</v>
      </c>
      <c r="B1189">
        <v>5</v>
      </c>
      <c r="C1189"/>
      <c r="D1189" t="s">
        <v>31</v>
      </c>
      <c r="E1189" t="s">
        <v>35</v>
      </c>
      <c r="F1189" t="s">
        <v>56</v>
      </c>
      <c r="G1189" s="118">
        <v>0.37618055555555557</v>
      </c>
      <c r="H1189" s="118">
        <v>1.261574074074074E-3</v>
      </c>
      <c r="I1189" s="118">
        <v>3.4722222222222224E-4</v>
      </c>
      <c r="J1189"/>
      <c r="K1189"/>
    </row>
    <row r="1190" spans="1:11" x14ac:dyDescent="0.25">
      <c r="A1190">
        <v>1</v>
      </c>
      <c r="B1190">
        <v>4</v>
      </c>
      <c r="C1190"/>
      <c r="D1190" t="s">
        <v>31</v>
      </c>
      <c r="E1190" t="s">
        <v>32</v>
      </c>
      <c r="F1190" t="s">
        <v>40</v>
      </c>
      <c r="G1190" s="118">
        <v>0.37626157407407407</v>
      </c>
      <c r="H1190" s="118">
        <v>4.6296296296296293E-4</v>
      </c>
      <c r="I1190" s="118">
        <v>1.0069444444444444E-3</v>
      </c>
      <c r="J1190" s="118">
        <v>5.0462962962962961E-3</v>
      </c>
      <c r="K1190" s="118">
        <v>7.0717592592592594E-3</v>
      </c>
    </row>
    <row r="1191" spans="1:11" x14ac:dyDescent="0.25">
      <c r="A1191">
        <v>4</v>
      </c>
      <c r="B1191">
        <v>4</v>
      </c>
      <c r="C1191"/>
      <c r="D1191" t="s">
        <v>31</v>
      </c>
      <c r="E1191" t="s">
        <v>35</v>
      </c>
      <c r="F1191" t="s">
        <v>54</v>
      </c>
      <c r="G1191" s="118">
        <v>0.37634259259259256</v>
      </c>
      <c r="H1191" s="118">
        <v>8.6805555555555551E-4</v>
      </c>
      <c r="I1191" s="118">
        <v>3.4722222222222224E-4</v>
      </c>
      <c r="J1191"/>
      <c r="K1191"/>
    </row>
    <row r="1192" spans="1:11" x14ac:dyDescent="0.25">
      <c r="A1192">
        <v>2</v>
      </c>
      <c r="B1192">
        <v>5</v>
      </c>
      <c r="C1192"/>
      <c r="D1192" t="s">
        <v>31</v>
      </c>
      <c r="E1192" t="s">
        <v>35</v>
      </c>
      <c r="F1192" t="s">
        <v>39</v>
      </c>
      <c r="G1192" s="118">
        <v>0.37648148148148147</v>
      </c>
      <c r="H1192" s="118">
        <v>9.3750000000000007E-4</v>
      </c>
      <c r="I1192" s="118">
        <v>5.2083333333333333E-4</v>
      </c>
      <c r="J1192"/>
      <c r="K1192"/>
    </row>
    <row r="1193" spans="1:11" x14ac:dyDescent="0.25">
      <c r="A1193">
        <v>5</v>
      </c>
      <c r="B1193">
        <v>5</v>
      </c>
      <c r="C1193"/>
      <c r="D1193" t="s">
        <v>31</v>
      </c>
      <c r="E1193" t="s">
        <v>32</v>
      </c>
      <c r="F1193" t="s">
        <v>56</v>
      </c>
      <c r="G1193" s="118">
        <v>0.37652777777777779</v>
      </c>
      <c r="H1193" s="118">
        <v>3.4722222222222224E-4</v>
      </c>
      <c r="I1193" s="118">
        <v>9.6064814814814808E-4</v>
      </c>
      <c r="J1193" s="118">
        <v>5.0462962962962961E-3</v>
      </c>
      <c r="K1193" s="118">
        <v>5.0462962962962961E-3</v>
      </c>
    </row>
    <row r="1194" spans="1:11" x14ac:dyDescent="0.25">
      <c r="A1194">
        <v>3</v>
      </c>
      <c r="B1194">
        <v>5</v>
      </c>
      <c r="C1194"/>
      <c r="D1194" t="s">
        <v>31</v>
      </c>
      <c r="E1194" t="s">
        <v>35</v>
      </c>
      <c r="F1194" t="s">
        <v>34</v>
      </c>
      <c r="G1194" s="118">
        <v>0.37663194444444442</v>
      </c>
      <c r="H1194" s="118">
        <v>8.449074074074075E-4</v>
      </c>
      <c r="I1194" s="118">
        <v>3.4722222222222224E-4</v>
      </c>
      <c r="J1194"/>
      <c r="K1194"/>
    </row>
    <row r="1195" spans="1:11" x14ac:dyDescent="0.25">
      <c r="A1195">
        <v>6</v>
      </c>
      <c r="B1195">
        <v>5</v>
      </c>
      <c r="C1195"/>
      <c r="D1195" t="s">
        <v>31</v>
      </c>
      <c r="E1195" t="s">
        <v>35</v>
      </c>
      <c r="F1195" t="s">
        <v>36</v>
      </c>
      <c r="G1195" s="118">
        <v>0.37667824074074074</v>
      </c>
      <c r="H1195" s="118">
        <v>9.6064814814814808E-4</v>
      </c>
      <c r="I1195" s="118">
        <v>3.4722222222222224E-4</v>
      </c>
      <c r="J1195"/>
      <c r="K1195"/>
    </row>
    <row r="1196" spans="1:11" x14ac:dyDescent="0.25">
      <c r="A1196">
        <v>4</v>
      </c>
      <c r="B1196">
        <v>4</v>
      </c>
      <c r="C1196"/>
      <c r="D1196" t="s">
        <v>31</v>
      </c>
      <c r="E1196" t="s">
        <v>32</v>
      </c>
      <c r="F1196" t="s">
        <v>54</v>
      </c>
      <c r="G1196" s="118">
        <v>0.37668981481481478</v>
      </c>
      <c r="H1196" s="118">
        <v>3.4722222222222224E-4</v>
      </c>
      <c r="I1196" s="118">
        <v>1.1921296296296296E-3</v>
      </c>
      <c r="J1196" s="118">
        <v>5.0462962962962961E-3</v>
      </c>
      <c r="K1196" s="118">
        <v>5.0462962962962961E-3</v>
      </c>
    </row>
    <row r="1197" spans="1:11" x14ac:dyDescent="0.25">
      <c r="A1197">
        <v>3</v>
      </c>
      <c r="B1197">
        <v>5</v>
      </c>
      <c r="C1197"/>
      <c r="D1197" t="s">
        <v>31</v>
      </c>
      <c r="E1197" t="s">
        <v>32</v>
      </c>
      <c r="F1197" t="s">
        <v>34</v>
      </c>
      <c r="G1197" s="118">
        <v>0.37697916666666664</v>
      </c>
      <c r="H1197" s="118">
        <v>3.4722222222222224E-4</v>
      </c>
      <c r="I1197" s="118">
        <v>9.1435185185185185E-4</v>
      </c>
      <c r="J1197" s="118">
        <v>7.0717592592592594E-3</v>
      </c>
      <c r="K1197" s="118">
        <v>7.0717592592592594E-3</v>
      </c>
    </row>
    <row r="1198" spans="1:11" x14ac:dyDescent="0.25">
      <c r="A1198">
        <v>2</v>
      </c>
      <c r="B1198">
        <v>5</v>
      </c>
      <c r="C1198"/>
      <c r="D1198" t="s">
        <v>31</v>
      </c>
      <c r="E1198" t="s">
        <v>32</v>
      </c>
      <c r="F1198" t="s">
        <v>39</v>
      </c>
      <c r="G1198" s="118">
        <v>0.37700231481481478</v>
      </c>
      <c r="H1198" s="118">
        <v>5.2083333333333333E-4</v>
      </c>
      <c r="I1198" s="118">
        <v>1.8055555555555557E-3</v>
      </c>
      <c r="J1198" s="118">
        <v>7.0717592592592594E-3</v>
      </c>
      <c r="K1198" s="118">
        <v>7.0717592592592594E-3</v>
      </c>
    </row>
    <row r="1199" spans="1:11" x14ac:dyDescent="0.25">
      <c r="A1199">
        <v>6</v>
      </c>
      <c r="B1199">
        <v>5</v>
      </c>
      <c r="C1199"/>
      <c r="D1199" t="s">
        <v>31</v>
      </c>
      <c r="E1199" t="s">
        <v>32</v>
      </c>
      <c r="F1199" t="s">
        <v>36</v>
      </c>
      <c r="G1199" s="118">
        <v>0.37702546296296297</v>
      </c>
      <c r="H1199" s="118">
        <v>3.4722222222222224E-4</v>
      </c>
      <c r="I1199" s="118">
        <v>1.0995370370370371E-3</v>
      </c>
      <c r="J1199" s="118">
        <v>5.0462962962962961E-3</v>
      </c>
      <c r="K1199" s="118">
        <v>5.0462962962962961E-3</v>
      </c>
    </row>
    <row r="1200" spans="1:11" x14ac:dyDescent="0.25">
      <c r="A1200">
        <v>1</v>
      </c>
      <c r="B1200">
        <v>4</v>
      </c>
      <c r="C1200"/>
      <c r="D1200" t="s">
        <v>31</v>
      </c>
      <c r="E1200" t="s">
        <v>35</v>
      </c>
      <c r="F1200" t="s">
        <v>44</v>
      </c>
      <c r="G1200" s="118">
        <v>0.3772685185185185</v>
      </c>
      <c r="H1200" s="118">
        <v>1.0069444444444444E-3</v>
      </c>
      <c r="I1200" s="118">
        <v>3.4722222222222224E-4</v>
      </c>
      <c r="J1200"/>
      <c r="K1200"/>
    </row>
    <row r="1201" spans="1:11" x14ac:dyDescent="0.25">
      <c r="A1201">
        <v>5</v>
      </c>
      <c r="B1201">
        <v>5</v>
      </c>
      <c r="C1201"/>
      <c r="D1201" t="s">
        <v>31</v>
      </c>
      <c r="E1201" t="s">
        <v>35</v>
      </c>
      <c r="F1201" t="s">
        <v>37</v>
      </c>
      <c r="G1201" s="118">
        <v>0.37748842592592591</v>
      </c>
      <c r="H1201" s="118">
        <v>9.6064814814814808E-4</v>
      </c>
      <c r="I1201" s="118">
        <v>3.4722222222222224E-4</v>
      </c>
      <c r="J1201"/>
      <c r="K1201"/>
    </row>
    <row r="1202" spans="1:11" x14ac:dyDescent="0.25">
      <c r="A1202">
        <v>1</v>
      </c>
      <c r="B1202">
        <v>4</v>
      </c>
      <c r="C1202"/>
      <c r="D1202" t="s">
        <v>31</v>
      </c>
      <c r="E1202" t="s">
        <v>32</v>
      </c>
      <c r="F1202" t="s">
        <v>44</v>
      </c>
      <c r="G1202" s="118">
        <v>0.37761574074074072</v>
      </c>
      <c r="H1202" s="118">
        <v>3.4722222222222224E-4</v>
      </c>
      <c r="I1202" s="118">
        <v>9.2592592592592585E-4</v>
      </c>
      <c r="J1202" s="118">
        <v>5.0462962962962961E-3</v>
      </c>
      <c r="K1202" s="118">
        <v>7.0717592592592594E-3</v>
      </c>
    </row>
    <row r="1203" spans="1:11" x14ac:dyDescent="0.25">
      <c r="A1203">
        <v>5</v>
      </c>
      <c r="B1203">
        <v>5</v>
      </c>
      <c r="C1203"/>
      <c r="D1203" t="s">
        <v>31</v>
      </c>
      <c r="E1203" t="s">
        <v>32</v>
      </c>
      <c r="F1203" t="s">
        <v>37</v>
      </c>
      <c r="G1203" s="118">
        <v>0.37783564814814818</v>
      </c>
      <c r="H1203" s="118">
        <v>3.4722222222222224E-4</v>
      </c>
      <c r="I1203" s="118">
        <v>9.0277777777777784E-4</v>
      </c>
      <c r="J1203" s="118">
        <v>5.0462962962962961E-3</v>
      </c>
      <c r="K1203" s="118">
        <v>5.0462962962962961E-3</v>
      </c>
    </row>
    <row r="1204" spans="1:11" x14ac:dyDescent="0.25">
      <c r="A1204">
        <v>4</v>
      </c>
      <c r="B1204">
        <v>4</v>
      </c>
      <c r="C1204"/>
      <c r="D1204" t="s">
        <v>31</v>
      </c>
      <c r="E1204" t="s">
        <v>35</v>
      </c>
      <c r="F1204" t="s">
        <v>92</v>
      </c>
      <c r="G1204" s="118">
        <v>0.3778819444444444</v>
      </c>
      <c r="H1204" s="118">
        <v>1.1921296296296296E-3</v>
      </c>
      <c r="I1204" s="118">
        <v>1.0185185185185186E-3</v>
      </c>
      <c r="J1204"/>
      <c r="K1204"/>
    </row>
    <row r="1205" spans="1:11" x14ac:dyDescent="0.25">
      <c r="A1205">
        <v>3</v>
      </c>
      <c r="B1205">
        <v>5</v>
      </c>
      <c r="C1205"/>
      <c r="D1205" t="s">
        <v>31</v>
      </c>
      <c r="E1205" t="s">
        <v>35</v>
      </c>
      <c r="F1205" t="s">
        <v>38</v>
      </c>
      <c r="G1205" s="118">
        <v>0.37789351851851855</v>
      </c>
      <c r="H1205" s="118">
        <v>9.1435185185185185E-4</v>
      </c>
      <c r="I1205" s="118">
        <v>3.4722222222222224E-4</v>
      </c>
      <c r="J1205"/>
      <c r="K1205"/>
    </row>
    <row r="1206" spans="1:11" x14ac:dyDescent="0.25">
      <c r="A1206">
        <v>6</v>
      </c>
      <c r="B1206">
        <v>5</v>
      </c>
      <c r="C1206"/>
      <c r="D1206" t="s">
        <v>31</v>
      </c>
      <c r="E1206" t="s">
        <v>35</v>
      </c>
      <c r="F1206" t="s">
        <v>43</v>
      </c>
      <c r="G1206" s="118">
        <v>0.37812499999999999</v>
      </c>
      <c r="H1206" s="118">
        <v>1.0995370370370371E-3</v>
      </c>
      <c r="I1206" s="118">
        <v>3.4722222222222224E-4</v>
      </c>
      <c r="J1206"/>
      <c r="K1206"/>
    </row>
    <row r="1207" spans="1:11" x14ac:dyDescent="0.25">
      <c r="A1207">
        <v>3</v>
      </c>
      <c r="B1207">
        <v>5</v>
      </c>
      <c r="C1207"/>
      <c r="D1207" t="s">
        <v>31</v>
      </c>
      <c r="E1207" t="s">
        <v>32</v>
      </c>
      <c r="F1207" t="s">
        <v>38</v>
      </c>
      <c r="G1207" s="118">
        <v>0.37824074074074071</v>
      </c>
      <c r="H1207" s="118">
        <v>3.4722222222222224E-4</v>
      </c>
      <c r="I1207" s="118">
        <v>1.2384259259259258E-3</v>
      </c>
      <c r="J1207" s="118">
        <v>7.0717592592592594E-3</v>
      </c>
      <c r="K1207" s="118">
        <v>7.0717592592592594E-3</v>
      </c>
    </row>
    <row r="1208" spans="1:11" x14ac:dyDescent="0.25">
      <c r="A1208">
        <v>6</v>
      </c>
      <c r="B1208">
        <v>5</v>
      </c>
      <c r="C1208"/>
      <c r="D1208" t="s">
        <v>31</v>
      </c>
      <c r="E1208" t="s">
        <v>32</v>
      </c>
      <c r="F1208" t="s">
        <v>43</v>
      </c>
      <c r="G1208" s="118">
        <v>0.37847222222222227</v>
      </c>
      <c r="H1208" s="118">
        <v>3.4722222222222224E-4</v>
      </c>
      <c r="I1208" s="118">
        <v>1.1458333333333333E-3</v>
      </c>
      <c r="J1208" s="118">
        <v>5.0462962962962961E-3</v>
      </c>
      <c r="K1208" s="118">
        <v>5.0462962962962961E-3</v>
      </c>
    </row>
    <row r="1209" spans="1:11" x14ac:dyDescent="0.25">
      <c r="A1209">
        <v>1</v>
      </c>
      <c r="B1209">
        <v>4</v>
      </c>
      <c r="C1209"/>
      <c r="D1209" t="s">
        <v>31</v>
      </c>
      <c r="E1209" t="s">
        <v>35</v>
      </c>
      <c r="F1209" t="s">
        <v>49</v>
      </c>
      <c r="G1209" s="118">
        <v>0.37854166666666672</v>
      </c>
      <c r="H1209" s="118">
        <v>9.2592592592592585E-4</v>
      </c>
      <c r="I1209" s="118">
        <v>3.4722222222222224E-4</v>
      </c>
      <c r="J1209"/>
      <c r="K1209"/>
    </row>
    <row r="1210" spans="1:11" x14ac:dyDescent="0.25">
      <c r="A1210">
        <v>5</v>
      </c>
      <c r="B1210">
        <v>5</v>
      </c>
      <c r="C1210"/>
      <c r="D1210" t="s">
        <v>31</v>
      </c>
      <c r="E1210" t="s">
        <v>35</v>
      </c>
      <c r="F1210" t="s">
        <v>42</v>
      </c>
      <c r="G1210" s="118">
        <v>0.37873842592592594</v>
      </c>
      <c r="H1210" s="118">
        <v>9.0277777777777784E-4</v>
      </c>
      <c r="I1210" s="118">
        <v>3.4722222222222224E-4</v>
      </c>
      <c r="J1210"/>
      <c r="K1210"/>
    </row>
    <row r="1211" spans="1:11" x14ac:dyDescent="0.25">
      <c r="A1211">
        <v>2</v>
      </c>
      <c r="B1211">
        <v>5</v>
      </c>
      <c r="C1211"/>
      <c r="D1211" t="s">
        <v>31</v>
      </c>
      <c r="E1211" t="s">
        <v>35</v>
      </c>
      <c r="F1211" t="s">
        <v>46</v>
      </c>
      <c r="G1211" s="118">
        <v>0.37880787037037034</v>
      </c>
      <c r="H1211" s="118">
        <v>1.8055555555555557E-3</v>
      </c>
      <c r="I1211" s="118">
        <v>3.4722222222222224E-4</v>
      </c>
      <c r="J1211"/>
      <c r="K1211"/>
    </row>
    <row r="1212" spans="1:11" x14ac:dyDescent="0.25">
      <c r="A1212">
        <v>1</v>
      </c>
      <c r="B1212">
        <v>4</v>
      </c>
      <c r="C1212"/>
      <c r="D1212" t="s">
        <v>31</v>
      </c>
      <c r="E1212" t="s">
        <v>32</v>
      </c>
      <c r="F1212" t="s">
        <v>49</v>
      </c>
      <c r="G1212" s="118">
        <v>0.37888888888888889</v>
      </c>
      <c r="H1212" s="118">
        <v>3.4722222222222224E-4</v>
      </c>
      <c r="I1212" s="118">
        <v>1.3541666666666667E-3</v>
      </c>
      <c r="J1212" s="118">
        <v>5.0462962962962961E-3</v>
      </c>
      <c r="K1212" s="118">
        <v>7.0717592592592594E-3</v>
      </c>
    </row>
    <row r="1213" spans="1:11" x14ac:dyDescent="0.25">
      <c r="A1213">
        <v>4</v>
      </c>
      <c r="B1213">
        <v>5</v>
      </c>
      <c r="C1213"/>
      <c r="D1213" t="s">
        <v>31</v>
      </c>
      <c r="E1213" t="s">
        <v>32</v>
      </c>
      <c r="F1213" t="s">
        <v>92</v>
      </c>
      <c r="G1213" s="118">
        <v>0.37890046296296293</v>
      </c>
      <c r="H1213" s="118">
        <v>1.0185185185185186E-3</v>
      </c>
      <c r="I1213" s="118">
        <v>1.0069444444444444E-3</v>
      </c>
      <c r="J1213" s="118">
        <v>7.0717592592592594E-3</v>
      </c>
      <c r="K1213" s="118">
        <v>7.0717592592592594E-3</v>
      </c>
    </row>
    <row r="1214" spans="1:11" x14ac:dyDescent="0.25">
      <c r="A1214">
        <v>5</v>
      </c>
      <c r="B1214">
        <v>5</v>
      </c>
      <c r="C1214"/>
      <c r="D1214" t="s">
        <v>31</v>
      </c>
      <c r="E1214" t="s">
        <v>32</v>
      </c>
      <c r="F1214" t="s">
        <v>42</v>
      </c>
      <c r="G1214" s="118">
        <v>0.37908564814814816</v>
      </c>
      <c r="H1214" s="118">
        <v>3.4722222222222224E-4</v>
      </c>
      <c r="I1214" s="118">
        <v>9.1435185185185185E-4</v>
      </c>
      <c r="J1214" s="118">
        <v>5.0462962962962961E-3</v>
      </c>
      <c r="K1214" s="118">
        <v>5.0462962962962961E-3</v>
      </c>
    </row>
    <row r="1215" spans="1:11" x14ac:dyDescent="0.25">
      <c r="A1215">
        <v>2</v>
      </c>
      <c r="B1215">
        <v>5</v>
      </c>
      <c r="C1215"/>
      <c r="D1215" t="s">
        <v>31</v>
      </c>
      <c r="E1215" t="s">
        <v>32</v>
      </c>
      <c r="F1215" t="s">
        <v>46</v>
      </c>
      <c r="G1215" s="118">
        <v>0.37915509259259261</v>
      </c>
      <c r="H1215" s="118">
        <v>3.4722222222222224E-4</v>
      </c>
      <c r="I1215" s="118">
        <v>9.1435185185185185E-4</v>
      </c>
      <c r="J1215" s="118">
        <v>7.0717592592592594E-3</v>
      </c>
      <c r="K1215" s="118">
        <v>7.0717592592592594E-3</v>
      </c>
    </row>
    <row r="1216" spans="1:11" x14ac:dyDescent="0.25">
      <c r="A1216">
        <v>3</v>
      </c>
      <c r="B1216">
        <v>5</v>
      </c>
      <c r="C1216"/>
      <c r="D1216" t="s">
        <v>31</v>
      </c>
      <c r="E1216" t="s">
        <v>35</v>
      </c>
      <c r="F1216" t="s">
        <v>45</v>
      </c>
      <c r="G1216" s="118">
        <v>0.37947916666666665</v>
      </c>
      <c r="H1216" s="118">
        <v>1.2384259259259258E-3</v>
      </c>
      <c r="I1216" s="118">
        <v>3.4722222222222224E-4</v>
      </c>
      <c r="J1216"/>
      <c r="K1216"/>
    </row>
    <row r="1217" spans="1:11" x14ac:dyDescent="0.25">
      <c r="A1217">
        <v>6</v>
      </c>
      <c r="B1217">
        <v>5</v>
      </c>
      <c r="C1217"/>
      <c r="D1217" t="s">
        <v>31</v>
      </c>
      <c r="E1217" t="s">
        <v>35</v>
      </c>
      <c r="F1217" t="s">
        <v>50</v>
      </c>
      <c r="G1217" s="118">
        <v>0.37961805555555556</v>
      </c>
      <c r="H1217" s="118">
        <v>1.1458333333333333E-3</v>
      </c>
      <c r="I1217" s="118">
        <v>3.4722222222222224E-4</v>
      </c>
      <c r="J1217"/>
      <c r="K1217"/>
    </row>
    <row r="1218" spans="1:11" x14ac:dyDescent="0.25">
      <c r="A1218">
        <v>3</v>
      </c>
      <c r="B1218">
        <v>5</v>
      </c>
      <c r="C1218"/>
      <c r="D1218" t="s">
        <v>31</v>
      </c>
      <c r="E1218" t="s">
        <v>32</v>
      </c>
      <c r="F1218" t="s">
        <v>45</v>
      </c>
      <c r="G1218" s="118">
        <v>0.37982638888888887</v>
      </c>
      <c r="H1218" s="118">
        <v>3.4722222222222224E-4</v>
      </c>
      <c r="I1218" s="118">
        <v>1.0416666666666667E-3</v>
      </c>
      <c r="J1218" s="118">
        <v>7.0717592592592594E-3</v>
      </c>
      <c r="K1218" s="118">
        <v>7.0717592592592594E-3</v>
      </c>
    </row>
    <row r="1219" spans="1:11" x14ac:dyDescent="0.25">
      <c r="A1219">
        <v>4</v>
      </c>
      <c r="B1219">
        <v>5</v>
      </c>
      <c r="C1219"/>
      <c r="D1219" t="s">
        <v>31</v>
      </c>
      <c r="E1219" t="s">
        <v>35</v>
      </c>
      <c r="F1219" t="s">
        <v>41</v>
      </c>
      <c r="G1219" s="118">
        <v>0.37990740740740742</v>
      </c>
      <c r="H1219" s="118">
        <v>1.0069444444444444E-3</v>
      </c>
      <c r="I1219" s="118">
        <v>3.4722222222222224E-4</v>
      </c>
      <c r="J1219"/>
      <c r="K1219"/>
    </row>
    <row r="1220" spans="1:11" x14ac:dyDescent="0.25">
      <c r="A1220">
        <v>6</v>
      </c>
      <c r="B1220">
        <v>5</v>
      </c>
      <c r="C1220"/>
      <c r="D1220" t="s">
        <v>31</v>
      </c>
      <c r="E1220" t="s">
        <v>32</v>
      </c>
      <c r="F1220" t="s">
        <v>50</v>
      </c>
      <c r="G1220" s="118">
        <v>0.37996527777777778</v>
      </c>
      <c r="H1220" s="118">
        <v>3.4722222222222224E-4</v>
      </c>
      <c r="I1220" s="118">
        <v>1.261574074074074E-3</v>
      </c>
      <c r="J1220" s="118">
        <v>5.0462962962962961E-3</v>
      </c>
      <c r="K1220" s="118">
        <v>5.0462962962962961E-3</v>
      </c>
    </row>
    <row r="1221" spans="1:11" x14ac:dyDescent="0.25">
      <c r="A1221">
        <v>5</v>
      </c>
      <c r="B1221">
        <v>5</v>
      </c>
      <c r="C1221"/>
      <c r="D1221" t="s">
        <v>31</v>
      </c>
      <c r="E1221" t="s">
        <v>35</v>
      </c>
      <c r="F1221" t="s">
        <v>48</v>
      </c>
      <c r="G1221" s="118">
        <v>0.37999999999999995</v>
      </c>
      <c r="H1221" s="118">
        <v>9.1435185185185185E-4</v>
      </c>
      <c r="I1221" s="118">
        <v>5.2083333333333333E-4</v>
      </c>
      <c r="J1221"/>
      <c r="K1221"/>
    </row>
    <row r="1222" spans="1:11" x14ac:dyDescent="0.25">
      <c r="A1222">
        <v>2</v>
      </c>
      <c r="B1222">
        <v>5</v>
      </c>
      <c r="C1222"/>
      <c r="D1222" t="s">
        <v>31</v>
      </c>
      <c r="E1222" t="s">
        <v>35</v>
      </c>
      <c r="F1222" t="s">
        <v>51</v>
      </c>
      <c r="G1222" s="118">
        <v>0.3800694444444444</v>
      </c>
      <c r="H1222" s="118">
        <v>9.1435185185185185E-4</v>
      </c>
      <c r="I1222" s="118">
        <v>3.4722222222222224E-4</v>
      </c>
      <c r="J1222"/>
      <c r="K1222"/>
    </row>
    <row r="1223" spans="1:11" x14ac:dyDescent="0.25">
      <c r="A1223">
        <v>1</v>
      </c>
      <c r="B1223">
        <v>4</v>
      </c>
      <c r="C1223"/>
      <c r="D1223" t="s">
        <v>31</v>
      </c>
      <c r="E1223" t="s">
        <v>35</v>
      </c>
      <c r="F1223" t="s">
        <v>33</v>
      </c>
      <c r="G1223" s="118">
        <v>0.38024305555555554</v>
      </c>
      <c r="H1223" s="118">
        <v>1.3541666666666667E-3</v>
      </c>
      <c r="I1223" s="118">
        <v>5.2083333333333333E-4</v>
      </c>
      <c r="J1223"/>
      <c r="K1223"/>
    </row>
    <row r="1224" spans="1:11" x14ac:dyDescent="0.25">
      <c r="A1224">
        <v>4</v>
      </c>
      <c r="B1224">
        <v>5</v>
      </c>
      <c r="C1224"/>
      <c r="D1224" t="s">
        <v>31</v>
      </c>
      <c r="E1224" t="s">
        <v>32</v>
      </c>
      <c r="F1224" t="s">
        <v>41</v>
      </c>
      <c r="G1224" s="118">
        <v>0.38025462962962964</v>
      </c>
      <c r="H1224" s="118">
        <v>3.4722222222222224E-4</v>
      </c>
      <c r="I1224" s="118">
        <v>8.564814814814815E-4</v>
      </c>
      <c r="J1224" s="118">
        <v>7.0717592592592594E-3</v>
      </c>
      <c r="K1224" s="118">
        <v>7.0717592592592594E-3</v>
      </c>
    </row>
    <row r="1225" spans="1:11" x14ac:dyDescent="0.25">
      <c r="A1225">
        <v>2</v>
      </c>
      <c r="B1225">
        <v>5</v>
      </c>
      <c r="C1225"/>
      <c r="D1225" t="s">
        <v>31</v>
      </c>
      <c r="E1225" t="s">
        <v>32</v>
      </c>
      <c r="F1225" t="s">
        <v>51</v>
      </c>
      <c r="G1225" s="118">
        <v>0.38041666666666668</v>
      </c>
      <c r="H1225" s="118">
        <v>3.4722222222222224E-4</v>
      </c>
      <c r="I1225" s="118">
        <v>1.0069444444444444E-3</v>
      </c>
      <c r="J1225" s="118">
        <v>7.0717592592592594E-3</v>
      </c>
      <c r="K1225" s="118">
        <v>7.0717592592592594E-3</v>
      </c>
    </row>
    <row r="1226" spans="1:11" x14ac:dyDescent="0.25">
      <c r="A1226">
        <v>5</v>
      </c>
      <c r="B1226">
        <v>5</v>
      </c>
      <c r="C1226"/>
      <c r="D1226" t="s">
        <v>31</v>
      </c>
      <c r="E1226" t="s">
        <v>32</v>
      </c>
      <c r="F1226" t="s">
        <v>48</v>
      </c>
      <c r="G1226" s="118">
        <v>0.38052083333333336</v>
      </c>
      <c r="H1226" s="118">
        <v>5.2083333333333333E-4</v>
      </c>
      <c r="I1226" s="118">
        <v>8.6805555555555551E-4</v>
      </c>
      <c r="J1226" s="118">
        <v>5.0462962962962961E-3</v>
      </c>
      <c r="K1226" s="118">
        <v>5.0462962962962961E-3</v>
      </c>
    </row>
    <row r="1227" spans="1:11" x14ac:dyDescent="0.25">
      <c r="A1227">
        <v>1</v>
      </c>
      <c r="B1227">
        <v>4</v>
      </c>
      <c r="C1227"/>
      <c r="D1227" t="s">
        <v>31</v>
      </c>
      <c r="E1227" t="s">
        <v>32</v>
      </c>
      <c r="F1227" t="s">
        <v>33</v>
      </c>
      <c r="G1227" s="118">
        <v>0.3807638888888889</v>
      </c>
      <c r="H1227" s="118">
        <v>5.2083333333333333E-4</v>
      </c>
      <c r="I1227" s="118">
        <v>9.6064814814814808E-4</v>
      </c>
      <c r="J1227" s="118">
        <v>5.0462962962962961E-3</v>
      </c>
      <c r="K1227" s="118">
        <v>7.0717592592592594E-3</v>
      </c>
    </row>
    <row r="1228" spans="1:11" x14ac:dyDescent="0.25">
      <c r="A1228">
        <v>3</v>
      </c>
      <c r="B1228">
        <v>5</v>
      </c>
      <c r="C1228"/>
      <c r="D1228" t="s">
        <v>31</v>
      </c>
      <c r="E1228" t="s">
        <v>35</v>
      </c>
      <c r="F1228" t="s">
        <v>52</v>
      </c>
      <c r="G1228" s="118">
        <v>0.38086805555555553</v>
      </c>
      <c r="H1228" s="118">
        <v>1.0416666666666667E-3</v>
      </c>
      <c r="I1228" s="118">
        <v>3.4722222222222224E-4</v>
      </c>
      <c r="J1228"/>
      <c r="K1228"/>
    </row>
    <row r="1229" spans="1:11" x14ac:dyDescent="0.25">
      <c r="A1229">
        <v>4</v>
      </c>
      <c r="B1229">
        <v>5</v>
      </c>
      <c r="C1229"/>
      <c r="D1229" t="s">
        <v>31</v>
      </c>
      <c r="E1229" t="s">
        <v>35</v>
      </c>
      <c r="F1229" t="s">
        <v>47</v>
      </c>
      <c r="G1229" s="118">
        <v>0.38111111111111112</v>
      </c>
      <c r="H1229" s="118">
        <v>8.564814814814815E-4</v>
      </c>
      <c r="I1229" s="118">
        <v>5.2083333333333333E-4</v>
      </c>
      <c r="J1229"/>
      <c r="K1229"/>
    </row>
    <row r="1230" spans="1:11" x14ac:dyDescent="0.25">
      <c r="A1230">
        <v>3</v>
      </c>
      <c r="B1230">
        <v>5</v>
      </c>
      <c r="C1230"/>
      <c r="D1230" t="s">
        <v>31</v>
      </c>
      <c r="E1230" t="s">
        <v>32</v>
      </c>
      <c r="F1230" t="s">
        <v>52</v>
      </c>
      <c r="G1230" s="118">
        <v>0.38121527777777775</v>
      </c>
      <c r="H1230" s="118">
        <v>3.4722222222222224E-4</v>
      </c>
      <c r="I1230" s="118">
        <v>1.0532407407407407E-3</v>
      </c>
      <c r="J1230" s="118">
        <v>7.0717592592592594E-3</v>
      </c>
      <c r="K1230" s="118">
        <v>7.0717592592592594E-3</v>
      </c>
    </row>
    <row r="1231" spans="1:11" x14ac:dyDescent="0.25">
      <c r="A1231">
        <v>6</v>
      </c>
      <c r="B1231">
        <v>5</v>
      </c>
      <c r="C1231"/>
      <c r="D1231" t="s">
        <v>31</v>
      </c>
      <c r="E1231" t="s">
        <v>35</v>
      </c>
      <c r="F1231" t="s">
        <v>56</v>
      </c>
      <c r="G1231" s="118">
        <v>0.38122685185185184</v>
      </c>
      <c r="H1231" s="118">
        <v>1.261574074074074E-3</v>
      </c>
      <c r="I1231" s="118">
        <v>3.4722222222222224E-4</v>
      </c>
      <c r="J1231"/>
      <c r="K1231"/>
    </row>
    <row r="1232" spans="1:11" x14ac:dyDescent="0.25">
      <c r="A1232">
        <v>5</v>
      </c>
      <c r="B1232">
        <v>5</v>
      </c>
      <c r="C1232"/>
      <c r="D1232" t="s">
        <v>31</v>
      </c>
      <c r="E1232" t="s">
        <v>35</v>
      </c>
      <c r="F1232" t="s">
        <v>54</v>
      </c>
      <c r="G1232" s="118">
        <v>0.38138888888888883</v>
      </c>
      <c r="H1232" s="118">
        <v>8.6805555555555551E-4</v>
      </c>
      <c r="I1232" s="118">
        <v>3.4722222222222224E-4</v>
      </c>
      <c r="J1232"/>
      <c r="K1232"/>
    </row>
    <row r="1233" spans="1:11" x14ac:dyDescent="0.25">
      <c r="A1233">
        <v>2</v>
      </c>
      <c r="B1233">
        <v>5</v>
      </c>
      <c r="C1233"/>
      <c r="D1233" t="s">
        <v>31</v>
      </c>
      <c r="E1233" t="s">
        <v>35</v>
      </c>
      <c r="F1233" t="s">
        <v>55</v>
      </c>
      <c r="G1233" s="118">
        <v>0.38142361111111112</v>
      </c>
      <c r="H1233" s="118">
        <v>1.0069444444444444E-3</v>
      </c>
      <c r="I1233" s="118">
        <v>4.6296296296296293E-4</v>
      </c>
      <c r="J1233"/>
      <c r="K1233"/>
    </row>
    <row r="1234" spans="1:11" x14ac:dyDescent="0.25">
      <c r="A1234">
        <v>6</v>
      </c>
      <c r="B1234">
        <v>5</v>
      </c>
      <c r="C1234"/>
      <c r="D1234" t="s">
        <v>31</v>
      </c>
      <c r="E1234" t="s">
        <v>32</v>
      </c>
      <c r="F1234" t="s">
        <v>56</v>
      </c>
      <c r="G1234" s="118">
        <v>0.38157407407407407</v>
      </c>
      <c r="H1234" s="118">
        <v>3.4722222222222224E-4</v>
      </c>
      <c r="I1234" s="118">
        <v>9.6064814814814808E-4</v>
      </c>
      <c r="J1234" s="118">
        <v>5.0462962962962961E-3</v>
      </c>
      <c r="K1234" s="118">
        <v>5.0462962962962961E-3</v>
      </c>
    </row>
    <row r="1235" spans="1:11" x14ac:dyDescent="0.25">
      <c r="A1235">
        <v>4</v>
      </c>
      <c r="B1235">
        <v>5</v>
      </c>
      <c r="C1235"/>
      <c r="D1235" t="s">
        <v>31</v>
      </c>
      <c r="E1235" t="s">
        <v>32</v>
      </c>
      <c r="F1235" t="s">
        <v>47</v>
      </c>
      <c r="G1235" s="118">
        <v>0.38163194444444448</v>
      </c>
      <c r="H1235" s="118">
        <v>5.2083333333333333E-4</v>
      </c>
      <c r="I1235" s="118">
        <v>8.7962962962962962E-4</v>
      </c>
      <c r="J1235" s="118">
        <v>7.0717592592592594E-3</v>
      </c>
      <c r="K1235" s="118">
        <v>7.0717592592592594E-3</v>
      </c>
    </row>
    <row r="1236" spans="1:11" x14ac:dyDescent="0.25">
      <c r="A1236">
        <v>1</v>
      </c>
      <c r="B1236">
        <v>4</v>
      </c>
      <c r="C1236"/>
      <c r="D1236" t="s">
        <v>31</v>
      </c>
      <c r="E1236" t="s">
        <v>35</v>
      </c>
      <c r="F1236" t="s">
        <v>36</v>
      </c>
      <c r="G1236" s="118">
        <v>0.38172453703703701</v>
      </c>
      <c r="H1236" s="118">
        <v>9.6064814814814808E-4</v>
      </c>
      <c r="I1236" s="118">
        <v>3.4722222222222224E-4</v>
      </c>
      <c r="J1236"/>
      <c r="K1236"/>
    </row>
    <row r="1237" spans="1:11" x14ac:dyDescent="0.25">
      <c r="A1237">
        <v>5</v>
      </c>
      <c r="B1237">
        <v>5</v>
      </c>
      <c r="C1237"/>
      <c r="D1237" t="s">
        <v>31</v>
      </c>
      <c r="E1237" t="s">
        <v>32</v>
      </c>
      <c r="F1237" t="s">
        <v>54</v>
      </c>
      <c r="G1237" s="118">
        <v>0.38173611111111111</v>
      </c>
      <c r="H1237" s="118">
        <v>3.4722222222222224E-4</v>
      </c>
      <c r="I1237" s="118">
        <v>1.1921296296296296E-3</v>
      </c>
      <c r="J1237" s="118">
        <v>5.0462962962962961E-3</v>
      </c>
      <c r="K1237" s="118">
        <v>5.0462962962962961E-3</v>
      </c>
    </row>
    <row r="1238" spans="1:11" x14ac:dyDescent="0.25">
      <c r="A1238">
        <v>2</v>
      </c>
      <c r="B1238">
        <v>5</v>
      </c>
      <c r="C1238"/>
      <c r="D1238" t="s">
        <v>31</v>
      </c>
      <c r="E1238" t="s">
        <v>32</v>
      </c>
      <c r="F1238" t="s">
        <v>55</v>
      </c>
      <c r="G1238" s="118">
        <v>0.38188657407407406</v>
      </c>
      <c r="H1238" s="118">
        <v>4.6296296296296293E-4</v>
      </c>
      <c r="I1238" s="118">
        <v>4.3981481481481481E-4</v>
      </c>
      <c r="J1238" s="118">
        <v>7.0717592592592594E-3</v>
      </c>
      <c r="K1238" s="118">
        <v>7.0717592592592594E-3</v>
      </c>
    </row>
    <row r="1239" spans="1:11" x14ac:dyDescent="0.25">
      <c r="A1239">
        <v>1</v>
      </c>
      <c r="B1239">
        <v>4</v>
      </c>
      <c r="C1239"/>
      <c r="D1239" t="s">
        <v>31</v>
      </c>
      <c r="E1239" t="s">
        <v>32</v>
      </c>
      <c r="F1239" t="s">
        <v>36</v>
      </c>
      <c r="G1239" s="118">
        <v>0.38207175925925929</v>
      </c>
      <c r="H1239" s="118">
        <v>3.4722222222222224E-4</v>
      </c>
      <c r="I1239" s="118">
        <v>1.0995370370370371E-3</v>
      </c>
      <c r="J1239" s="118">
        <v>5.0462962962962961E-3</v>
      </c>
      <c r="K1239" s="118">
        <v>7.0717592592592594E-3</v>
      </c>
    </row>
    <row r="1240" spans="1:11" x14ac:dyDescent="0.25">
      <c r="A1240">
        <v>3</v>
      </c>
      <c r="B1240">
        <v>5</v>
      </c>
      <c r="C1240"/>
      <c r="D1240" t="s">
        <v>31</v>
      </c>
      <c r="E1240" t="s">
        <v>35</v>
      </c>
      <c r="F1240" t="s">
        <v>57</v>
      </c>
      <c r="G1240" s="118">
        <v>0.38226851851851856</v>
      </c>
      <c r="H1240" s="118">
        <v>1.0532407407407407E-3</v>
      </c>
      <c r="I1240" s="118">
        <v>3.4722222222222224E-4</v>
      </c>
      <c r="J1240"/>
      <c r="K1240"/>
    </row>
    <row r="1241" spans="1:11" x14ac:dyDescent="0.25">
      <c r="A1241">
        <v>2</v>
      </c>
      <c r="B1241">
        <v>5</v>
      </c>
      <c r="C1241"/>
      <c r="D1241" t="s">
        <v>31</v>
      </c>
      <c r="E1241" t="s">
        <v>35</v>
      </c>
      <c r="F1241" t="s">
        <v>58</v>
      </c>
      <c r="G1241" s="118">
        <v>0.38232638888888887</v>
      </c>
      <c r="H1241" s="118">
        <v>4.3981481481481481E-4</v>
      </c>
      <c r="I1241" s="118">
        <v>5.7870370370370366E-5</v>
      </c>
      <c r="J1241"/>
      <c r="K1241"/>
    </row>
    <row r="1242" spans="1:11" x14ac:dyDescent="0.25">
      <c r="A1242">
        <v>2</v>
      </c>
      <c r="B1242">
        <v>5</v>
      </c>
      <c r="C1242"/>
      <c r="D1242" t="s">
        <v>31</v>
      </c>
      <c r="E1242" t="s">
        <v>32</v>
      </c>
      <c r="F1242" t="s">
        <v>58</v>
      </c>
      <c r="G1242" s="118">
        <v>0.38238425925925923</v>
      </c>
      <c r="H1242" s="118">
        <v>5.7870370370370366E-5</v>
      </c>
      <c r="I1242" s="118">
        <v>4.8611111111111104E-4</v>
      </c>
      <c r="J1242" s="118">
        <v>7.0717592592592594E-3</v>
      </c>
      <c r="K1242" s="118">
        <v>7.0717592592592594E-3</v>
      </c>
    </row>
    <row r="1243" spans="1:11" x14ac:dyDescent="0.25">
      <c r="A1243">
        <v>4</v>
      </c>
      <c r="B1243">
        <v>5</v>
      </c>
      <c r="C1243"/>
      <c r="D1243" t="s">
        <v>31</v>
      </c>
      <c r="E1243" t="s">
        <v>35</v>
      </c>
      <c r="F1243" t="s">
        <v>53</v>
      </c>
      <c r="G1243" s="118">
        <v>0.3825115740740741</v>
      </c>
      <c r="H1243" s="118">
        <v>8.7962962962962962E-4</v>
      </c>
      <c r="I1243" s="118">
        <v>3.4722222222222224E-4</v>
      </c>
      <c r="J1243"/>
      <c r="K1243"/>
    </row>
    <row r="1244" spans="1:11" x14ac:dyDescent="0.25">
      <c r="A1244">
        <v>6</v>
      </c>
      <c r="B1244">
        <v>5</v>
      </c>
      <c r="C1244"/>
      <c r="D1244" t="s">
        <v>31</v>
      </c>
      <c r="E1244" t="s">
        <v>35</v>
      </c>
      <c r="F1244" t="s">
        <v>37</v>
      </c>
      <c r="G1244" s="118">
        <v>0.38253472222222223</v>
      </c>
      <c r="H1244" s="118">
        <v>9.6064814814814808E-4</v>
      </c>
      <c r="I1244" s="118">
        <v>3.4722222222222224E-4</v>
      </c>
      <c r="J1244"/>
      <c r="K1244"/>
    </row>
    <row r="1245" spans="1:11" x14ac:dyDescent="0.25">
      <c r="A1245">
        <v>3</v>
      </c>
      <c r="B1245">
        <v>5</v>
      </c>
      <c r="C1245"/>
      <c r="D1245" t="s">
        <v>31</v>
      </c>
      <c r="E1245" t="s">
        <v>32</v>
      </c>
      <c r="F1245" t="s">
        <v>57</v>
      </c>
      <c r="G1245" s="118">
        <v>0.38261574074074073</v>
      </c>
      <c r="H1245" s="118">
        <v>3.4722222222222224E-4</v>
      </c>
      <c r="I1245" s="118">
        <v>9.3750000000000007E-4</v>
      </c>
      <c r="J1245" s="118">
        <v>7.0717592592592594E-3</v>
      </c>
      <c r="K1245" s="118">
        <v>7.0717592592592594E-3</v>
      </c>
    </row>
    <row r="1246" spans="1:11" x14ac:dyDescent="0.25">
      <c r="A1246">
        <v>4</v>
      </c>
      <c r="B1246">
        <v>5</v>
      </c>
      <c r="C1246"/>
      <c r="D1246" t="s">
        <v>31</v>
      </c>
      <c r="E1246" t="s">
        <v>32</v>
      </c>
      <c r="F1246" t="s">
        <v>53</v>
      </c>
      <c r="G1246" s="118">
        <v>0.38285879629629632</v>
      </c>
      <c r="H1246" s="118">
        <v>3.4722222222222224E-4</v>
      </c>
      <c r="I1246" s="118">
        <v>8.449074074074075E-4</v>
      </c>
      <c r="J1246" s="118">
        <v>7.0717592592592594E-3</v>
      </c>
      <c r="K1246" s="118">
        <v>7.0717592592592594E-3</v>
      </c>
    </row>
    <row r="1247" spans="1:11" x14ac:dyDescent="0.25">
      <c r="A1247">
        <v>2</v>
      </c>
      <c r="B1247">
        <v>5</v>
      </c>
      <c r="C1247"/>
      <c r="D1247" t="s">
        <v>31</v>
      </c>
      <c r="E1247" t="s">
        <v>35</v>
      </c>
      <c r="F1247" t="s">
        <v>40</v>
      </c>
      <c r="G1247" s="118">
        <v>0.38287037037037036</v>
      </c>
      <c r="H1247" s="118">
        <v>4.8611111111111104E-4</v>
      </c>
      <c r="I1247" s="118">
        <v>4.6296296296296293E-4</v>
      </c>
      <c r="J1247"/>
      <c r="K1247"/>
    </row>
    <row r="1248" spans="1:11" x14ac:dyDescent="0.25">
      <c r="A1248">
        <v>6</v>
      </c>
      <c r="B1248">
        <v>5</v>
      </c>
      <c r="C1248"/>
      <c r="D1248" t="s">
        <v>31</v>
      </c>
      <c r="E1248" t="s">
        <v>32</v>
      </c>
      <c r="F1248" t="s">
        <v>37</v>
      </c>
      <c r="G1248" s="118">
        <v>0.38288194444444446</v>
      </c>
      <c r="H1248" s="118">
        <v>3.4722222222222224E-4</v>
      </c>
      <c r="I1248" s="118">
        <v>9.0277777777777784E-4</v>
      </c>
      <c r="J1248" s="118">
        <v>5.0462962962962961E-3</v>
      </c>
      <c r="K1248" s="118">
        <v>5.0462962962962961E-3</v>
      </c>
    </row>
    <row r="1249" spans="1:11" x14ac:dyDescent="0.25">
      <c r="A1249">
        <v>5</v>
      </c>
      <c r="B1249">
        <v>5</v>
      </c>
      <c r="C1249"/>
      <c r="D1249" t="s">
        <v>31</v>
      </c>
      <c r="E1249" t="s">
        <v>35</v>
      </c>
      <c r="F1249" t="s">
        <v>92</v>
      </c>
      <c r="G1249" s="118">
        <v>0.38292824074074078</v>
      </c>
      <c r="H1249" s="118">
        <v>1.1921296296296296E-3</v>
      </c>
      <c r="I1249" s="118">
        <v>3.0439814814814821E-3</v>
      </c>
      <c r="J1249"/>
      <c r="K1249"/>
    </row>
    <row r="1250" spans="1:11" x14ac:dyDescent="0.25">
      <c r="A1250">
        <v>1</v>
      </c>
      <c r="B1250">
        <v>4</v>
      </c>
      <c r="C1250"/>
      <c r="D1250" t="s">
        <v>31</v>
      </c>
      <c r="E1250" t="s">
        <v>35</v>
      </c>
      <c r="F1250" t="s">
        <v>43</v>
      </c>
      <c r="G1250" s="118">
        <v>0.38317129629629632</v>
      </c>
      <c r="H1250" s="118">
        <v>1.0995370370370371E-3</v>
      </c>
      <c r="I1250" s="118">
        <v>3.4722222222222224E-4</v>
      </c>
      <c r="J1250"/>
      <c r="K1250"/>
    </row>
    <row r="1251" spans="1:11" x14ac:dyDescent="0.25">
      <c r="A1251">
        <v>2</v>
      </c>
      <c r="B1251">
        <v>5</v>
      </c>
      <c r="C1251"/>
      <c r="D1251" t="s">
        <v>31</v>
      </c>
      <c r="E1251" t="s">
        <v>32</v>
      </c>
      <c r="F1251" t="s">
        <v>40</v>
      </c>
      <c r="G1251" s="118">
        <v>0.3833333333333333</v>
      </c>
      <c r="H1251" s="118">
        <v>4.6296296296296293E-4</v>
      </c>
      <c r="I1251" s="118">
        <v>1.0069444444444444E-3</v>
      </c>
      <c r="J1251" s="118">
        <v>7.0717592592592594E-3</v>
      </c>
      <c r="K1251" s="118">
        <v>7.0717592592592594E-3</v>
      </c>
    </row>
    <row r="1252" spans="1:11" x14ac:dyDescent="0.25">
      <c r="A1252">
        <v>1</v>
      </c>
      <c r="B1252">
        <v>4</v>
      </c>
      <c r="C1252"/>
      <c r="D1252" t="s">
        <v>31</v>
      </c>
      <c r="E1252" t="s">
        <v>32</v>
      </c>
      <c r="F1252" t="s">
        <v>43</v>
      </c>
      <c r="G1252" s="118">
        <v>0.38351851851851854</v>
      </c>
      <c r="H1252" s="118">
        <v>3.4722222222222224E-4</v>
      </c>
      <c r="I1252" s="118">
        <v>1.1458333333333333E-3</v>
      </c>
      <c r="J1252" s="118">
        <v>5.0462962962962961E-3</v>
      </c>
      <c r="K1252" s="118">
        <v>7.0717592592592594E-3</v>
      </c>
    </row>
    <row r="1253" spans="1:11" x14ac:dyDescent="0.25">
      <c r="A1253">
        <v>3</v>
      </c>
      <c r="B1253">
        <v>5</v>
      </c>
      <c r="C1253"/>
      <c r="D1253" t="s">
        <v>31</v>
      </c>
      <c r="E1253" t="s">
        <v>35</v>
      </c>
      <c r="F1253" t="s">
        <v>39</v>
      </c>
      <c r="G1253" s="118">
        <v>0.38355324074074071</v>
      </c>
      <c r="H1253" s="118">
        <v>9.3750000000000007E-4</v>
      </c>
      <c r="I1253" s="118">
        <v>5.2083333333333333E-4</v>
      </c>
      <c r="J1253"/>
      <c r="K1253"/>
    </row>
    <row r="1254" spans="1:11" x14ac:dyDescent="0.25">
      <c r="A1254">
        <v>4</v>
      </c>
      <c r="B1254">
        <v>5</v>
      </c>
      <c r="C1254"/>
      <c r="D1254" t="s">
        <v>31</v>
      </c>
      <c r="E1254" t="s">
        <v>35</v>
      </c>
      <c r="F1254" t="s">
        <v>34</v>
      </c>
      <c r="G1254" s="118">
        <v>0.38370370370370371</v>
      </c>
      <c r="H1254" s="118">
        <v>8.449074074074075E-4</v>
      </c>
      <c r="I1254" s="118">
        <v>3.4722222222222224E-4</v>
      </c>
      <c r="J1254"/>
      <c r="K1254"/>
    </row>
    <row r="1255" spans="1:11" x14ac:dyDescent="0.25">
      <c r="A1255">
        <v>6</v>
      </c>
      <c r="B1255">
        <v>5</v>
      </c>
      <c r="C1255"/>
      <c r="D1255" t="s">
        <v>31</v>
      </c>
      <c r="E1255" t="s">
        <v>35</v>
      </c>
      <c r="F1255" t="s">
        <v>42</v>
      </c>
      <c r="G1255" s="118">
        <v>0.38378472222222221</v>
      </c>
      <c r="H1255" s="118">
        <v>9.0277777777777784E-4</v>
      </c>
      <c r="I1255" s="118">
        <v>3.4722222222222224E-4</v>
      </c>
      <c r="J1255"/>
      <c r="K1255"/>
    </row>
    <row r="1256" spans="1:11" x14ac:dyDescent="0.25">
      <c r="A1256">
        <v>4</v>
      </c>
      <c r="B1256">
        <v>5</v>
      </c>
      <c r="C1256"/>
      <c r="D1256" t="s">
        <v>31</v>
      </c>
      <c r="E1256" t="s">
        <v>32</v>
      </c>
      <c r="F1256" t="s">
        <v>34</v>
      </c>
      <c r="G1256" s="118">
        <v>0.38405092592592593</v>
      </c>
      <c r="H1256" s="118">
        <v>3.4722222222222224E-4</v>
      </c>
      <c r="I1256" s="118">
        <v>9.1435185185185185E-4</v>
      </c>
      <c r="J1256" s="118">
        <v>7.0717592592592594E-3</v>
      </c>
      <c r="K1256" s="118">
        <v>7.0717592592592594E-3</v>
      </c>
    </row>
    <row r="1257" spans="1:11" x14ac:dyDescent="0.25">
      <c r="A1257">
        <v>3</v>
      </c>
      <c r="B1257">
        <v>5</v>
      </c>
      <c r="C1257"/>
      <c r="D1257" t="s">
        <v>31</v>
      </c>
      <c r="E1257" t="s">
        <v>32</v>
      </c>
      <c r="F1257" t="s">
        <v>39</v>
      </c>
      <c r="G1257" s="118">
        <v>0.38407407407407407</v>
      </c>
      <c r="H1257" s="118">
        <v>5.2083333333333333E-4</v>
      </c>
      <c r="I1257" s="118">
        <v>1.8055555555555557E-3</v>
      </c>
      <c r="J1257" s="118">
        <v>7.0717592592592594E-3</v>
      </c>
      <c r="K1257" s="118">
        <v>7.0717592592592594E-3</v>
      </c>
    </row>
    <row r="1258" spans="1:11" x14ac:dyDescent="0.25">
      <c r="A1258">
        <v>6</v>
      </c>
      <c r="B1258">
        <v>5</v>
      </c>
      <c r="C1258"/>
      <c r="D1258" t="s">
        <v>31</v>
      </c>
      <c r="E1258" t="s">
        <v>32</v>
      </c>
      <c r="F1258" t="s">
        <v>42</v>
      </c>
      <c r="G1258" s="118">
        <v>0.38413194444444443</v>
      </c>
      <c r="H1258" s="118">
        <v>3.4722222222222224E-4</v>
      </c>
      <c r="I1258" s="118">
        <v>9.1435185185185185E-4</v>
      </c>
      <c r="J1258" s="118">
        <v>5.0462962962962961E-3</v>
      </c>
      <c r="K1258" s="118">
        <v>5.0462962962962961E-3</v>
      </c>
    </row>
    <row r="1259" spans="1:11" x14ac:dyDescent="0.25">
      <c r="A1259">
        <v>2</v>
      </c>
      <c r="B1259">
        <v>5</v>
      </c>
      <c r="C1259"/>
      <c r="D1259" t="s">
        <v>31</v>
      </c>
      <c r="E1259" t="s">
        <v>35</v>
      </c>
      <c r="F1259" t="s">
        <v>44</v>
      </c>
      <c r="G1259" s="118">
        <v>0.38434027777777779</v>
      </c>
      <c r="H1259" s="118">
        <v>1.0069444444444444E-3</v>
      </c>
      <c r="I1259" s="118">
        <v>3.4722222222222224E-4</v>
      </c>
      <c r="J1259"/>
      <c r="K1259"/>
    </row>
    <row r="1260" spans="1:11" x14ac:dyDescent="0.25">
      <c r="A1260">
        <v>1</v>
      </c>
      <c r="B1260">
        <v>4</v>
      </c>
      <c r="C1260"/>
      <c r="D1260" t="s">
        <v>31</v>
      </c>
      <c r="E1260" t="s">
        <v>35</v>
      </c>
      <c r="F1260" t="s">
        <v>50</v>
      </c>
      <c r="G1260" s="118">
        <v>0.38466435185185183</v>
      </c>
      <c r="H1260" s="118">
        <v>1.1458333333333333E-3</v>
      </c>
      <c r="I1260" s="118">
        <v>3.4722222222222224E-4</v>
      </c>
      <c r="J1260"/>
      <c r="K1260"/>
    </row>
    <row r="1261" spans="1:11" x14ac:dyDescent="0.25">
      <c r="A1261">
        <v>2</v>
      </c>
      <c r="B1261">
        <v>5</v>
      </c>
      <c r="C1261"/>
      <c r="D1261" t="s">
        <v>31</v>
      </c>
      <c r="E1261" t="s">
        <v>32</v>
      </c>
      <c r="F1261" t="s">
        <v>44</v>
      </c>
      <c r="G1261" s="118">
        <v>0.38468750000000002</v>
      </c>
      <c r="H1261" s="118">
        <v>3.4722222222222224E-4</v>
      </c>
      <c r="I1261" s="118">
        <v>9.2592592592592585E-4</v>
      </c>
      <c r="J1261" s="118">
        <v>7.0717592592592594E-3</v>
      </c>
      <c r="K1261" s="118">
        <v>7.0717592592592594E-3</v>
      </c>
    </row>
    <row r="1262" spans="1:11" x14ac:dyDescent="0.25">
      <c r="A1262">
        <v>4</v>
      </c>
      <c r="B1262">
        <v>5</v>
      </c>
      <c r="C1262"/>
      <c r="D1262" t="s">
        <v>31</v>
      </c>
      <c r="E1262" t="s">
        <v>35</v>
      </c>
      <c r="F1262" t="s">
        <v>38</v>
      </c>
      <c r="G1262" s="118">
        <v>0.38496527777777773</v>
      </c>
      <c r="H1262" s="118">
        <v>9.1435185185185185E-4</v>
      </c>
      <c r="I1262" s="118">
        <v>3.4722222222222224E-4</v>
      </c>
      <c r="J1262"/>
      <c r="K1262"/>
    </row>
    <row r="1263" spans="1:11" x14ac:dyDescent="0.25">
      <c r="A1263">
        <v>1</v>
      </c>
      <c r="B1263">
        <v>4</v>
      </c>
      <c r="C1263"/>
      <c r="D1263" t="s">
        <v>31</v>
      </c>
      <c r="E1263" t="s">
        <v>32</v>
      </c>
      <c r="F1263" t="s">
        <v>50</v>
      </c>
      <c r="G1263" s="118">
        <v>0.38501157407407405</v>
      </c>
      <c r="H1263" s="118">
        <v>3.4722222222222224E-4</v>
      </c>
      <c r="I1263" s="118">
        <v>1.261574074074074E-3</v>
      </c>
      <c r="J1263" s="118">
        <v>5.0462962962962961E-3</v>
      </c>
      <c r="K1263" s="118">
        <v>7.0717592592592594E-3</v>
      </c>
    </row>
    <row r="1264" spans="1:11" x14ac:dyDescent="0.25">
      <c r="A1264">
        <v>6</v>
      </c>
      <c r="B1264">
        <v>5</v>
      </c>
      <c r="C1264"/>
      <c r="D1264" t="s">
        <v>31</v>
      </c>
      <c r="E1264" t="s">
        <v>35</v>
      </c>
      <c r="F1264" t="s">
        <v>48</v>
      </c>
      <c r="G1264" s="118">
        <v>0.38504629629629633</v>
      </c>
      <c r="H1264" s="118">
        <v>9.1435185185185185E-4</v>
      </c>
      <c r="I1264" s="118">
        <v>5.2083333333333333E-4</v>
      </c>
      <c r="J1264"/>
      <c r="K1264"/>
    </row>
    <row r="1265" spans="1:11" x14ac:dyDescent="0.25">
      <c r="A1265">
        <v>4</v>
      </c>
      <c r="B1265">
        <v>5</v>
      </c>
      <c r="C1265"/>
      <c r="D1265" t="s">
        <v>31</v>
      </c>
      <c r="E1265" t="s">
        <v>32</v>
      </c>
      <c r="F1265" t="s">
        <v>38</v>
      </c>
      <c r="G1265" s="118">
        <v>0.3853125</v>
      </c>
      <c r="H1265" s="118">
        <v>3.4722222222222224E-4</v>
      </c>
      <c r="I1265" s="118">
        <v>1.2384259259259258E-3</v>
      </c>
      <c r="J1265" s="118">
        <v>7.0717592592592594E-3</v>
      </c>
      <c r="K1265" s="118">
        <v>7.0717592592592594E-3</v>
      </c>
    </row>
    <row r="1266" spans="1:11" x14ac:dyDescent="0.25">
      <c r="A1266">
        <v>6</v>
      </c>
      <c r="B1266">
        <v>5</v>
      </c>
      <c r="C1266"/>
      <c r="D1266" t="s">
        <v>31</v>
      </c>
      <c r="E1266" t="s">
        <v>32</v>
      </c>
      <c r="F1266" t="s">
        <v>48</v>
      </c>
      <c r="G1266" s="118">
        <v>0.38556712962962963</v>
      </c>
      <c r="H1266" s="118">
        <v>5.2083333333333333E-4</v>
      </c>
      <c r="I1266" s="118">
        <v>8.6805555555555551E-4</v>
      </c>
      <c r="J1266" s="118">
        <v>5.0462962962962961E-3</v>
      </c>
      <c r="K1266" s="118">
        <v>5.0462962962962961E-3</v>
      </c>
    </row>
    <row r="1267" spans="1:11" x14ac:dyDescent="0.25">
      <c r="A1267">
        <v>2</v>
      </c>
      <c r="B1267">
        <v>5</v>
      </c>
      <c r="C1267"/>
      <c r="D1267" t="s">
        <v>31</v>
      </c>
      <c r="E1267" t="s">
        <v>35</v>
      </c>
      <c r="F1267" t="s">
        <v>49</v>
      </c>
      <c r="G1267" s="118">
        <v>0.3856134259259259</v>
      </c>
      <c r="H1267" s="118">
        <v>9.2592592592592585E-4</v>
      </c>
      <c r="I1267" s="118">
        <v>3.4722222222222224E-4</v>
      </c>
      <c r="J1267"/>
      <c r="K1267"/>
    </row>
    <row r="1268" spans="1:11" x14ac:dyDescent="0.25">
      <c r="A1268">
        <v>3</v>
      </c>
      <c r="B1268">
        <v>5</v>
      </c>
      <c r="C1268"/>
      <c r="D1268" t="s">
        <v>31</v>
      </c>
      <c r="E1268" t="s">
        <v>35</v>
      </c>
      <c r="F1268" t="s">
        <v>46</v>
      </c>
      <c r="G1268" s="118">
        <v>0.38587962962962963</v>
      </c>
      <c r="H1268" s="118">
        <v>1.8055555555555557E-3</v>
      </c>
      <c r="I1268" s="118">
        <v>3.4722222222222224E-4</v>
      </c>
      <c r="J1268"/>
      <c r="K1268"/>
    </row>
    <row r="1269" spans="1:11" x14ac:dyDescent="0.25">
      <c r="A1269">
        <v>2</v>
      </c>
      <c r="B1269">
        <v>5</v>
      </c>
      <c r="C1269"/>
      <c r="D1269" t="s">
        <v>31</v>
      </c>
      <c r="E1269" t="s">
        <v>32</v>
      </c>
      <c r="F1269" t="s">
        <v>49</v>
      </c>
      <c r="G1269" s="118">
        <v>0.38596064814814812</v>
      </c>
      <c r="H1269" s="118">
        <v>3.4722222222222224E-4</v>
      </c>
      <c r="I1269" s="118">
        <v>1.3541666666666667E-3</v>
      </c>
      <c r="J1269" s="118">
        <v>7.0717592592592594E-3</v>
      </c>
      <c r="K1269" s="118">
        <v>7.0717592592592594E-3</v>
      </c>
    </row>
    <row r="1270" spans="1:11" x14ac:dyDescent="0.25">
      <c r="A1270">
        <v>5</v>
      </c>
      <c r="B1270">
        <v>6</v>
      </c>
      <c r="C1270"/>
      <c r="D1270" t="s">
        <v>31</v>
      </c>
      <c r="E1270" t="s">
        <v>32</v>
      </c>
      <c r="F1270" t="s">
        <v>92</v>
      </c>
      <c r="G1270" s="118">
        <v>0.38597222222222222</v>
      </c>
      <c r="H1270" s="118">
        <v>3.0439814814814821E-3</v>
      </c>
      <c r="I1270" s="118">
        <v>1.0069444444444444E-3</v>
      </c>
      <c r="J1270" s="118">
        <v>7.0717592592592594E-3</v>
      </c>
      <c r="K1270" s="118">
        <v>7.0717592592592594E-3</v>
      </c>
    </row>
    <row r="1271" spans="1:11" x14ac:dyDescent="0.25">
      <c r="A1271">
        <v>3</v>
      </c>
      <c r="B1271">
        <v>5</v>
      </c>
      <c r="C1271"/>
      <c r="D1271" t="s">
        <v>31</v>
      </c>
      <c r="E1271" t="s">
        <v>32</v>
      </c>
      <c r="F1271" t="s">
        <v>46</v>
      </c>
      <c r="G1271" s="118">
        <v>0.38622685185185185</v>
      </c>
      <c r="H1271" s="118">
        <v>3.4722222222222224E-4</v>
      </c>
      <c r="I1271" s="118">
        <v>9.1435185185185185E-4</v>
      </c>
      <c r="J1271" s="118">
        <v>7.0717592592592594E-3</v>
      </c>
      <c r="K1271" s="118">
        <v>7.0717592592592594E-3</v>
      </c>
    </row>
    <row r="1272" spans="1:11" x14ac:dyDescent="0.25">
      <c r="A1272">
        <v>1</v>
      </c>
      <c r="B1272">
        <v>4</v>
      </c>
      <c r="C1272"/>
      <c r="D1272" t="s">
        <v>31</v>
      </c>
      <c r="E1272" t="s">
        <v>35</v>
      </c>
      <c r="F1272" t="s">
        <v>56</v>
      </c>
      <c r="G1272" s="118">
        <v>0.38627314814814812</v>
      </c>
      <c r="H1272" s="118">
        <v>1.261574074074074E-3</v>
      </c>
      <c r="I1272" s="118">
        <v>3.4722222222222224E-4</v>
      </c>
      <c r="J1272"/>
      <c r="K1272"/>
    </row>
    <row r="1273" spans="1:11" x14ac:dyDescent="0.25">
      <c r="A1273">
        <v>6</v>
      </c>
      <c r="B1273">
        <v>5</v>
      </c>
      <c r="C1273"/>
      <c r="D1273" t="s">
        <v>31</v>
      </c>
      <c r="E1273" t="s">
        <v>35</v>
      </c>
      <c r="F1273" t="s">
        <v>54</v>
      </c>
      <c r="G1273" s="118">
        <v>0.38643518518518521</v>
      </c>
      <c r="H1273" s="118">
        <v>8.6805555555555551E-4</v>
      </c>
      <c r="I1273" s="118">
        <v>3.4722222222222224E-4</v>
      </c>
      <c r="J1273"/>
      <c r="K1273"/>
    </row>
    <row r="1274" spans="1:11" x14ac:dyDescent="0.25">
      <c r="A1274">
        <v>4</v>
      </c>
      <c r="B1274">
        <v>5</v>
      </c>
      <c r="C1274"/>
      <c r="D1274" t="s">
        <v>31</v>
      </c>
      <c r="E1274" t="s">
        <v>35</v>
      </c>
      <c r="F1274" t="s">
        <v>45</v>
      </c>
      <c r="G1274" s="118">
        <v>0.38655092592592594</v>
      </c>
      <c r="H1274" s="118">
        <v>1.2384259259259258E-3</v>
      </c>
      <c r="I1274" s="118">
        <v>3.4722222222222224E-4</v>
      </c>
      <c r="J1274"/>
      <c r="K1274"/>
    </row>
    <row r="1275" spans="1:11" x14ac:dyDescent="0.25">
      <c r="A1275">
        <v>1</v>
      </c>
      <c r="B1275">
        <v>4</v>
      </c>
      <c r="C1275"/>
      <c r="D1275" t="s">
        <v>31</v>
      </c>
      <c r="E1275" t="s">
        <v>32</v>
      </c>
      <c r="F1275" t="s">
        <v>56</v>
      </c>
      <c r="G1275" s="118">
        <v>0.38662037037037034</v>
      </c>
      <c r="H1275" s="118">
        <v>3.4722222222222224E-4</v>
      </c>
      <c r="I1275" s="118">
        <v>9.6064814814814808E-4</v>
      </c>
      <c r="J1275" s="118">
        <v>5.0462962962962961E-3</v>
      </c>
      <c r="K1275" s="118">
        <v>7.0717592592592594E-3</v>
      </c>
    </row>
    <row r="1276" spans="1:11" x14ac:dyDescent="0.25">
      <c r="A1276">
        <v>6</v>
      </c>
      <c r="B1276">
        <v>5</v>
      </c>
      <c r="C1276"/>
      <c r="D1276" t="s">
        <v>31</v>
      </c>
      <c r="E1276" t="s">
        <v>32</v>
      </c>
      <c r="F1276" t="s">
        <v>54</v>
      </c>
      <c r="G1276" s="118">
        <v>0.38678240740740738</v>
      </c>
      <c r="H1276" s="118">
        <v>3.4722222222222224E-4</v>
      </c>
      <c r="I1276" s="118">
        <v>1.1921296296296296E-3</v>
      </c>
      <c r="J1276" s="118">
        <v>5.0462962962962961E-3</v>
      </c>
      <c r="K1276" s="118">
        <v>5.0462962962962961E-3</v>
      </c>
    </row>
    <row r="1277" spans="1:11" x14ac:dyDescent="0.25">
      <c r="A1277">
        <v>4</v>
      </c>
      <c r="B1277">
        <v>5</v>
      </c>
      <c r="C1277"/>
      <c r="D1277" t="s">
        <v>31</v>
      </c>
      <c r="E1277" t="s">
        <v>32</v>
      </c>
      <c r="F1277" t="s">
        <v>45</v>
      </c>
      <c r="G1277" s="118">
        <v>0.38689814814814816</v>
      </c>
      <c r="H1277" s="118">
        <v>3.4722222222222224E-4</v>
      </c>
      <c r="I1277" s="118">
        <v>1.0416666666666667E-3</v>
      </c>
      <c r="J1277" s="118">
        <v>7.0717592592592594E-3</v>
      </c>
      <c r="K1277" s="118">
        <v>7.0717592592592594E-3</v>
      </c>
    </row>
    <row r="1278" spans="1:11" x14ac:dyDescent="0.25">
      <c r="A1278">
        <v>5</v>
      </c>
      <c r="B1278">
        <v>6</v>
      </c>
      <c r="C1278"/>
      <c r="D1278" t="s">
        <v>31</v>
      </c>
      <c r="E1278" t="s">
        <v>35</v>
      </c>
      <c r="F1278" t="s">
        <v>41</v>
      </c>
      <c r="G1278" s="118">
        <v>0.38697916666666665</v>
      </c>
      <c r="H1278" s="118">
        <v>1.0069444444444444E-3</v>
      </c>
      <c r="I1278" s="118">
        <v>3.4722222222222224E-4</v>
      </c>
      <c r="J1278"/>
      <c r="K1278"/>
    </row>
    <row r="1279" spans="1:11" x14ac:dyDescent="0.25">
      <c r="A1279">
        <v>3</v>
      </c>
      <c r="B1279">
        <v>5</v>
      </c>
      <c r="C1279"/>
      <c r="D1279" t="s">
        <v>31</v>
      </c>
      <c r="E1279" t="s">
        <v>35</v>
      </c>
      <c r="F1279" t="s">
        <v>51</v>
      </c>
      <c r="G1279" s="118">
        <v>0.3871412037037037</v>
      </c>
      <c r="H1279" s="118">
        <v>9.1435185185185185E-4</v>
      </c>
      <c r="I1279" s="118">
        <v>3.4722222222222224E-4</v>
      </c>
      <c r="J1279"/>
      <c r="K1279"/>
    </row>
    <row r="1280" spans="1:11" x14ac:dyDescent="0.25">
      <c r="A1280">
        <v>2</v>
      </c>
      <c r="B1280">
        <v>5</v>
      </c>
      <c r="C1280"/>
      <c r="D1280" t="s">
        <v>31</v>
      </c>
      <c r="E1280" t="s">
        <v>35</v>
      </c>
      <c r="F1280" t="s">
        <v>33</v>
      </c>
      <c r="G1280" s="118">
        <v>0.38731481481481483</v>
      </c>
      <c r="H1280" s="118">
        <v>1.3541666666666667E-3</v>
      </c>
      <c r="I1280" s="118">
        <v>5.2083333333333333E-4</v>
      </c>
      <c r="J1280"/>
      <c r="K1280"/>
    </row>
    <row r="1281" spans="1:11" x14ac:dyDescent="0.25">
      <c r="A1281">
        <v>5</v>
      </c>
      <c r="B1281">
        <v>6</v>
      </c>
      <c r="C1281"/>
      <c r="D1281" t="s">
        <v>31</v>
      </c>
      <c r="E1281" t="s">
        <v>32</v>
      </c>
      <c r="F1281" t="s">
        <v>41</v>
      </c>
      <c r="G1281" s="118">
        <v>0.38732638888888887</v>
      </c>
      <c r="H1281" s="118">
        <v>3.4722222222222224E-4</v>
      </c>
      <c r="I1281" s="118">
        <v>8.564814814814815E-4</v>
      </c>
      <c r="J1281" s="118">
        <v>7.0717592592592594E-3</v>
      </c>
      <c r="K1281" s="118">
        <v>7.0717592592592594E-3</v>
      </c>
    </row>
    <row r="1282" spans="1:11" x14ac:dyDescent="0.25">
      <c r="A1282">
        <v>3</v>
      </c>
      <c r="B1282">
        <v>5</v>
      </c>
      <c r="C1282"/>
      <c r="D1282" t="s">
        <v>31</v>
      </c>
      <c r="E1282" t="s">
        <v>32</v>
      </c>
      <c r="F1282" t="s">
        <v>51</v>
      </c>
      <c r="G1282" s="118">
        <v>0.38748842592592592</v>
      </c>
      <c r="H1282" s="118">
        <v>3.4722222222222224E-4</v>
      </c>
      <c r="I1282" s="118">
        <v>1.0069444444444444E-3</v>
      </c>
      <c r="J1282" s="118">
        <v>7.0717592592592594E-3</v>
      </c>
      <c r="K1282" s="118">
        <v>7.0717592592592594E-3</v>
      </c>
    </row>
    <row r="1283" spans="1:11" x14ac:dyDescent="0.25">
      <c r="A1283">
        <v>1</v>
      </c>
      <c r="B1283">
        <v>4</v>
      </c>
      <c r="C1283"/>
      <c r="D1283" t="s">
        <v>31</v>
      </c>
      <c r="E1283" t="s">
        <v>35</v>
      </c>
      <c r="F1283" t="s">
        <v>37</v>
      </c>
      <c r="G1283" s="118">
        <v>0.38758101851851851</v>
      </c>
      <c r="H1283" s="118">
        <v>9.6064814814814808E-4</v>
      </c>
      <c r="I1283" s="118">
        <v>3.4722222222222224E-4</v>
      </c>
      <c r="J1283"/>
      <c r="K1283"/>
    </row>
    <row r="1284" spans="1:11" x14ac:dyDescent="0.25">
      <c r="A1284">
        <v>2</v>
      </c>
      <c r="B1284">
        <v>5</v>
      </c>
      <c r="C1284"/>
      <c r="D1284" t="s">
        <v>31</v>
      </c>
      <c r="E1284" t="s">
        <v>32</v>
      </c>
      <c r="F1284" t="s">
        <v>33</v>
      </c>
      <c r="G1284" s="118">
        <v>0.38783564814814814</v>
      </c>
      <c r="H1284" s="118">
        <v>5.2083333333333333E-4</v>
      </c>
      <c r="I1284" s="118">
        <v>9.6064814814814808E-4</v>
      </c>
      <c r="J1284" s="118">
        <v>7.0717592592592594E-3</v>
      </c>
      <c r="K1284" s="118">
        <v>7.0717592592592594E-3</v>
      </c>
    </row>
    <row r="1285" spans="1:11" x14ac:dyDescent="0.25">
      <c r="A1285">
        <v>1</v>
      </c>
      <c r="B1285">
        <v>4</v>
      </c>
      <c r="C1285"/>
      <c r="D1285" t="s">
        <v>31</v>
      </c>
      <c r="E1285" t="s">
        <v>32</v>
      </c>
      <c r="F1285" t="s">
        <v>37</v>
      </c>
      <c r="G1285" s="118">
        <v>0.38792824074074073</v>
      </c>
      <c r="H1285" s="118">
        <v>3.4722222222222224E-4</v>
      </c>
      <c r="I1285" s="118">
        <v>9.0277777777777784E-4</v>
      </c>
      <c r="J1285" s="118">
        <v>5.0462962962962961E-3</v>
      </c>
      <c r="K1285" s="118">
        <v>7.0717592592592594E-3</v>
      </c>
    </row>
    <row r="1286" spans="1:11" x14ac:dyDescent="0.25">
      <c r="A1286">
        <v>4</v>
      </c>
      <c r="B1286">
        <v>5</v>
      </c>
      <c r="C1286"/>
      <c r="D1286" t="s">
        <v>31</v>
      </c>
      <c r="E1286" t="s">
        <v>35</v>
      </c>
      <c r="F1286" t="s">
        <v>52</v>
      </c>
      <c r="G1286" s="118">
        <v>0.38793981481481482</v>
      </c>
      <c r="H1286" s="118">
        <v>1.0416666666666667E-3</v>
      </c>
      <c r="I1286" s="118">
        <v>3.4722222222222224E-4</v>
      </c>
      <c r="J1286"/>
      <c r="K1286"/>
    </row>
    <row r="1287" spans="1:11" x14ac:dyDescent="0.25">
      <c r="A1287">
        <v>6</v>
      </c>
      <c r="B1287">
        <v>5</v>
      </c>
      <c r="C1287"/>
      <c r="D1287" t="s">
        <v>31</v>
      </c>
      <c r="E1287" t="s">
        <v>35</v>
      </c>
      <c r="F1287" t="s">
        <v>92</v>
      </c>
      <c r="G1287" s="118">
        <v>0.38797453703703705</v>
      </c>
      <c r="H1287" s="118">
        <v>1.1921296296296296E-3</v>
      </c>
      <c r="I1287"/>
      <c r="J1287"/>
      <c r="K1287"/>
    </row>
    <row r="1288" spans="1:11" x14ac:dyDescent="0.25">
      <c r="A1288">
        <v>5</v>
      </c>
      <c r="B1288">
        <v>6</v>
      </c>
      <c r="C1288"/>
      <c r="D1288" t="s">
        <v>31</v>
      </c>
      <c r="E1288" t="s">
        <v>35</v>
      </c>
      <c r="F1288" t="s">
        <v>47</v>
      </c>
      <c r="G1288" s="118">
        <v>0.38818287037037041</v>
      </c>
      <c r="H1288" s="118">
        <v>8.564814814814815E-4</v>
      </c>
      <c r="I1288" s="118">
        <v>5.2083333333333333E-4</v>
      </c>
      <c r="J1288"/>
      <c r="K1288"/>
    </row>
    <row r="1289" spans="1:11" x14ac:dyDescent="0.25">
      <c r="A1289">
        <v>4</v>
      </c>
      <c r="B1289">
        <v>5</v>
      </c>
      <c r="C1289"/>
      <c r="D1289" t="s">
        <v>31</v>
      </c>
      <c r="E1289" t="s">
        <v>32</v>
      </c>
      <c r="F1289" t="s">
        <v>52</v>
      </c>
      <c r="G1289" s="118">
        <v>0.38828703703703704</v>
      </c>
      <c r="H1289" s="118">
        <v>3.4722222222222224E-4</v>
      </c>
      <c r="I1289" s="118">
        <v>1.0532407407407407E-3</v>
      </c>
      <c r="J1289" s="118">
        <v>7.0717592592592594E-3</v>
      </c>
      <c r="K1289" s="118">
        <v>7.0717592592592594E-3</v>
      </c>
    </row>
    <row r="1290" spans="1:11" x14ac:dyDescent="0.25">
      <c r="A1290">
        <v>3</v>
      </c>
      <c r="B1290">
        <v>5</v>
      </c>
      <c r="C1290"/>
      <c r="D1290" t="s">
        <v>31</v>
      </c>
      <c r="E1290" t="s">
        <v>35</v>
      </c>
      <c r="F1290" t="s">
        <v>55</v>
      </c>
      <c r="G1290" s="118">
        <v>0.38849537037037035</v>
      </c>
      <c r="H1290" s="118">
        <v>1.0069444444444444E-3</v>
      </c>
      <c r="I1290" s="118">
        <v>4.6296296296296293E-4</v>
      </c>
      <c r="J1290"/>
      <c r="K1290"/>
    </row>
    <row r="1291" spans="1:11" x14ac:dyDescent="0.25">
      <c r="A1291">
        <v>5</v>
      </c>
      <c r="B1291">
        <v>6</v>
      </c>
      <c r="C1291"/>
      <c r="D1291" t="s">
        <v>31</v>
      </c>
      <c r="E1291" t="s">
        <v>32</v>
      </c>
      <c r="F1291" t="s">
        <v>47</v>
      </c>
      <c r="G1291" s="118">
        <v>0.38870370370370372</v>
      </c>
      <c r="H1291" s="118">
        <v>5.2083333333333333E-4</v>
      </c>
      <c r="I1291" s="118">
        <v>8.7962962962962962E-4</v>
      </c>
      <c r="J1291" s="118">
        <v>7.0717592592592594E-3</v>
      </c>
      <c r="K1291" s="118">
        <v>7.0717592592592594E-3</v>
      </c>
    </row>
    <row r="1292" spans="1:11" x14ac:dyDescent="0.25">
      <c r="A1292">
        <v>2</v>
      </c>
      <c r="B1292">
        <v>5</v>
      </c>
      <c r="C1292"/>
      <c r="D1292" t="s">
        <v>31</v>
      </c>
      <c r="E1292" t="s">
        <v>35</v>
      </c>
      <c r="F1292" t="s">
        <v>36</v>
      </c>
      <c r="G1292" s="118">
        <v>0.38879629629629631</v>
      </c>
      <c r="H1292" s="118">
        <v>9.6064814814814808E-4</v>
      </c>
      <c r="I1292" s="118">
        <v>3.4722222222222224E-4</v>
      </c>
      <c r="J1292"/>
      <c r="K1292"/>
    </row>
    <row r="1293" spans="1:11" x14ac:dyDescent="0.25">
      <c r="A1293">
        <v>1</v>
      </c>
      <c r="B1293">
        <v>4</v>
      </c>
      <c r="C1293"/>
      <c r="D1293" t="s">
        <v>31</v>
      </c>
      <c r="E1293" t="s">
        <v>35</v>
      </c>
      <c r="F1293" t="s">
        <v>42</v>
      </c>
      <c r="G1293" s="118">
        <v>0.38883101851851848</v>
      </c>
      <c r="H1293" s="118">
        <v>9.0277777777777784E-4</v>
      </c>
      <c r="I1293" s="118">
        <v>3.4722222222222224E-4</v>
      </c>
      <c r="J1293"/>
      <c r="K1293"/>
    </row>
    <row r="1294" spans="1:11" x14ac:dyDescent="0.25">
      <c r="A1294">
        <v>3</v>
      </c>
      <c r="B1294">
        <v>5</v>
      </c>
      <c r="C1294"/>
      <c r="D1294" t="s">
        <v>31</v>
      </c>
      <c r="E1294" t="s">
        <v>32</v>
      </c>
      <c r="F1294" t="s">
        <v>55</v>
      </c>
      <c r="G1294" s="118">
        <v>0.38895833333333335</v>
      </c>
      <c r="H1294" s="118">
        <v>4.6296296296296293E-4</v>
      </c>
      <c r="I1294" s="118">
        <v>4.3981481481481481E-4</v>
      </c>
      <c r="J1294" s="118">
        <v>7.0717592592592594E-3</v>
      </c>
      <c r="K1294" s="118">
        <v>7.0717592592592594E-3</v>
      </c>
    </row>
    <row r="1295" spans="1:11" x14ac:dyDescent="0.25">
      <c r="A1295">
        <v>2</v>
      </c>
      <c r="B1295">
        <v>5</v>
      </c>
      <c r="C1295"/>
      <c r="D1295" t="s">
        <v>31</v>
      </c>
      <c r="E1295" t="s">
        <v>32</v>
      </c>
      <c r="F1295" t="s">
        <v>36</v>
      </c>
      <c r="G1295" s="118">
        <v>0.38914351851851853</v>
      </c>
      <c r="H1295" s="118">
        <v>3.4722222222222224E-4</v>
      </c>
      <c r="I1295" s="118">
        <v>1.0995370370370371E-3</v>
      </c>
      <c r="J1295" s="118">
        <v>7.0717592592592594E-3</v>
      </c>
      <c r="K1295" s="118">
        <v>7.0717592592592594E-3</v>
      </c>
    </row>
    <row r="1296" spans="1:11" x14ac:dyDescent="0.25">
      <c r="A1296">
        <v>1</v>
      </c>
      <c r="B1296">
        <v>4</v>
      </c>
      <c r="C1296"/>
      <c r="D1296" t="s">
        <v>31</v>
      </c>
      <c r="E1296" t="s">
        <v>32</v>
      </c>
      <c r="F1296" t="s">
        <v>42</v>
      </c>
      <c r="G1296" s="118">
        <v>0.38917824074074076</v>
      </c>
      <c r="H1296" s="118">
        <v>3.4722222222222224E-4</v>
      </c>
      <c r="I1296" s="118">
        <v>9.1435185185185185E-4</v>
      </c>
      <c r="J1296" s="118">
        <v>5.0462962962962961E-3</v>
      </c>
      <c r="K1296" s="118">
        <v>7.0717592592592594E-3</v>
      </c>
    </row>
    <row r="1297" spans="1:11" x14ac:dyDescent="0.25">
      <c r="A1297">
        <v>4</v>
      </c>
      <c r="B1297">
        <v>5</v>
      </c>
      <c r="C1297"/>
      <c r="D1297" t="s">
        <v>31</v>
      </c>
      <c r="E1297" t="s">
        <v>35</v>
      </c>
      <c r="F1297" t="s">
        <v>57</v>
      </c>
      <c r="G1297" s="118">
        <v>0.38934027777777774</v>
      </c>
      <c r="H1297" s="118">
        <v>1.0532407407407407E-3</v>
      </c>
      <c r="I1297" s="118">
        <v>3.4722222222222224E-4</v>
      </c>
      <c r="J1297"/>
      <c r="K1297"/>
    </row>
    <row r="1298" spans="1:11" x14ac:dyDescent="0.25">
      <c r="A1298">
        <v>3</v>
      </c>
      <c r="B1298">
        <v>5</v>
      </c>
      <c r="C1298"/>
      <c r="D1298" t="s">
        <v>31</v>
      </c>
      <c r="E1298" t="s">
        <v>35</v>
      </c>
      <c r="F1298" t="s">
        <v>58</v>
      </c>
      <c r="G1298" s="118">
        <v>0.38939814814814816</v>
      </c>
      <c r="H1298" s="118">
        <v>4.3981481481481481E-4</v>
      </c>
      <c r="I1298" s="118">
        <v>5.7870370370370366E-5</v>
      </c>
      <c r="J1298"/>
      <c r="K1298"/>
    </row>
    <row r="1299" spans="1:11" x14ac:dyDescent="0.25">
      <c r="A1299">
        <v>3</v>
      </c>
      <c r="B1299">
        <v>5</v>
      </c>
      <c r="C1299"/>
      <c r="D1299" t="s">
        <v>31</v>
      </c>
      <c r="E1299" t="s">
        <v>32</v>
      </c>
      <c r="F1299" t="s">
        <v>58</v>
      </c>
      <c r="G1299" s="118">
        <v>0.38945601851851852</v>
      </c>
      <c r="H1299" s="118">
        <v>5.7870370370370366E-5</v>
      </c>
      <c r="I1299" s="118">
        <v>4.8611111111111104E-4</v>
      </c>
      <c r="J1299" s="118">
        <v>7.0717592592592594E-3</v>
      </c>
      <c r="K1299" s="118">
        <v>7.0717592592592594E-3</v>
      </c>
    </row>
    <row r="1300" spans="1:11" x14ac:dyDescent="0.25">
      <c r="A1300">
        <v>5</v>
      </c>
      <c r="B1300">
        <v>6</v>
      </c>
      <c r="C1300"/>
      <c r="D1300" t="s">
        <v>31</v>
      </c>
      <c r="E1300" t="s">
        <v>35</v>
      </c>
      <c r="F1300" t="s">
        <v>53</v>
      </c>
      <c r="G1300" s="118">
        <v>0.38958333333333334</v>
      </c>
      <c r="H1300" s="118">
        <v>8.7962962962962962E-4</v>
      </c>
      <c r="I1300" s="118">
        <v>3.4722222222222224E-4</v>
      </c>
      <c r="J1300"/>
      <c r="K1300"/>
    </row>
    <row r="1301" spans="1:11" x14ac:dyDescent="0.25">
      <c r="A1301">
        <v>4</v>
      </c>
      <c r="B1301">
        <v>5</v>
      </c>
      <c r="C1301"/>
      <c r="D1301" t="s">
        <v>31</v>
      </c>
      <c r="E1301" t="s">
        <v>32</v>
      </c>
      <c r="F1301" t="s">
        <v>57</v>
      </c>
      <c r="G1301" s="118">
        <v>0.38968749999999996</v>
      </c>
      <c r="H1301" s="118">
        <v>3.4722222222222224E-4</v>
      </c>
      <c r="I1301" s="118">
        <v>9.3750000000000007E-4</v>
      </c>
      <c r="J1301" s="118">
        <v>7.0717592592592594E-3</v>
      </c>
      <c r="K1301" s="118">
        <v>7.0717592592592594E-3</v>
      </c>
    </row>
    <row r="1302" spans="1:11" x14ac:dyDescent="0.25">
      <c r="A1302">
        <v>5</v>
      </c>
      <c r="B1302">
        <v>6</v>
      </c>
      <c r="C1302"/>
      <c r="D1302" t="s">
        <v>31</v>
      </c>
      <c r="E1302" t="s">
        <v>32</v>
      </c>
      <c r="F1302" t="s">
        <v>53</v>
      </c>
      <c r="G1302" s="118">
        <v>0.3899305555555555</v>
      </c>
      <c r="H1302" s="118">
        <v>3.4722222222222224E-4</v>
      </c>
      <c r="I1302" s="118">
        <v>8.449074074074075E-4</v>
      </c>
      <c r="J1302" s="118">
        <v>7.0717592592592594E-3</v>
      </c>
      <c r="K1302" s="118">
        <v>7.0717592592592594E-3</v>
      </c>
    </row>
    <row r="1303" spans="1:11" x14ac:dyDescent="0.25">
      <c r="A1303">
        <v>3</v>
      </c>
      <c r="B1303">
        <v>5</v>
      </c>
      <c r="C1303"/>
      <c r="D1303" t="s">
        <v>31</v>
      </c>
      <c r="E1303" t="s">
        <v>35</v>
      </c>
      <c r="F1303" t="s">
        <v>40</v>
      </c>
      <c r="G1303" s="118">
        <v>0.38994212962962965</v>
      </c>
      <c r="H1303" s="118">
        <v>4.8611111111111104E-4</v>
      </c>
      <c r="I1303" s="118">
        <v>4.6296296296296293E-4</v>
      </c>
      <c r="J1303"/>
      <c r="K1303"/>
    </row>
    <row r="1304" spans="1:11" x14ac:dyDescent="0.25">
      <c r="A1304">
        <v>1</v>
      </c>
      <c r="B1304">
        <v>4</v>
      </c>
      <c r="C1304"/>
      <c r="D1304" t="s">
        <v>31</v>
      </c>
      <c r="E1304" t="s">
        <v>35</v>
      </c>
      <c r="F1304" t="s">
        <v>48</v>
      </c>
      <c r="G1304" s="118">
        <v>0.3900925925925926</v>
      </c>
      <c r="H1304" s="118">
        <v>9.1435185185185185E-4</v>
      </c>
      <c r="I1304" s="118">
        <v>5.2083333333333333E-4</v>
      </c>
      <c r="J1304"/>
      <c r="K1304"/>
    </row>
    <row r="1305" spans="1:11" x14ac:dyDescent="0.25">
      <c r="A1305">
        <v>2</v>
      </c>
      <c r="B1305">
        <v>5</v>
      </c>
      <c r="C1305"/>
      <c r="D1305" t="s">
        <v>31</v>
      </c>
      <c r="E1305" t="s">
        <v>35</v>
      </c>
      <c r="F1305" t="s">
        <v>43</v>
      </c>
      <c r="G1305" s="118">
        <v>0.39024305555555555</v>
      </c>
      <c r="H1305" s="118">
        <v>1.0995370370370371E-3</v>
      </c>
      <c r="I1305" s="118">
        <v>3.4722222222222224E-4</v>
      </c>
      <c r="J1305"/>
      <c r="K1305"/>
    </row>
    <row r="1306" spans="1:11" x14ac:dyDescent="0.25">
      <c r="A1306">
        <v>3</v>
      </c>
      <c r="B1306">
        <v>5</v>
      </c>
      <c r="C1306"/>
      <c r="D1306" t="s">
        <v>31</v>
      </c>
      <c r="E1306" t="s">
        <v>32</v>
      </c>
      <c r="F1306" t="s">
        <v>40</v>
      </c>
      <c r="G1306" s="118">
        <v>0.3904050925925926</v>
      </c>
      <c r="H1306" s="118">
        <v>4.6296296296296293E-4</v>
      </c>
      <c r="I1306" s="118">
        <v>1.0069444444444444E-3</v>
      </c>
      <c r="J1306" s="118">
        <v>7.0717592592592594E-3</v>
      </c>
      <c r="K1306" s="118">
        <v>7.0717592592592594E-3</v>
      </c>
    </row>
    <row r="1307" spans="1:11" x14ac:dyDescent="0.25">
      <c r="A1307">
        <v>2</v>
      </c>
      <c r="B1307">
        <v>5</v>
      </c>
      <c r="C1307"/>
      <c r="D1307" t="s">
        <v>31</v>
      </c>
      <c r="E1307" t="s">
        <v>32</v>
      </c>
      <c r="F1307" t="s">
        <v>43</v>
      </c>
      <c r="G1307" s="118">
        <v>0.39059027777777783</v>
      </c>
      <c r="H1307" s="118">
        <v>3.4722222222222224E-4</v>
      </c>
      <c r="I1307" s="118">
        <v>1.1458333333333333E-3</v>
      </c>
      <c r="J1307" s="118">
        <v>7.0717592592592594E-3</v>
      </c>
      <c r="K1307" s="118">
        <v>7.0717592592592594E-3</v>
      </c>
    </row>
    <row r="1308" spans="1:11" x14ac:dyDescent="0.25">
      <c r="A1308">
        <v>1</v>
      </c>
      <c r="B1308">
        <v>4</v>
      </c>
      <c r="C1308"/>
      <c r="D1308" t="s">
        <v>31</v>
      </c>
      <c r="E1308" t="s">
        <v>32</v>
      </c>
      <c r="F1308" t="s">
        <v>48</v>
      </c>
      <c r="G1308" s="118">
        <v>0.39061342592592596</v>
      </c>
      <c r="H1308" s="118">
        <v>5.2083333333333333E-4</v>
      </c>
      <c r="I1308" s="118">
        <v>8.6805555555555551E-4</v>
      </c>
      <c r="J1308" s="118">
        <v>5.0462962962962961E-3</v>
      </c>
      <c r="K1308" s="118">
        <v>7.0717592592592594E-3</v>
      </c>
    </row>
    <row r="1309" spans="1:11" x14ac:dyDescent="0.25">
      <c r="A1309">
        <v>4</v>
      </c>
      <c r="B1309">
        <v>5</v>
      </c>
      <c r="C1309"/>
      <c r="D1309" t="s">
        <v>31</v>
      </c>
      <c r="E1309" t="s">
        <v>35</v>
      </c>
      <c r="F1309" t="s">
        <v>39</v>
      </c>
      <c r="G1309" s="118">
        <v>0.390625</v>
      </c>
      <c r="H1309" s="118">
        <v>9.3750000000000007E-4</v>
      </c>
      <c r="I1309" s="118">
        <v>5.2083333333333333E-4</v>
      </c>
      <c r="J1309"/>
      <c r="K1309"/>
    </row>
    <row r="1310" spans="1:11" x14ac:dyDescent="0.25">
      <c r="A1310">
        <v>5</v>
      </c>
      <c r="B1310">
        <v>6</v>
      </c>
      <c r="C1310"/>
      <c r="D1310" t="s">
        <v>31</v>
      </c>
      <c r="E1310" t="s">
        <v>35</v>
      </c>
      <c r="F1310" t="s">
        <v>34</v>
      </c>
      <c r="G1310" s="118">
        <v>0.39077546296296295</v>
      </c>
      <c r="H1310" s="118">
        <v>8.449074074074075E-4</v>
      </c>
      <c r="I1310" s="118">
        <v>3.4722222222222224E-4</v>
      </c>
      <c r="J1310"/>
      <c r="K1310"/>
    </row>
    <row r="1311" spans="1:11" x14ac:dyDescent="0.25">
      <c r="A1311">
        <v>5</v>
      </c>
      <c r="B1311">
        <v>6</v>
      </c>
      <c r="C1311"/>
      <c r="D1311" t="s">
        <v>31</v>
      </c>
      <c r="E1311" t="s">
        <v>32</v>
      </c>
      <c r="F1311" t="s">
        <v>34</v>
      </c>
      <c r="G1311" s="118">
        <v>0.39112268518518517</v>
      </c>
      <c r="H1311" s="118">
        <v>3.4722222222222224E-4</v>
      </c>
      <c r="I1311" s="118">
        <v>9.1435185185185185E-4</v>
      </c>
      <c r="J1311" s="118">
        <v>7.0717592592592594E-3</v>
      </c>
      <c r="K1311" s="118">
        <v>7.0717592592592594E-3</v>
      </c>
    </row>
    <row r="1312" spans="1:11" x14ac:dyDescent="0.25">
      <c r="A1312">
        <v>4</v>
      </c>
      <c r="B1312">
        <v>5</v>
      </c>
      <c r="C1312"/>
      <c r="D1312" t="s">
        <v>31</v>
      </c>
      <c r="E1312" t="s">
        <v>32</v>
      </c>
      <c r="F1312" t="s">
        <v>39</v>
      </c>
      <c r="G1312" s="118">
        <v>0.3911458333333333</v>
      </c>
      <c r="H1312" s="118">
        <v>5.2083333333333333E-4</v>
      </c>
      <c r="I1312" s="118">
        <v>1.8055555555555557E-3</v>
      </c>
      <c r="J1312" s="118">
        <v>7.0717592592592594E-3</v>
      </c>
      <c r="K1312" s="118">
        <v>7.0717592592592594E-3</v>
      </c>
    </row>
    <row r="1313" spans="1:11" x14ac:dyDescent="0.25">
      <c r="A1313">
        <v>3</v>
      </c>
      <c r="B1313">
        <v>5</v>
      </c>
      <c r="C1313"/>
      <c r="D1313" t="s">
        <v>31</v>
      </c>
      <c r="E1313" t="s">
        <v>35</v>
      </c>
      <c r="F1313" t="s">
        <v>44</v>
      </c>
      <c r="G1313" s="118">
        <v>0.39141203703703703</v>
      </c>
      <c r="H1313" s="118">
        <v>1.0069444444444444E-3</v>
      </c>
      <c r="I1313" s="118">
        <v>3.4722222222222224E-4</v>
      </c>
      <c r="J1313"/>
      <c r="K1313"/>
    </row>
    <row r="1314" spans="1:11" x14ac:dyDescent="0.25">
      <c r="A1314">
        <v>1</v>
      </c>
      <c r="B1314">
        <v>4</v>
      </c>
      <c r="C1314"/>
      <c r="D1314" t="s">
        <v>31</v>
      </c>
      <c r="E1314" t="s">
        <v>35</v>
      </c>
      <c r="F1314" t="s">
        <v>54</v>
      </c>
      <c r="G1314" s="118">
        <v>0.39148148148148149</v>
      </c>
      <c r="H1314" s="118">
        <v>8.6805555555555551E-4</v>
      </c>
      <c r="I1314" s="118">
        <v>3.4722222222222224E-4</v>
      </c>
      <c r="J1314"/>
      <c r="K1314"/>
    </row>
    <row r="1315" spans="1:11" x14ac:dyDescent="0.25">
      <c r="A1315">
        <v>2</v>
      </c>
      <c r="B1315">
        <v>5</v>
      </c>
      <c r="C1315"/>
      <c r="D1315" t="s">
        <v>31</v>
      </c>
      <c r="E1315" t="s">
        <v>35</v>
      </c>
      <c r="F1315" t="s">
        <v>50</v>
      </c>
      <c r="G1315" s="118">
        <v>0.39173611111111112</v>
      </c>
      <c r="H1315" s="118">
        <v>1.1458333333333333E-3</v>
      </c>
      <c r="I1315" s="118">
        <v>3.4722222222222224E-4</v>
      </c>
      <c r="J1315"/>
      <c r="K1315"/>
    </row>
    <row r="1316" spans="1:11" x14ac:dyDescent="0.25">
      <c r="A1316">
        <v>3</v>
      </c>
      <c r="B1316">
        <v>5</v>
      </c>
      <c r="C1316"/>
      <c r="D1316" t="s">
        <v>31</v>
      </c>
      <c r="E1316" t="s">
        <v>32</v>
      </c>
      <c r="F1316" t="s">
        <v>44</v>
      </c>
      <c r="G1316" s="118">
        <v>0.39175925925925931</v>
      </c>
      <c r="H1316" s="118">
        <v>3.4722222222222224E-4</v>
      </c>
      <c r="I1316" s="118">
        <v>9.2592592592592585E-4</v>
      </c>
      <c r="J1316" s="118">
        <v>7.0717592592592594E-3</v>
      </c>
      <c r="K1316" s="118">
        <v>7.0717592592592594E-3</v>
      </c>
    </row>
    <row r="1317" spans="1:11" x14ac:dyDescent="0.25">
      <c r="A1317">
        <v>1</v>
      </c>
      <c r="B1317">
        <v>4</v>
      </c>
      <c r="C1317"/>
      <c r="D1317" t="s">
        <v>31</v>
      </c>
      <c r="E1317" t="s">
        <v>32</v>
      </c>
      <c r="F1317" t="s">
        <v>54</v>
      </c>
      <c r="G1317" s="118">
        <v>0.39182870370370365</v>
      </c>
      <c r="H1317" s="118">
        <v>3.4722222222222224E-4</v>
      </c>
      <c r="I1317" s="118">
        <v>6.9444444444444447E-4</v>
      </c>
      <c r="J1317" s="118">
        <v>5.0462962962962961E-3</v>
      </c>
      <c r="K1317" s="118">
        <v>7.0717592592592594E-3</v>
      </c>
    </row>
    <row r="1318" spans="1:11" x14ac:dyDescent="0.25">
      <c r="A1318">
        <v>5</v>
      </c>
      <c r="B1318">
        <v>6</v>
      </c>
      <c r="C1318"/>
      <c r="D1318" t="s">
        <v>31</v>
      </c>
      <c r="E1318" t="s">
        <v>35</v>
      </c>
      <c r="F1318" t="s">
        <v>38</v>
      </c>
      <c r="G1318" s="118">
        <v>0.39203703703703702</v>
      </c>
      <c r="H1318" s="118">
        <v>9.1435185185185185E-4</v>
      </c>
      <c r="I1318" s="118">
        <v>3.4722222222222224E-4</v>
      </c>
      <c r="J1318"/>
      <c r="K1318"/>
    </row>
    <row r="1319" spans="1:11" x14ac:dyDescent="0.25">
      <c r="A1319">
        <v>2</v>
      </c>
      <c r="B1319">
        <v>5</v>
      </c>
      <c r="C1319"/>
      <c r="D1319" t="s">
        <v>31</v>
      </c>
      <c r="E1319" t="s">
        <v>32</v>
      </c>
      <c r="F1319" t="s">
        <v>50</v>
      </c>
      <c r="G1319" s="118">
        <v>0.39208333333333334</v>
      </c>
      <c r="H1319" s="118">
        <v>3.4722222222222224E-4</v>
      </c>
      <c r="I1319" s="118">
        <v>1.261574074074074E-3</v>
      </c>
      <c r="J1319" s="118">
        <v>7.0717592592592594E-3</v>
      </c>
      <c r="K1319" s="118">
        <v>7.0717592592592594E-3</v>
      </c>
    </row>
    <row r="1320" spans="1:11" x14ac:dyDescent="0.25">
      <c r="A1320">
        <v>5</v>
      </c>
      <c r="B1320">
        <v>6</v>
      </c>
      <c r="C1320"/>
      <c r="D1320" t="s">
        <v>31</v>
      </c>
      <c r="E1320" t="s">
        <v>32</v>
      </c>
      <c r="F1320" t="s">
        <v>38</v>
      </c>
      <c r="G1320" s="118">
        <v>0.39238425925925924</v>
      </c>
      <c r="H1320" s="118">
        <v>3.4722222222222224E-4</v>
      </c>
      <c r="I1320" s="118">
        <v>1.2384259259259258E-3</v>
      </c>
      <c r="J1320" s="118">
        <v>7.0717592592592594E-3</v>
      </c>
      <c r="K1320" s="118">
        <v>7.0717592592592594E-3</v>
      </c>
    </row>
    <row r="1321" spans="1:11" x14ac:dyDescent="0.25">
      <c r="A1321">
        <v>1</v>
      </c>
      <c r="B1321">
        <v>4</v>
      </c>
      <c r="C1321"/>
      <c r="D1321" t="s">
        <v>31</v>
      </c>
      <c r="E1321" t="s">
        <v>35</v>
      </c>
      <c r="F1321" t="s">
        <v>92</v>
      </c>
      <c r="G1321" s="118">
        <v>0.39252314814814815</v>
      </c>
      <c r="H1321" s="118">
        <v>6.9444444444444447E-4</v>
      </c>
      <c r="I1321" s="118">
        <v>5.2083333333333333E-4</v>
      </c>
      <c r="J1321"/>
      <c r="K1321"/>
    </row>
    <row r="1322" spans="1:11" x14ac:dyDescent="0.25">
      <c r="A1322">
        <v>3</v>
      </c>
      <c r="B1322">
        <v>5</v>
      </c>
      <c r="C1322"/>
      <c r="D1322" t="s">
        <v>31</v>
      </c>
      <c r="E1322" t="s">
        <v>35</v>
      </c>
      <c r="F1322" t="s">
        <v>49</v>
      </c>
      <c r="G1322" s="118">
        <v>0.39268518518518519</v>
      </c>
      <c r="H1322" s="118">
        <v>9.2592592592592585E-4</v>
      </c>
      <c r="I1322" s="118">
        <v>3.4722222222222224E-4</v>
      </c>
      <c r="J1322"/>
      <c r="K1322"/>
    </row>
    <row r="1323" spans="1:11" x14ac:dyDescent="0.25">
      <c r="A1323">
        <v>4</v>
      </c>
      <c r="B1323">
        <v>5</v>
      </c>
      <c r="C1323"/>
      <c r="D1323" t="s">
        <v>31</v>
      </c>
      <c r="E1323" t="s">
        <v>35</v>
      </c>
      <c r="F1323" t="s">
        <v>46</v>
      </c>
      <c r="G1323" s="118">
        <v>0.39295138888888892</v>
      </c>
      <c r="H1323" s="118">
        <v>1.8055555555555557E-3</v>
      </c>
      <c r="I1323" s="118">
        <v>3.4722222222222224E-4</v>
      </c>
      <c r="J1323"/>
      <c r="K1323"/>
    </row>
    <row r="1324" spans="1:11" x14ac:dyDescent="0.25">
      <c r="A1324">
        <v>3</v>
      </c>
      <c r="B1324">
        <v>5</v>
      </c>
      <c r="C1324"/>
      <c r="D1324" t="s">
        <v>31</v>
      </c>
      <c r="E1324" t="s">
        <v>32</v>
      </c>
      <c r="F1324" t="s">
        <v>49</v>
      </c>
      <c r="G1324" s="118">
        <v>0.39303240740740741</v>
      </c>
      <c r="H1324" s="118">
        <v>3.4722222222222224E-4</v>
      </c>
      <c r="I1324" s="118">
        <v>1.3541666666666667E-3</v>
      </c>
      <c r="J1324" s="118">
        <v>7.0717592592592594E-3</v>
      </c>
      <c r="K1324" s="118">
        <v>7.0717592592592594E-3</v>
      </c>
    </row>
    <row r="1325" spans="1:11" x14ac:dyDescent="0.25">
      <c r="A1325">
        <v>1</v>
      </c>
      <c r="B1325">
        <v>5</v>
      </c>
      <c r="C1325"/>
      <c r="D1325" t="s">
        <v>31</v>
      </c>
      <c r="E1325" t="s">
        <v>32</v>
      </c>
      <c r="F1325" t="s">
        <v>92</v>
      </c>
      <c r="G1325" s="118">
        <v>0.39304398148148145</v>
      </c>
      <c r="H1325" s="118">
        <v>5.2083333333333333E-4</v>
      </c>
      <c r="I1325" s="118">
        <v>1.0069444444444444E-3</v>
      </c>
      <c r="J1325" s="118">
        <v>7.0717592592592594E-3</v>
      </c>
      <c r="K1325" s="118">
        <v>7.0717592592592594E-3</v>
      </c>
    </row>
    <row r="1326" spans="1:11" x14ac:dyDescent="0.25">
      <c r="A1326">
        <v>4</v>
      </c>
      <c r="B1326">
        <v>5</v>
      </c>
      <c r="C1326"/>
      <c r="D1326" t="s">
        <v>31</v>
      </c>
      <c r="E1326" t="s">
        <v>32</v>
      </c>
      <c r="F1326" t="s">
        <v>46</v>
      </c>
      <c r="G1326" s="118">
        <v>0.39329861111111114</v>
      </c>
      <c r="H1326" s="118">
        <v>3.4722222222222224E-4</v>
      </c>
      <c r="I1326" s="118">
        <v>9.1435185185185185E-4</v>
      </c>
      <c r="J1326" s="118">
        <v>7.0717592592592594E-3</v>
      </c>
      <c r="K1326" s="118">
        <v>7.0717592592592594E-3</v>
      </c>
    </row>
    <row r="1327" spans="1:11" x14ac:dyDescent="0.25">
      <c r="A1327">
        <v>2</v>
      </c>
      <c r="B1327">
        <v>5</v>
      </c>
      <c r="C1327"/>
      <c r="D1327" t="s">
        <v>31</v>
      </c>
      <c r="E1327" t="s">
        <v>35</v>
      </c>
      <c r="F1327" t="s">
        <v>56</v>
      </c>
      <c r="G1327" s="118">
        <v>0.39334490740740741</v>
      </c>
      <c r="H1327" s="118">
        <v>1.261574074074074E-3</v>
      </c>
      <c r="I1327" s="118">
        <v>3.4722222222222224E-4</v>
      </c>
      <c r="J1327"/>
      <c r="K1327"/>
    </row>
    <row r="1328" spans="1:11" x14ac:dyDescent="0.25">
      <c r="A1328">
        <v>5</v>
      </c>
      <c r="B1328">
        <v>6</v>
      </c>
      <c r="C1328"/>
      <c r="D1328" t="s">
        <v>31</v>
      </c>
      <c r="E1328" t="s">
        <v>35</v>
      </c>
      <c r="F1328" t="s">
        <v>45</v>
      </c>
      <c r="G1328" s="118">
        <v>0.39362268518518517</v>
      </c>
      <c r="H1328" s="118">
        <v>1.2384259259259258E-3</v>
      </c>
      <c r="I1328" s="118">
        <v>3.4722222222222224E-4</v>
      </c>
      <c r="J1328"/>
      <c r="K1328"/>
    </row>
    <row r="1329" spans="1:11" x14ac:dyDescent="0.25">
      <c r="A1329">
        <v>2</v>
      </c>
      <c r="B1329">
        <v>5</v>
      </c>
      <c r="C1329"/>
      <c r="D1329" t="s">
        <v>31</v>
      </c>
      <c r="E1329" t="s">
        <v>32</v>
      </c>
      <c r="F1329" t="s">
        <v>56</v>
      </c>
      <c r="G1329" s="118">
        <v>0.39369212962962963</v>
      </c>
      <c r="H1329" s="118">
        <v>3.4722222222222224E-4</v>
      </c>
      <c r="I1329" s="118">
        <v>9.6064814814814808E-4</v>
      </c>
      <c r="J1329" s="118">
        <v>7.0717592592592594E-3</v>
      </c>
      <c r="K1329" s="118">
        <v>7.0717592592592594E-3</v>
      </c>
    </row>
    <row r="1330" spans="1:11" x14ac:dyDescent="0.25">
      <c r="A1330">
        <v>5</v>
      </c>
      <c r="B1330">
        <v>6</v>
      </c>
      <c r="C1330"/>
      <c r="D1330" t="s">
        <v>31</v>
      </c>
      <c r="E1330" t="s">
        <v>32</v>
      </c>
      <c r="F1330" t="s">
        <v>45</v>
      </c>
      <c r="G1330" s="118">
        <v>0.39396990740740739</v>
      </c>
      <c r="H1330" s="118">
        <v>3.4722222222222224E-4</v>
      </c>
      <c r="I1330" s="118">
        <v>1.0416666666666667E-3</v>
      </c>
      <c r="J1330" s="118">
        <v>7.0717592592592594E-3</v>
      </c>
      <c r="K1330" s="118">
        <v>7.0717592592592594E-3</v>
      </c>
    </row>
    <row r="1331" spans="1:11" x14ac:dyDescent="0.25">
      <c r="A1331">
        <v>1</v>
      </c>
      <c r="B1331">
        <v>5</v>
      </c>
      <c r="C1331"/>
      <c r="D1331" t="s">
        <v>31</v>
      </c>
      <c r="E1331" t="s">
        <v>35</v>
      </c>
      <c r="F1331" t="s">
        <v>41</v>
      </c>
      <c r="G1331" s="118">
        <v>0.39405092592592594</v>
      </c>
      <c r="H1331" s="118">
        <v>1.0069444444444444E-3</v>
      </c>
      <c r="I1331" s="118">
        <v>3.4722222222222224E-4</v>
      </c>
      <c r="J1331"/>
      <c r="K1331"/>
    </row>
    <row r="1332" spans="1:11" x14ac:dyDescent="0.25">
      <c r="A1332">
        <v>4</v>
      </c>
      <c r="B1332">
        <v>5</v>
      </c>
      <c r="C1332"/>
      <c r="D1332" t="s">
        <v>31</v>
      </c>
      <c r="E1332" t="s">
        <v>35</v>
      </c>
      <c r="F1332" t="s">
        <v>51</v>
      </c>
      <c r="G1332" s="118">
        <v>0.39421296296296293</v>
      </c>
      <c r="H1332" s="118">
        <v>9.1435185185185185E-4</v>
      </c>
      <c r="I1332" s="118">
        <v>3.4722222222222224E-4</v>
      </c>
      <c r="J1332"/>
      <c r="K1332"/>
    </row>
    <row r="1333" spans="1:11" x14ac:dyDescent="0.25">
      <c r="A1333">
        <v>3</v>
      </c>
      <c r="B1333">
        <v>5</v>
      </c>
      <c r="C1333"/>
      <c r="D1333" t="s">
        <v>31</v>
      </c>
      <c r="E1333" t="s">
        <v>35</v>
      </c>
      <c r="F1333" t="s">
        <v>33</v>
      </c>
      <c r="G1333" s="118">
        <v>0.39438657407407413</v>
      </c>
      <c r="H1333" s="118">
        <v>1.3541666666666667E-3</v>
      </c>
      <c r="I1333" s="118">
        <v>5.2083333333333333E-4</v>
      </c>
      <c r="J1333"/>
      <c r="K1333"/>
    </row>
    <row r="1334" spans="1:11" x14ac:dyDescent="0.25">
      <c r="A1334">
        <v>1</v>
      </c>
      <c r="B1334">
        <v>5</v>
      </c>
      <c r="C1334"/>
      <c r="D1334" t="s">
        <v>31</v>
      </c>
      <c r="E1334" t="s">
        <v>32</v>
      </c>
      <c r="F1334" t="s">
        <v>41</v>
      </c>
      <c r="G1334" s="118">
        <v>0.39439814814814816</v>
      </c>
      <c r="H1334" s="118">
        <v>3.4722222222222224E-4</v>
      </c>
      <c r="I1334" s="118">
        <v>8.564814814814815E-4</v>
      </c>
      <c r="J1334" s="118">
        <v>7.0717592592592594E-3</v>
      </c>
      <c r="K1334" s="118">
        <v>7.0717592592592594E-3</v>
      </c>
    </row>
    <row r="1335" spans="1:11" x14ac:dyDescent="0.25">
      <c r="A1335">
        <v>4</v>
      </c>
      <c r="B1335">
        <v>5</v>
      </c>
      <c r="C1335"/>
      <c r="D1335" t="s">
        <v>31</v>
      </c>
      <c r="E1335" t="s">
        <v>32</v>
      </c>
      <c r="F1335" t="s">
        <v>51</v>
      </c>
      <c r="G1335" s="118">
        <v>0.39456018518518521</v>
      </c>
      <c r="H1335" s="118">
        <v>3.4722222222222224E-4</v>
      </c>
      <c r="I1335" s="118">
        <v>1.0069444444444444E-3</v>
      </c>
      <c r="J1335" s="118">
        <v>7.0717592592592594E-3</v>
      </c>
      <c r="K1335" s="118">
        <v>7.0717592592592594E-3</v>
      </c>
    </row>
    <row r="1336" spans="1:11" x14ac:dyDescent="0.25">
      <c r="A1336">
        <v>2</v>
      </c>
      <c r="B1336">
        <v>5</v>
      </c>
      <c r="C1336"/>
      <c r="D1336" t="s">
        <v>31</v>
      </c>
      <c r="E1336" t="s">
        <v>35</v>
      </c>
      <c r="F1336" t="s">
        <v>37</v>
      </c>
      <c r="G1336" s="118">
        <v>0.3946527777777778</v>
      </c>
      <c r="H1336" s="118">
        <v>9.6064814814814808E-4</v>
      </c>
      <c r="I1336" s="118">
        <v>3.4722222222222224E-4</v>
      </c>
      <c r="J1336"/>
      <c r="K1336"/>
    </row>
    <row r="1337" spans="1:11" x14ac:dyDescent="0.25">
      <c r="A1337">
        <v>3</v>
      </c>
      <c r="B1337">
        <v>5</v>
      </c>
      <c r="C1337"/>
      <c r="D1337" t="s">
        <v>31</v>
      </c>
      <c r="E1337" t="s">
        <v>32</v>
      </c>
      <c r="F1337" t="s">
        <v>33</v>
      </c>
      <c r="G1337" s="118">
        <v>0.39490740740740743</v>
      </c>
      <c r="H1337" s="118">
        <v>5.2083333333333333E-4</v>
      </c>
      <c r="I1337" s="118">
        <v>9.6064814814814808E-4</v>
      </c>
      <c r="J1337" s="118">
        <v>7.0717592592592594E-3</v>
      </c>
      <c r="K1337" s="118">
        <v>7.0717592592592594E-3</v>
      </c>
    </row>
    <row r="1338" spans="1:11" x14ac:dyDescent="0.25">
      <c r="A1338">
        <v>2</v>
      </c>
      <c r="B1338">
        <v>5</v>
      </c>
      <c r="C1338"/>
      <c r="D1338" t="s">
        <v>31</v>
      </c>
      <c r="E1338" t="s">
        <v>32</v>
      </c>
      <c r="F1338" t="s">
        <v>37</v>
      </c>
      <c r="G1338" s="118">
        <v>0.39500000000000002</v>
      </c>
      <c r="H1338" s="118">
        <v>3.4722222222222224E-4</v>
      </c>
      <c r="I1338" s="118">
        <v>9.0277777777777784E-4</v>
      </c>
      <c r="J1338" s="118">
        <v>7.0717592592592594E-3</v>
      </c>
      <c r="K1338" s="118">
        <v>7.0717592592592594E-3</v>
      </c>
    </row>
    <row r="1339" spans="1:11" x14ac:dyDescent="0.25">
      <c r="A1339">
        <v>5</v>
      </c>
      <c r="B1339">
        <v>6</v>
      </c>
      <c r="C1339"/>
      <c r="D1339" t="s">
        <v>31</v>
      </c>
      <c r="E1339" t="s">
        <v>35</v>
      </c>
      <c r="F1339" t="s">
        <v>52</v>
      </c>
      <c r="G1339" s="118">
        <v>0.39501157407407406</v>
      </c>
      <c r="H1339" s="118">
        <v>1.0416666666666667E-3</v>
      </c>
      <c r="I1339" s="118">
        <v>3.4722222222222224E-4</v>
      </c>
      <c r="J1339"/>
      <c r="K1339"/>
    </row>
    <row r="1340" spans="1:11" x14ac:dyDescent="0.25">
      <c r="A1340">
        <v>1</v>
      </c>
      <c r="B1340">
        <v>5</v>
      </c>
      <c r="C1340"/>
      <c r="D1340" t="s">
        <v>31</v>
      </c>
      <c r="E1340" t="s">
        <v>35</v>
      </c>
      <c r="F1340" t="s">
        <v>47</v>
      </c>
      <c r="G1340" s="118">
        <v>0.39525462962962959</v>
      </c>
      <c r="H1340" s="118">
        <v>8.564814814814815E-4</v>
      </c>
      <c r="I1340" s="118">
        <v>5.2083333333333333E-4</v>
      </c>
      <c r="J1340"/>
      <c r="K1340"/>
    </row>
    <row r="1341" spans="1:11" x14ac:dyDescent="0.25">
      <c r="A1341">
        <v>5</v>
      </c>
      <c r="B1341">
        <v>6</v>
      </c>
      <c r="C1341"/>
      <c r="D1341" t="s">
        <v>31</v>
      </c>
      <c r="E1341" t="s">
        <v>32</v>
      </c>
      <c r="F1341" t="s">
        <v>52</v>
      </c>
      <c r="G1341" s="118">
        <v>0.39535879629629633</v>
      </c>
      <c r="H1341" s="118">
        <v>3.4722222222222224E-4</v>
      </c>
      <c r="I1341" s="118">
        <v>1.0532407407407407E-3</v>
      </c>
      <c r="J1341" s="118">
        <v>7.0717592592592594E-3</v>
      </c>
      <c r="K1341" s="118">
        <v>7.0717592592592594E-3</v>
      </c>
    </row>
    <row r="1342" spans="1:11" x14ac:dyDescent="0.25">
      <c r="A1342">
        <v>4</v>
      </c>
      <c r="B1342">
        <v>5</v>
      </c>
      <c r="C1342"/>
      <c r="D1342" t="s">
        <v>31</v>
      </c>
      <c r="E1342" t="s">
        <v>35</v>
      </c>
      <c r="F1342" t="s">
        <v>55</v>
      </c>
      <c r="G1342" s="118">
        <v>0.39556712962962964</v>
      </c>
      <c r="H1342" s="118">
        <v>1.0069444444444444E-3</v>
      </c>
      <c r="I1342" s="118">
        <v>4.6296296296296293E-4</v>
      </c>
      <c r="J1342"/>
      <c r="K1342"/>
    </row>
    <row r="1343" spans="1:11" x14ac:dyDescent="0.25">
      <c r="A1343">
        <v>1</v>
      </c>
      <c r="B1343">
        <v>5</v>
      </c>
      <c r="C1343"/>
      <c r="D1343" t="s">
        <v>31</v>
      </c>
      <c r="E1343" t="s">
        <v>32</v>
      </c>
      <c r="F1343" t="s">
        <v>47</v>
      </c>
      <c r="G1343" s="118">
        <v>0.39577546296296301</v>
      </c>
      <c r="H1343" s="118">
        <v>5.2083333333333333E-4</v>
      </c>
      <c r="I1343" s="118">
        <v>8.7962962962962962E-4</v>
      </c>
      <c r="J1343" s="118">
        <v>7.0717592592592594E-3</v>
      </c>
      <c r="K1343" s="118">
        <v>7.0717592592592594E-3</v>
      </c>
    </row>
    <row r="1344" spans="1:11" x14ac:dyDescent="0.25">
      <c r="A1344">
        <v>3</v>
      </c>
      <c r="B1344">
        <v>5</v>
      </c>
      <c r="C1344"/>
      <c r="D1344" t="s">
        <v>31</v>
      </c>
      <c r="E1344" t="s">
        <v>35</v>
      </c>
      <c r="F1344" t="s">
        <v>36</v>
      </c>
      <c r="G1344" s="118">
        <v>0.39586805555555554</v>
      </c>
      <c r="H1344" s="118">
        <v>9.6064814814814808E-4</v>
      </c>
      <c r="I1344" s="118">
        <v>3.4722222222222224E-4</v>
      </c>
      <c r="J1344"/>
      <c r="K1344"/>
    </row>
    <row r="1345" spans="1:11" x14ac:dyDescent="0.25">
      <c r="A1345">
        <v>2</v>
      </c>
      <c r="B1345">
        <v>5</v>
      </c>
      <c r="C1345"/>
      <c r="D1345" t="s">
        <v>31</v>
      </c>
      <c r="E1345" t="s">
        <v>35</v>
      </c>
      <c r="F1345" t="s">
        <v>42</v>
      </c>
      <c r="G1345" s="118">
        <v>0.39590277777777777</v>
      </c>
      <c r="H1345" s="118">
        <v>9.0277777777777784E-4</v>
      </c>
      <c r="I1345" s="118">
        <v>3.4722222222222224E-4</v>
      </c>
      <c r="J1345"/>
      <c r="K1345"/>
    </row>
    <row r="1346" spans="1:11" x14ac:dyDescent="0.25">
      <c r="A1346">
        <v>4</v>
      </c>
      <c r="B1346">
        <v>5</v>
      </c>
      <c r="C1346"/>
      <c r="D1346" t="s">
        <v>31</v>
      </c>
      <c r="E1346" t="s">
        <v>32</v>
      </c>
      <c r="F1346" t="s">
        <v>55</v>
      </c>
      <c r="G1346" s="118">
        <v>0.39603009259259259</v>
      </c>
      <c r="H1346" s="118">
        <v>4.6296296296296293E-4</v>
      </c>
      <c r="I1346" s="118">
        <v>4.3981481481481481E-4</v>
      </c>
      <c r="J1346" s="118">
        <v>7.0717592592592594E-3</v>
      </c>
      <c r="K1346" s="118">
        <v>7.0717592592592594E-3</v>
      </c>
    </row>
    <row r="1347" spans="1:11" x14ac:dyDescent="0.25">
      <c r="A1347">
        <v>3</v>
      </c>
      <c r="B1347">
        <v>5</v>
      </c>
      <c r="C1347"/>
      <c r="D1347" t="s">
        <v>31</v>
      </c>
      <c r="E1347" t="s">
        <v>32</v>
      </c>
      <c r="F1347" t="s">
        <v>36</v>
      </c>
      <c r="G1347" s="118">
        <v>0.39621527777777782</v>
      </c>
      <c r="H1347" s="118">
        <v>3.4722222222222224E-4</v>
      </c>
      <c r="I1347" s="118">
        <v>1.0995370370370371E-3</v>
      </c>
      <c r="J1347" s="118">
        <v>7.0717592592592594E-3</v>
      </c>
      <c r="K1347" s="118">
        <v>7.0717592592592594E-3</v>
      </c>
    </row>
    <row r="1348" spans="1:11" x14ac:dyDescent="0.25">
      <c r="A1348">
        <v>2</v>
      </c>
      <c r="B1348">
        <v>5</v>
      </c>
      <c r="C1348"/>
      <c r="D1348" t="s">
        <v>31</v>
      </c>
      <c r="E1348" t="s">
        <v>32</v>
      </c>
      <c r="F1348" t="s">
        <v>42</v>
      </c>
      <c r="G1348" s="118">
        <v>0.39624999999999999</v>
      </c>
      <c r="H1348" s="118">
        <v>3.4722222222222224E-4</v>
      </c>
      <c r="I1348" s="118">
        <v>9.1435185185185185E-4</v>
      </c>
      <c r="J1348" s="118">
        <v>7.0717592592592594E-3</v>
      </c>
      <c r="K1348" s="118">
        <v>7.0717592592592594E-3</v>
      </c>
    </row>
    <row r="1349" spans="1:11" x14ac:dyDescent="0.25">
      <c r="A1349">
        <v>5</v>
      </c>
      <c r="B1349">
        <v>6</v>
      </c>
      <c r="C1349"/>
      <c r="D1349" t="s">
        <v>31</v>
      </c>
      <c r="E1349" t="s">
        <v>35</v>
      </c>
      <c r="F1349" t="s">
        <v>57</v>
      </c>
      <c r="G1349" s="118">
        <v>0.39641203703703703</v>
      </c>
      <c r="H1349" s="118">
        <v>1.0532407407407407E-3</v>
      </c>
      <c r="I1349" s="118">
        <v>3.4722222222222224E-4</v>
      </c>
      <c r="J1349"/>
      <c r="K1349"/>
    </row>
    <row r="1350" spans="1:11" x14ac:dyDescent="0.25">
      <c r="A1350">
        <v>4</v>
      </c>
      <c r="B1350">
        <v>5</v>
      </c>
      <c r="C1350"/>
      <c r="D1350" t="s">
        <v>31</v>
      </c>
      <c r="E1350" t="s">
        <v>35</v>
      </c>
      <c r="F1350" t="s">
        <v>58</v>
      </c>
      <c r="G1350" s="118">
        <v>0.3964699074074074</v>
      </c>
      <c r="H1350" s="118">
        <v>4.3981481481481481E-4</v>
      </c>
      <c r="I1350" s="118">
        <v>5.7870370370370366E-5</v>
      </c>
      <c r="J1350"/>
      <c r="K1350"/>
    </row>
    <row r="1351" spans="1:11" x14ac:dyDescent="0.25">
      <c r="A1351">
        <v>4</v>
      </c>
      <c r="B1351">
        <v>5</v>
      </c>
      <c r="C1351"/>
      <c r="D1351" t="s">
        <v>31</v>
      </c>
      <c r="E1351" t="s">
        <v>32</v>
      </c>
      <c r="F1351" t="s">
        <v>58</v>
      </c>
      <c r="G1351" s="118">
        <v>0.39652777777777781</v>
      </c>
      <c r="H1351" s="118">
        <v>5.7870370370370366E-5</v>
      </c>
      <c r="I1351" s="118">
        <v>4.8611111111111104E-4</v>
      </c>
      <c r="J1351" s="118">
        <v>7.0717592592592594E-3</v>
      </c>
      <c r="K1351" s="118">
        <v>7.0717592592592594E-3</v>
      </c>
    </row>
    <row r="1352" spans="1:11" x14ac:dyDescent="0.25">
      <c r="A1352">
        <v>1</v>
      </c>
      <c r="B1352">
        <v>5</v>
      </c>
      <c r="C1352"/>
      <c r="D1352" t="s">
        <v>31</v>
      </c>
      <c r="E1352" t="s">
        <v>35</v>
      </c>
      <c r="F1352" t="s">
        <v>53</v>
      </c>
      <c r="G1352" s="118">
        <v>0.39665509259259263</v>
      </c>
      <c r="H1352" s="118">
        <v>8.7962962962962962E-4</v>
      </c>
      <c r="I1352" s="118">
        <v>3.4722222222222224E-4</v>
      </c>
      <c r="J1352"/>
      <c r="K1352"/>
    </row>
    <row r="1353" spans="1:11" x14ac:dyDescent="0.25">
      <c r="A1353">
        <v>5</v>
      </c>
      <c r="B1353">
        <v>6</v>
      </c>
      <c r="C1353"/>
      <c r="D1353" t="s">
        <v>31</v>
      </c>
      <c r="E1353" t="s">
        <v>32</v>
      </c>
      <c r="F1353" t="s">
        <v>57</v>
      </c>
      <c r="G1353" s="118">
        <v>0.39675925925925926</v>
      </c>
      <c r="H1353" s="118">
        <v>3.4722222222222224E-4</v>
      </c>
      <c r="I1353" s="118">
        <v>9.3750000000000007E-4</v>
      </c>
      <c r="J1353" s="118">
        <v>7.0717592592592594E-3</v>
      </c>
      <c r="K1353" s="118">
        <v>7.0717592592592594E-3</v>
      </c>
    </row>
    <row r="1354" spans="1:11" x14ac:dyDescent="0.25">
      <c r="A1354">
        <v>1</v>
      </c>
      <c r="B1354">
        <v>5</v>
      </c>
      <c r="C1354"/>
      <c r="D1354" t="s">
        <v>31</v>
      </c>
      <c r="E1354" t="s">
        <v>32</v>
      </c>
      <c r="F1354" t="s">
        <v>53</v>
      </c>
      <c r="G1354" s="118">
        <v>0.39700231481481479</v>
      </c>
      <c r="H1354" s="118">
        <v>3.4722222222222224E-4</v>
      </c>
      <c r="I1354" s="118">
        <v>8.449074074074075E-4</v>
      </c>
      <c r="J1354" s="118">
        <v>7.0717592592592594E-3</v>
      </c>
      <c r="K1354" s="118">
        <v>7.0717592592592594E-3</v>
      </c>
    </row>
    <row r="1355" spans="1:11" x14ac:dyDescent="0.25">
      <c r="A1355">
        <v>4</v>
      </c>
      <c r="B1355">
        <v>5</v>
      </c>
      <c r="C1355"/>
      <c r="D1355" t="s">
        <v>31</v>
      </c>
      <c r="E1355" t="s">
        <v>35</v>
      </c>
      <c r="F1355" t="s">
        <v>40</v>
      </c>
      <c r="G1355" s="118">
        <v>0.39701388888888883</v>
      </c>
      <c r="H1355" s="118">
        <v>4.8611111111111104E-4</v>
      </c>
      <c r="I1355" s="118">
        <v>4.6296296296296293E-4</v>
      </c>
      <c r="J1355"/>
      <c r="K1355"/>
    </row>
    <row r="1356" spans="1:11" x14ac:dyDescent="0.25">
      <c r="A1356">
        <v>2</v>
      </c>
      <c r="B1356">
        <v>5</v>
      </c>
      <c r="C1356"/>
      <c r="D1356" t="s">
        <v>31</v>
      </c>
      <c r="E1356" t="s">
        <v>35</v>
      </c>
      <c r="F1356" t="s">
        <v>48</v>
      </c>
      <c r="G1356" s="118">
        <v>0.39716435185185189</v>
      </c>
      <c r="H1356" s="118">
        <v>9.1435185185185185E-4</v>
      </c>
      <c r="I1356" s="118">
        <v>5.2083333333333333E-4</v>
      </c>
      <c r="J1356"/>
      <c r="K1356"/>
    </row>
    <row r="1357" spans="1:11" x14ac:dyDescent="0.25">
      <c r="A1357">
        <v>3</v>
      </c>
      <c r="B1357">
        <v>5</v>
      </c>
      <c r="C1357"/>
      <c r="D1357" t="s">
        <v>31</v>
      </c>
      <c r="E1357" t="s">
        <v>35</v>
      </c>
      <c r="F1357" t="s">
        <v>43</v>
      </c>
      <c r="G1357" s="118">
        <v>0.39731481481481484</v>
      </c>
      <c r="H1357" s="118">
        <v>1.0995370370370371E-3</v>
      </c>
      <c r="I1357" s="118">
        <v>3.4722222222222224E-4</v>
      </c>
      <c r="J1357"/>
      <c r="K1357"/>
    </row>
    <row r="1358" spans="1:11" x14ac:dyDescent="0.25">
      <c r="A1358">
        <v>4</v>
      </c>
      <c r="B1358">
        <v>5</v>
      </c>
      <c r="C1358"/>
      <c r="D1358" t="s">
        <v>31</v>
      </c>
      <c r="E1358" t="s">
        <v>32</v>
      </c>
      <c r="F1358" t="s">
        <v>40</v>
      </c>
      <c r="G1358" s="118">
        <v>0.39747685185185189</v>
      </c>
      <c r="H1358" s="118">
        <v>4.6296296296296293E-4</v>
      </c>
      <c r="I1358" s="118">
        <v>1.0069444444444444E-3</v>
      </c>
      <c r="J1358" s="118">
        <v>7.0717592592592594E-3</v>
      </c>
      <c r="K1358" s="118">
        <v>7.0717592592592594E-3</v>
      </c>
    </row>
    <row r="1359" spans="1:11" x14ac:dyDescent="0.25">
      <c r="A1359">
        <v>3</v>
      </c>
      <c r="B1359">
        <v>5</v>
      </c>
      <c r="C1359"/>
      <c r="D1359" t="s">
        <v>31</v>
      </c>
      <c r="E1359" t="s">
        <v>32</v>
      </c>
      <c r="F1359" t="s">
        <v>43</v>
      </c>
      <c r="G1359" s="118">
        <v>0.39766203703703701</v>
      </c>
      <c r="H1359" s="118">
        <v>3.4722222222222224E-4</v>
      </c>
      <c r="I1359" s="118">
        <v>1.1458333333333333E-3</v>
      </c>
      <c r="J1359" s="118">
        <v>7.0717592592592594E-3</v>
      </c>
      <c r="K1359" s="118">
        <v>7.0717592592592594E-3</v>
      </c>
    </row>
    <row r="1360" spans="1:11" x14ac:dyDescent="0.25">
      <c r="A1360">
        <v>2</v>
      </c>
      <c r="B1360">
        <v>5</v>
      </c>
      <c r="C1360"/>
      <c r="D1360" t="s">
        <v>31</v>
      </c>
      <c r="E1360" t="s">
        <v>32</v>
      </c>
      <c r="F1360" t="s">
        <v>48</v>
      </c>
      <c r="G1360" s="118">
        <v>0.3976851851851852</v>
      </c>
      <c r="H1360" s="118">
        <v>5.2083333333333333E-4</v>
      </c>
      <c r="I1360" s="118">
        <v>8.6805555555555551E-4</v>
      </c>
      <c r="J1360" s="118">
        <v>7.0717592592592594E-3</v>
      </c>
      <c r="K1360" s="118">
        <v>7.0717592592592594E-3</v>
      </c>
    </row>
    <row r="1361" spans="1:11" x14ac:dyDescent="0.25">
      <c r="A1361">
        <v>5</v>
      </c>
      <c r="B1361">
        <v>6</v>
      </c>
      <c r="C1361"/>
      <c r="D1361" t="s">
        <v>31</v>
      </c>
      <c r="E1361" t="s">
        <v>35</v>
      </c>
      <c r="F1361" t="s">
        <v>39</v>
      </c>
      <c r="G1361" s="118">
        <v>0.39769675925925929</v>
      </c>
      <c r="H1361" s="118">
        <v>9.3750000000000007E-4</v>
      </c>
      <c r="I1361" s="118">
        <v>5.2083333333333333E-4</v>
      </c>
      <c r="J1361"/>
      <c r="K1361"/>
    </row>
    <row r="1362" spans="1:11" x14ac:dyDescent="0.25">
      <c r="A1362">
        <v>1</v>
      </c>
      <c r="B1362">
        <v>5</v>
      </c>
      <c r="C1362"/>
      <c r="D1362" t="s">
        <v>31</v>
      </c>
      <c r="E1362" t="s">
        <v>35</v>
      </c>
      <c r="F1362" t="s">
        <v>34</v>
      </c>
      <c r="G1362" s="118">
        <v>0.39784722222222224</v>
      </c>
      <c r="H1362" s="118">
        <v>8.449074074074075E-4</v>
      </c>
      <c r="I1362" s="118">
        <v>3.4722222222222224E-4</v>
      </c>
      <c r="J1362"/>
      <c r="K1362"/>
    </row>
    <row r="1363" spans="1:11" x14ac:dyDescent="0.25">
      <c r="A1363">
        <v>1</v>
      </c>
      <c r="B1363">
        <v>5</v>
      </c>
      <c r="C1363"/>
      <c r="D1363" t="s">
        <v>31</v>
      </c>
      <c r="E1363" t="s">
        <v>32</v>
      </c>
      <c r="F1363" t="s">
        <v>34</v>
      </c>
      <c r="G1363" s="118">
        <v>0.39819444444444446</v>
      </c>
      <c r="H1363" s="118">
        <v>3.4722222222222224E-4</v>
      </c>
      <c r="I1363" s="118">
        <v>9.1435185185185185E-4</v>
      </c>
      <c r="J1363" s="118">
        <v>7.0717592592592594E-3</v>
      </c>
      <c r="K1363" s="118">
        <v>7.0717592592592594E-3</v>
      </c>
    </row>
    <row r="1364" spans="1:11" x14ac:dyDescent="0.25">
      <c r="A1364">
        <v>5</v>
      </c>
      <c r="B1364">
        <v>6</v>
      </c>
      <c r="C1364"/>
      <c r="D1364" t="s">
        <v>31</v>
      </c>
      <c r="E1364" t="s">
        <v>32</v>
      </c>
      <c r="F1364" t="s">
        <v>39</v>
      </c>
      <c r="G1364" s="118">
        <v>0.3982175925925926</v>
      </c>
      <c r="H1364" s="118">
        <v>5.2083333333333333E-4</v>
      </c>
      <c r="I1364" s="118">
        <v>1.8055555555555557E-3</v>
      </c>
      <c r="J1364" s="118">
        <v>7.0717592592592594E-3</v>
      </c>
      <c r="K1364" s="118">
        <v>7.0717592592592594E-3</v>
      </c>
    </row>
    <row r="1365" spans="1:11" x14ac:dyDescent="0.25">
      <c r="A1365">
        <v>4</v>
      </c>
      <c r="B1365">
        <v>5</v>
      </c>
      <c r="C1365"/>
      <c r="D1365" t="s">
        <v>31</v>
      </c>
      <c r="E1365" t="s">
        <v>35</v>
      </c>
      <c r="F1365" t="s">
        <v>44</v>
      </c>
      <c r="G1365" s="118">
        <v>0.39848379629629632</v>
      </c>
      <c r="H1365" s="118">
        <v>1.0069444444444444E-3</v>
      </c>
      <c r="I1365" s="118">
        <v>3.4722222222222224E-4</v>
      </c>
      <c r="J1365"/>
      <c r="K1365"/>
    </row>
    <row r="1366" spans="1:11" x14ac:dyDescent="0.25">
      <c r="A1366">
        <v>2</v>
      </c>
      <c r="B1366">
        <v>5</v>
      </c>
      <c r="C1366"/>
      <c r="D1366" t="s">
        <v>31</v>
      </c>
      <c r="E1366" t="s">
        <v>35</v>
      </c>
      <c r="F1366" t="s">
        <v>54</v>
      </c>
      <c r="G1366" s="118">
        <v>0.39855324074074078</v>
      </c>
      <c r="H1366" s="118">
        <v>8.6805555555555551E-4</v>
      </c>
      <c r="I1366" s="118">
        <v>3.4722222222222224E-4</v>
      </c>
      <c r="J1366"/>
      <c r="K1366"/>
    </row>
    <row r="1367" spans="1:11" x14ac:dyDescent="0.25">
      <c r="A1367">
        <v>3</v>
      </c>
      <c r="B1367">
        <v>5</v>
      </c>
      <c r="C1367"/>
      <c r="D1367" t="s">
        <v>31</v>
      </c>
      <c r="E1367" t="s">
        <v>35</v>
      </c>
      <c r="F1367" t="s">
        <v>50</v>
      </c>
      <c r="G1367" s="118">
        <v>0.39880787037037035</v>
      </c>
      <c r="H1367" s="118">
        <v>1.1458333333333333E-3</v>
      </c>
      <c r="I1367" s="118">
        <v>3.4722222222222224E-4</v>
      </c>
      <c r="J1367"/>
      <c r="K1367"/>
    </row>
    <row r="1368" spans="1:11" x14ac:dyDescent="0.25">
      <c r="A1368">
        <v>4</v>
      </c>
      <c r="B1368">
        <v>5</v>
      </c>
      <c r="C1368"/>
      <c r="D1368" t="s">
        <v>31</v>
      </c>
      <c r="E1368" t="s">
        <v>32</v>
      </c>
      <c r="F1368" t="s">
        <v>44</v>
      </c>
      <c r="G1368" s="118">
        <v>0.39883101851851849</v>
      </c>
      <c r="H1368" s="118">
        <v>3.4722222222222224E-4</v>
      </c>
      <c r="I1368" s="118">
        <v>9.2592592592592585E-4</v>
      </c>
      <c r="J1368" s="118">
        <v>7.0717592592592594E-3</v>
      </c>
      <c r="K1368" s="118">
        <v>7.0717592592592594E-3</v>
      </c>
    </row>
    <row r="1369" spans="1:11" x14ac:dyDescent="0.25">
      <c r="A1369">
        <v>2</v>
      </c>
      <c r="B1369">
        <v>5</v>
      </c>
      <c r="C1369"/>
      <c r="D1369" t="s">
        <v>31</v>
      </c>
      <c r="E1369" t="s">
        <v>32</v>
      </c>
      <c r="F1369" t="s">
        <v>54</v>
      </c>
      <c r="G1369" s="118">
        <v>0.39890046296296294</v>
      </c>
      <c r="H1369" s="118">
        <v>3.4722222222222224E-4</v>
      </c>
      <c r="I1369" s="118">
        <v>6.9444444444444447E-4</v>
      </c>
      <c r="J1369" s="118">
        <v>7.0717592592592594E-3</v>
      </c>
      <c r="K1369" s="118">
        <v>7.0717592592592594E-3</v>
      </c>
    </row>
    <row r="1370" spans="1:11" x14ac:dyDescent="0.25">
      <c r="A1370">
        <v>1</v>
      </c>
      <c r="B1370">
        <v>5</v>
      </c>
      <c r="C1370"/>
      <c r="D1370" t="s">
        <v>31</v>
      </c>
      <c r="E1370" t="s">
        <v>35</v>
      </c>
      <c r="F1370" t="s">
        <v>38</v>
      </c>
      <c r="G1370" s="118">
        <v>0.39910879629629631</v>
      </c>
      <c r="H1370" s="118">
        <v>9.1435185185185185E-4</v>
      </c>
      <c r="I1370" s="118">
        <v>3.4722222222222224E-4</v>
      </c>
      <c r="J1370"/>
      <c r="K1370"/>
    </row>
    <row r="1371" spans="1:11" x14ac:dyDescent="0.25">
      <c r="A1371">
        <v>3</v>
      </c>
      <c r="B1371">
        <v>5</v>
      </c>
      <c r="C1371"/>
      <c r="D1371" t="s">
        <v>31</v>
      </c>
      <c r="E1371" t="s">
        <v>32</v>
      </c>
      <c r="F1371" t="s">
        <v>50</v>
      </c>
      <c r="G1371" s="118">
        <v>0.39915509259259258</v>
      </c>
      <c r="H1371" s="118">
        <v>3.4722222222222224E-4</v>
      </c>
      <c r="I1371" s="118">
        <v>1.261574074074074E-3</v>
      </c>
      <c r="J1371" s="118">
        <v>7.0717592592592594E-3</v>
      </c>
      <c r="K1371" s="118">
        <v>7.0717592592592594E-3</v>
      </c>
    </row>
    <row r="1372" spans="1:11" x14ac:dyDescent="0.25">
      <c r="A1372">
        <v>1</v>
      </c>
      <c r="B1372">
        <v>5</v>
      </c>
      <c r="C1372"/>
      <c r="D1372" t="s">
        <v>31</v>
      </c>
      <c r="E1372" t="s">
        <v>32</v>
      </c>
      <c r="F1372" t="s">
        <v>38</v>
      </c>
      <c r="G1372" s="118">
        <v>0.39945601851851853</v>
      </c>
      <c r="H1372" s="118">
        <v>3.4722222222222224E-4</v>
      </c>
      <c r="I1372" s="118">
        <v>1.2384259259259258E-3</v>
      </c>
      <c r="J1372" s="118">
        <v>7.0717592592592594E-3</v>
      </c>
      <c r="K1372" s="118">
        <v>7.0717592592592594E-3</v>
      </c>
    </row>
    <row r="1373" spans="1:11" x14ac:dyDescent="0.25">
      <c r="A1373">
        <v>2</v>
      </c>
      <c r="B1373">
        <v>5</v>
      </c>
      <c r="C1373"/>
      <c r="D1373" t="s">
        <v>31</v>
      </c>
      <c r="E1373" t="s">
        <v>35</v>
      </c>
      <c r="F1373" t="s">
        <v>92</v>
      </c>
      <c r="G1373" s="118">
        <v>0.39959490740740744</v>
      </c>
      <c r="H1373" s="118">
        <v>6.9444444444444447E-4</v>
      </c>
      <c r="I1373" s="118">
        <v>5.2083333333333333E-4</v>
      </c>
      <c r="J1373"/>
      <c r="K1373"/>
    </row>
    <row r="1374" spans="1:11" x14ac:dyDescent="0.25">
      <c r="A1374">
        <v>4</v>
      </c>
      <c r="B1374">
        <v>5</v>
      </c>
      <c r="C1374"/>
      <c r="D1374" t="s">
        <v>31</v>
      </c>
      <c r="E1374" t="s">
        <v>35</v>
      </c>
      <c r="F1374" t="s">
        <v>49</v>
      </c>
      <c r="G1374" s="118">
        <v>0.39975694444444443</v>
      </c>
      <c r="H1374" s="118">
        <v>9.2592592592592585E-4</v>
      </c>
      <c r="I1374" s="118">
        <v>3.4722222222222224E-4</v>
      </c>
      <c r="J1374"/>
      <c r="K1374"/>
    </row>
    <row r="1375" spans="1:11" x14ac:dyDescent="0.25">
      <c r="A1375">
        <v>5</v>
      </c>
      <c r="B1375">
        <v>6</v>
      </c>
      <c r="C1375"/>
      <c r="D1375" t="s">
        <v>31</v>
      </c>
      <c r="E1375" t="s">
        <v>35</v>
      </c>
      <c r="F1375" t="s">
        <v>46</v>
      </c>
      <c r="G1375" s="118">
        <v>0.40002314814814816</v>
      </c>
      <c r="H1375" s="118">
        <v>1.8055555555555557E-3</v>
      </c>
      <c r="I1375" s="118">
        <v>3.4722222222222224E-4</v>
      </c>
      <c r="J1375"/>
      <c r="K1375"/>
    </row>
    <row r="1376" spans="1:11" x14ac:dyDescent="0.25">
      <c r="A1376">
        <v>4</v>
      </c>
      <c r="B1376">
        <v>5</v>
      </c>
      <c r="C1376"/>
      <c r="D1376" t="s">
        <v>31</v>
      </c>
      <c r="E1376" t="s">
        <v>32</v>
      </c>
      <c r="F1376" t="s">
        <v>49</v>
      </c>
      <c r="G1376" s="118">
        <v>0.40010416666666665</v>
      </c>
      <c r="H1376" s="118">
        <v>3.4722222222222224E-4</v>
      </c>
      <c r="I1376" s="118">
        <v>1.3541666666666667E-3</v>
      </c>
      <c r="J1376" s="118">
        <v>7.0717592592592594E-3</v>
      </c>
      <c r="K1376" s="118">
        <v>7.0717592592592594E-3</v>
      </c>
    </row>
    <row r="1377" spans="1:11" x14ac:dyDescent="0.25">
      <c r="A1377">
        <v>2</v>
      </c>
      <c r="B1377">
        <v>6</v>
      </c>
      <c r="C1377"/>
      <c r="D1377" t="s">
        <v>31</v>
      </c>
      <c r="E1377" t="s">
        <v>32</v>
      </c>
      <c r="F1377" t="s">
        <v>92</v>
      </c>
      <c r="G1377" s="118">
        <v>0.40011574074074074</v>
      </c>
      <c r="H1377" s="118">
        <v>5.2083333333333333E-4</v>
      </c>
      <c r="I1377" s="118">
        <v>1.0069444444444444E-3</v>
      </c>
      <c r="J1377" s="118">
        <v>7.0717592592592594E-3</v>
      </c>
      <c r="K1377" s="118">
        <v>7.0717592592592594E-3</v>
      </c>
    </row>
    <row r="1378" spans="1:11" x14ac:dyDescent="0.25">
      <c r="A1378">
        <v>5</v>
      </c>
      <c r="B1378">
        <v>6</v>
      </c>
      <c r="C1378"/>
      <c r="D1378" t="s">
        <v>31</v>
      </c>
      <c r="E1378" t="s">
        <v>32</v>
      </c>
      <c r="F1378" t="s">
        <v>46</v>
      </c>
      <c r="G1378" s="118">
        <v>0.40037037037037032</v>
      </c>
      <c r="H1378" s="118">
        <v>3.4722222222222224E-4</v>
      </c>
      <c r="I1378" s="118">
        <v>9.1435185185185185E-4</v>
      </c>
      <c r="J1378" s="118">
        <v>7.0717592592592594E-3</v>
      </c>
      <c r="K1378" s="118">
        <v>7.0717592592592594E-3</v>
      </c>
    </row>
    <row r="1379" spans="1:11" x14ac:dyDescent="0.25">
      <c r="A1379">
        <v>3</v>
      </c>
      <c r="B1379">
        <v>5</v>
      </c>
      <c r="C1379"/>
      <c r="D1379" t="s">
        <v>31</v>
      </c>
      <c r="E1379" t="s">
        <v>35</v>
      </c>
      <c r="F1379" t="s">
        <v>56</v>
      </c>
      <c r="G1379" s="118">
        <v>0.40041666666666664</v>
      </c>
      <c r="H1379" s="118">
        <v>1.261574074074074E-3</v>
      </c>
      <c r="I1379" s="118">
        <v>3.4722222222222224E-4</v>
      </c>
      <c r="J1379"/>
      <c r="K1379"/>
    </row>
    <row r="1380" spans="1:11" x14ac:dyDescent="0.25">
      <c r="A1380">
        <v>1</v>
      </c>
      <c r="B1380">
        <v>5</v>
      </c>
      <c r="C1380"/>
      <c r="D1380" t="s">
        <v>31</v>
      </c>
      <c r="E1380" t="s">
        <v>35</v>
      </c>
      <c r="F1380" t="s">
        <v>45</v>
      </c>
      <c r="G1380" s="118">
        <v>0.40069444444444446</v>
      </c>
      <c r="H1380" s="118">
        <v>1.2384259259259258E-3</v>
      </c>
      <c r="I1380" s="118">
        <v>3.4722222222222224E-4</v>
      </c>
      <c r="J1380"/>
      <c r="K1380"/>
    </row>
    <row r="1381" spans="1:11" x14ac:dyDescent="0.25">
      <c r="A1381">
        <v>3</v>
      </c>
      <c r="B1381">
        <v>5</v>
      </c>
      <c r="C1381"/>
      <c r="D1381" t="s">
        <v>31</v>
      </c>
      <c r="E1381" t="s">
        <v>32</v>
      </c>
      <c r="F1381" t="s">
        <v>56</v>
      </c>
      <c r="G1381" s="118">
        <v>0.40076388888888892</v>
      </c>
      <c r="H1381" s="118">
        <v>3.4722222222222224E-4</v>
      </c>
      <c r="I1381" s="118">
        <v>9.6064814814814808E-4</v>
      </c>
      <c r="J1381" s="118">
        <v>7.0717592592592594E-3</v>
      </c>
      <c r="K1381" s="118">
        <v>7.0717592592592594E-3</v>
      </c>
    </row>
    <row r="1382" spans="1:11" x14ac:dyDescent="0.25">
      <c r="A1382">
        <v>1</v>
      </c>
      <c r="B1382">
        <v>5</v>
      </c>
      <c r="C1382"/>
      <c r="D1382" t="s">
        <v>31</v>
      </c>
      <c r="E1382" t="s">
        <v>32</v>
      </c>
      <c r="F1382" t="s">
        <v>45</v>
      </c>
      <c r="G1382" s="118">
        <v>0.40104166666666669</v>
      </c>
      <c r="H1382" s="118">
        <v>3.4722222222222224E-4</v>
      </c>
      <c r="I1382" s="118">
        <v>1.0416666666666667E-3</v>
      </c>
      <c r="J1382" s="118">
        <v>7.0717592592592594E-3</v>
      </c>
      <c r="K1382" s="118">
        <v>7.0717592592592594E-3</v>
      </c>
    </row>
    <row r="1383" spans="1:11" x14ac:dyDescent="0.25">
      <c r="A1383">
        <v>2</v>
      </c>
      <c r="B1383">
        <v>6</v>
      </c>
      <c r="C1383"/>
      <c r="D1383" t="s">
        <v>31</v>
      </c>
      <c r="E1383" t="s">
        <v>35</v>
      </c>
      <c r="F1383" t="s">
        <v>41</v>
      </c>
      <c r="G1383" s="118">
        <v>0.40112268518518518</v>
      </c>
      <c r="H1383" s="118">
        <v>1.0069444444444444E-3</v>
      </c>
      <c r="I1383" s="118">
        <v>3.4722222222222224E-4</v>
      </c>
      <c r="J1383"/>
      <c r="K1383"/>
    </row>
    <row r="1384" spans="1:11" x14ac:dyDescent="0.25">
      <c r="A1384">
        <v>5</v>
      </c>
      <c r="B1384">
        <v>6</v>
      </c>
      <c r="C1384"/>
      <c r="D1384" t="s">
        <v>31</v>
      </c>
      <c r="E1384" t="s">
        <v>35</v>
      </c>
      <c r="F1384" t="s">
        <v>51</v>
      </c>
      <c r="G1384" s="118">
        <v>0.40128472222222222</v>
      </c>
      <c r="H1384" s="118">
        <v>9.1435185185185185E-4</v>
      </c>
      <c r="I1384" s="118">
        <v>3.4722222222222224E-4</v>
      </c>
      <c r="J1384"/>
      <c r="K1384"/>
    </row>
    <row r="1385" spans="1:11" x14ac:dyDescent="0.25">
      <c r="A1385">
        <v>4</v>
      </c>
      <c r="B1385">
        <v>5</v>
      </c>
      <c r="C1385"/>
      <c r="D1385" t="s">
        <v>31</v>
      </c>
      <c r="E1385" t="s">
        <v>35</v>
      </c>
      <c r="F1385" t="s">
        <v>33</v>
      </c>
      <c r="G1385" s="118">
        <v>0.40145833333333331</v>
      </c>
      <c r="H1385" s="118">
        <v>1.3541666666666667E-3</v>
      </c>
      <c r="I1385" s="118">
        <v>5.2083333333333333E-4</v>
      </c>
      <c r="J1385"/>
      <c r="K1385"/>
    </row>
    <row r="1386" spans="1:11" x14ac:dyDescent="0.25">
      <c r="A1386">
        <v>2</v>
      </c>
      <c r="B1386">
        <v>6</v>
      </c>
      <c r="C1386"/>
      <c r="D1386" t="s">
        <v>31</v>
      </c>
      <c r="E1386" t="s">
        <v>32</v>
      </c>
      <c r="F1386" t="s">
        <v>41</v>
      </c>
      <c r="G1386" s="118">
        <v>0.40146990740740746</v>
      </c>
      <c r="H1386" s="118">
        <v>3.4722222222222224E-4</v>
      </c>
      <c r="I1386" s="118">
        <v>8.564814814814815E-4</v>
      </c>
      <c r="J1386" s="118">
        <v>7.0717592592592594E-3</v>
      </c>
      <c r="K1386" s="118">
        <v>7.0717592592592594E-3</v>
      </c>
    </row>
    <row r="1387" spans="1:11" x14ac:dyDescent="0.25">
      <c r="A1387">
        <v>5</v>
      </c>
      <c r="B1387">
        <v>6</v>
      </c>
      <c r="C1387"/>
      <c r="D1387" t="s">
        <v>31</v>
      </c>
      <c r="E1387" t="s">
        <v>32</v>
      </c>
      <c r="F1387" t="s">
        <v>51</v>
      </c>
      <c r="G1387" s="118">
        <v>0.40163194444444444</v>
      </c>
      <c r="H1387" s="118">
        <v>3.4722222222222224E-4</v>
      </c>
      <c r="I1387" s="118">
        <v>1.0069444444444444E-3</v>
      </c>
      <c r="J1387" s="118">
        <v>7.0717592592592594E-3</v>
      </c>
      <c r="K1387" s="118">
        <v>7.0717592592592594E-3</v>
      </c>
    </row>
    <row r="1388" spans="1:11" x14ac:dyDescent="0.25">
      <c r="A1388">
        <v>3</v>
      </c>
      <c r="B1388">
        <v>5</v>
      </c>
      <c r="C1388"/>
      <c r="D1388" t="s">
        <v>31</v>
      </c>
      <c r="E1388" t="s">
        <v>35</v>
      </c>
      <c r="F1388" t="s">
        <v>37</v>
      </c>
      <c r="G1388" s="118">
        <v>0.40172453703703703</v>
      </c>
      <c r="H1388" s="118">
        <v>9.6064814814814808E-4</v>
      </c>
      <c r="I1388" s="118">
        <v>3.4722222222222224E-4</v>
      </c>
      <c r="J1388"/>
      <c r="K1388"/>
    </row>
    <row r="1389" spans="1:11" x14ac:dyDescent="0.25">
      <c r="A1389">
        <v>4</v>
      </c>
      <c r="B1389">
        <v>5</v>
      </c>
      <c r="C1389"/>
      <c r="D1389" t="s">
        <v>31</v>
      </c>
      <c r="E1389" t="s">
        <v>32</v>
      </c>
      <c r="F1389" t="s">
        <v>33</v>
      </c>
      <c r="G1389" s="118">
        <v>0.40197916666666672</v>
      </c>
      <c r="H1389" s="118">
        <v>5.2083333333333333E-4</v>
      </c>
      <c r="I1389" s="118">
        <v>9.6064814814814808E-4</v>
      </c>
      <c r="J1389" s="118">
        <v>7.0717592592592594E-3</v>
      </c>
      <c r="K1389" s="118">
        <v>7.0717592592592594E-3</v>
      </c>
    </row>
    <row r="1390" spans="1:11" x14ac:dyDescent="0.25">
      <c r="A1390">
        <v>3</v>
      </c>
      <c r="B1390">
        <v>5</v>
      </c>
      <c r="C1390"/>
      <c r="D1390" t="s">
        <v>31</v>
      </c>
      <c r="E1390" t="s">
        <v>32</v>
      </c>
      <c r="F1390" t="s">
        <v>37</v>
      </c>
      <c r="G1390" s="118">
        <v>0.40207175925925925</v>
      </c>
      <c r="H1390" s="118">
        <v>3.4722222222222224E-4</v>
      </c>
      <c r="I1390" s="118">
        <v>9.0277777777777784E-4</v>
      </c>
      <c r="J1390" s="118">
        <v>7.0717592592592594E-3</v>
      </c>
      <c r="K1390" s="118">
        <v>7.0717592592592594E-3</v>
      </c>
    </row>
    <row r="1391" spans="1:11" x14ac:dyDescent="0.25">
      <c r="A1391">
        <v>1</v>
      </c>
      <c r="B1391">
        <v>5</v>
      </c>
      <c r="C1391"/>
      <c r="D1391" t="s">
        <v>31</v>
      </c>
      <c r="E1391" t="s">
        <v>35</v>
      </c>
      <c r="F1391" t="s">
        <v>52</v>
      </c>
      <c r="G1391" s="118">
        <v>0.40208333333333335</v>
      </c>
      <c r="H1391" s="118">
        <v>1.0416666666666667E-3</v>
      </c>
      <c r="I1391" s="118">
        <v>3.4722222222222224E-4</v>
      </c>
      <c r="J1391"/>
      <c r="K1391"/>
    </row>
    <row r="1392" spans="1:11" x14ac:dyDescent="0.25">
      <c r="A1392">
        <v>2</v>
      </c>
      <c r="B1392">
        <v>6</v>
      </c>
      <c r="C1392"/>
      <c r="D1392" t="s">
        <v>31</v>
      </c>
      <c r="E1392" t="s">
        <v>35</v>
      </c>
      <c r="F1392" t="s">
        <v>47</v>
      </c>
      <c r="G1392" s="118">
        <v>0.40232638888888889</v>
      </c>
      <c r="H1392" s="118">
        <v>8.564814814814815E-4</v>
      </c>
      <c r="I1392" s="118">
        <v>5.2083333333333333E-4</v>
      </c>
      <c r="J1392"/>
      <c r="K1392"/>
    </row>
    <row r="1393" spans="1:11" x14ac:dyDescent="0.25">
      <c r="A1393">
        <v>1</v>
      </c>
      <c r="B1393">
        <v>5</v>
      </c>
      <c r="C1393"/>
      <c r="D1393" t="s">
        <v>31</v>
      </c>
      <c r="E1393" t="s">
        <v>32</v>
      </c>
      <c r="F1393" t="s">
        <v>52</v>
      </c>
      <c r="G1393" s="118">
        <v>0.40243055555555557</v>
      </c>
      <c r="H1393" s="118">
        <v>3.4722222222222224E-4</v>
      </c>
      <c r="I1393" s="118">
        <v>1.0532407407407407E-3</v>
      </c>
      <c r="J1393" s="118">
        <v>7.0717592592592594E-3</v>
      </c>
      <c r="K1393" s="118">
        <v>7.0717592592592594E-3</v>
      </c>
    </row>
    <row r="1394" spans="1:11" x14ac:dyDescent="0.25">
      <c r="A1394">
        <v>5</v>
      </c>
      <c r="B1394">
        <v>6</v>
      </c>
      <c r="C1394"/>
      <c r="D1394" t="s">
        <v>31</v>
      </c>
      <c r="E1394" t="s">
        <v>35</v>
      </c>
      <c r="F1394" t="s">
        <v>55</v>
      </c>
      <c r="G1394" s="118">
        <v>0.40263888888888894</v>
      </c>
      <c r="H1394" s="118">
        <v>1.0069444444444444E-3</v>
      </c>
      <c r="I1394" s="118">
        <v>4.6296296296296293E-4</v>
      </c>
      <c r="J1394"/>
      <c r="K1394"/>
    </row>
    <row r="1395" spans="1:11" x14ac:dyDescent="0.25">
      <c r="A1395">
        <v>2</v>
      </c>
      <c r="B1395">
        <v>6</v>
      </c>
      <c r="C1395"/>
      <c r="D1395" t="s">
        <v>31</v>
      </c>
      <c r="E1395" t="s">
        <v>32</v>
      </c>
      <c r="F1395" t="s">
        <v>47</v>
      </c>
      <c r="G1395" s="118">
        <v>0.40284722222222219</v>
      </c>
      <c r="H1395" s="118">
        <v>5.2083333333333333E-4</v>
      </c>
      <c r="I1395" s="118">
        <v>8.7962962962962962E-4</v>
      </c>
      <c r="J1395" s="118">
        <v>7.0717592592592594E-3</v>
      </c>
      <c r="K1395" s="118">
        <v>7.0717592592592594E-3</v>
      </c>
    </row>
    <row r="1396" spans="1:11" x14ac:dyDescent="0.25">
      <c r="A1396">
        <v>4</v>
      </c>
      <c r="B1396">
        <v>5</v>
      </c>
      <c r="C1396"/>
      <c r="D1396" t="s">
        <v>31</v>
      </c>
      <c r="E1396" t="s">
        <v>35</v>
      </c>
      <c r="F1396" t="s">
        <v>36</v>
      </c>
      <c r="G1396" s="118">
        <v>0.40293981481481483</v>
      </c>
      <c r="H1396" s="118">
        <v>9.6064814814814808E-4</v>
      </c>
      <c r="I1396" s="118">
        <v>3.4722222222222224E-4</v>
      </c>
      <c r="J1396"/>
      <c r="K1396"/>
    </row>
    <row r="1397" spans="1:11" x14ac:dyDescent="0.25">
      <c r="A1397">
        <v>3</v>
      </c>
      <c r="B1397">
        <v>5</v>
      </c>
      <c r="C1397"/>
      <c r="D1397" t="s">
        <v>31</v>
      </c>
      <c r="E1397" t="s">
        <v>35</v>
      </c>
      <c r="F1397" t="s">
        <v>42</v>
      </c>
      <c r="G1397" s="118">
        <v>0.40297453703703701</v>
      </c>
      <c r="H1397" s="118">
        <v>9.0277777777777784E-4</v>
      </c>
      <c r="I1397" s="118">
        <v>3.4722222222222224E-4</v>
      </c>
      <c r="J1397"/>
      <c r="K1397"/>
    </row>
    <row r="1398" spans="1:11" x14ac:dyDescent="0.25">
      <c r="A1398">
        <v>5</v>
      </c>
      <c r="B1398">
        <v>6</v>
      </c>
      <c r="C1398"/>
      <c r="D1398" t="s">
        <v>31</v>
      </c>
      <c r="E1398" t="s">
        <v>32</v>
      </c>
      <c r="F1398" t="s">
        <v>55</v>
      </c>
      <c r="G1398" s="118">
        <v>0.40310185185185188</v>
      </c>
      <c r="H1398" s="118">
        <v>4.6296296296296293E-4</v>
      </c>
      <c r="I1398" s="118">
        <v>4.3981481481481481E-4</v>
      </c>
      <c r="J1398" s="118">
        <v>7.0717592592592594E-3</v>
      </c>
      <c r="K1398" s="118">
        <v>7.0717592592592594E-3</v>
      </c>
    </row>
    <row r="1399" spans="1:11" x14ac:dyDescent="0.25">
      <c r="A1399">
        <v>4</v>
      </c>
      <c r="B1399">
        <v>5</v>
      </c>
      <c r="C1399"/>
      <c r="D1399" t="s">
        <v>31</v>
      </c>
      <c r="E1399" t="s">
        <v>32</v>
      </c>
      <c r="F1399" t="s">
        <v>36</v>
      </c>
      <c r="G1399" s="118">
        <v>0.403287037037037</v>
      </c>
      <c r="H1399" s="118">
        <v>3.4722222222222224E-4</v>
      </c>
      <c r="I1399" s="118">
        <v>1.0995370370370371E-3</v>
      </c>
      <c r="J1399" s="118">
        <v>7.0717592592592594E-3</v>
      </c>
      <c r="K1399" s="118">
        <v>7.0717592592592594E-3</v>
      </c>
    </row>
    <row r="1400" spans="1:11" x14ac:dyDescent="0.25">
      <c r="A1400">
        <v>3</v>
      </c>
      <c r="B1400">
        <v>5</v>
      </c>
      <c r="C1400"/>
      <c r="D1400" t="s">
        <v>31</v>
      </c>
      <c r="E1400" t="s">
        <v>32</v>
      </c>
      <c r="F1400" t="s">
        <v>42</v>
      </c>
      <c r="G1400" s="118">
        <v>0.40332175925925928</v>
      </c>
      <c r="H1400" s="118">
        <v>3.4722222222222224E-4</v>
      </c>
      <c r="I1400" s="118">
        <v>9.1435185185185185E-4</v>
      </c>
      <c r="J1400" s="118">
        <v>7.0717592592592594E-3</v>
      </c>
      <c r="K1400" s="118">
        <v>7.0717592592592594E-3</v>
      </c>
    </row>
    <row r="1401" spans="1:11" x14ac:dyDescent="0.25">
      <c r="A1401">
        <v>1</v>
      </c>
      <c r="B1401">
        <v>5</v>
      </c>
      <c r="C1401"/>
      <c r="D1401" t="s">
        <v>31</v>
      </c>
      <c r="E1401" t="s">
        <v>35</v>
      </c>
      <c r="F1401" t="s">
        <v>57</v>
      </c>
      <c r="G1401" s="118">
        <v>0.40348379629629627</v>
      </c>
      <c r="H1401" s="118">
        <v>1.0532407407407407E-3</v>
      </c>
      <c r="I1401" s="118">
        <v>3.4722222222222224E-4</v>
      </c>
      <c r="J1401"/>
      <c r="K1401"/>
    </row>
    <row r="1402" spans="1:11" x14ac:dyDescent="0.25">
      <c r="A1402">
        <v>5</v>
      </c>
      <c r="B1402">
        <v>6</v>
      </c>
      <c r="C1402"/>
      <c r="D1402" t="s">
        <v>31</v>
      </c>
      <c r="E1402" t="s">
        <v>35</v>
      </c>
      <c r="F1402" t="s">
        <v>58</v>
      </c>
      <c r="G1402" s="118">
        <v>0.40354166666666669</v>
      </c>
      <c r="H1402" s="118">
        <v>4.3981481481481481E-4</v>
      </c>
      <c r="I1402" s="118">
        <v>5.7870370370370366E-5</v>
      </c>
      <c r="J1402"/>
      <c r="K1402"/>
    </row>
    <row r="1403" spans="1:11" x14ac:dyDescent="0.25">
      <c r="A1403">
        <v>5</v>
      </c>
      <c r="B1403">
        <v>6</v>
      </c>
      <c r="C1403"/>
      <c r="D1403" t="s">
        <v>31</v>
      </c>
      <c r="E1403" t="s">
        <v>32</v>
      </c>
      <c r="F1403" t="s">
        <v>58</v>
      </c>
      <c r="G1403" s="118">
        <v>0.40359953703703705</v>
      </c>
      <c r="H1403" s="118">
        <v>5.7870370370370366E-5</v>
      </c>
      <c r="I1403" s="118">
        <v>4.8611111111111104E-4</v>
      </c>
      <c r="J1403" s="118">
        <v>7.0717592592592594E-3</v>
      </c>
      <c r="K1403" s="118">
        <v>7.0717592592592594E-3</v>
      </c>
    </row>
    <row r="1404" spans="1:11" x14ac:dyDescent="0.25">
      <c r="A1404">
        <v>2</v>
      </c>
      <c r="B1404">
        <v>6</v>
      </c>
      <c r="C1404"/>
      <c r="D1404" t="s">
        <v>31</v>
      </c>
      <c r="E1404" t="s">
        <v>35</v>
      </c>
      <c r="F1404" t="s">
        <v>53</v>
      </c>
      <c r="G1404" s="118">
        <v>0.40372685185185181</v>
      </c>
      <c r="H1404" s="118">
        <v>8.7962962962962962E-4</v>
      </c>
      <c r="I1404" s="118">
        <v>3.4722222222222224E-4</v>
      </c>
      <c r="J1404"/>
      <c r="K1404"/>
    </row>
    <row r="1405" spans="1:11" x14ac:dyDescent="0.25">
      <c r="A1405">
        <v>1</v>
      </c>
      <c r="B1405">
        <v>5</v>
      </c>
      <c r="C1405"/>
      <c r="D1405" t="s">
        <v>31</v>
      </c>
      <c r="E1405" t="s">
        <v>32</v>
      </c>
      <c r="F1405" t="s">
        <v>57</v>
      </c>
      <c r="G1405" s="118">
        <v>0.40383101851851855</v>
      </c>
      <c r="H1405" s="118">
        <v>3.4722222222222224E-4</v>
      </c>
      <c r="I1405" s="118">
        <v>9.3750000000000007E-4</v>
      </c>
      <c r="J1405" s="118">
        <v>7.0717592592592594E-3</v>
      </c>
      <c r="K1405" s="118">
        <v>7.0717592592592594E-3</v>
      </c>
    </row>
    <row r="1406" spans="1:11" x14ac:dyDescent="0.25">
      <c r="A1406">
        <v>2</v>
      </c>
      <c r="B1406">
        <v>6</v>
      </c>
      <c r="C1406"/>
      <c r="D1406" t="s">
        <v>31</v>
      </c>
      <c r="E1406" t="s">
        <v>32</v>
      </c>
      <c r="F1406" t="s">
        <v>53</v>
      </c>
      <c r="G1406" s="118">
        <v>0.40407407407407409</v>
      </c>
      <c r="H1406" s="118">
        <v>3.4722222222222224E-4</v>
      </c>
      <c r="I1406" s="118">
        <v>8.449074074074075E-4</v>
      </c>
      <c r="J1406" s="118">
        <v>7.0717592592592594E-3</v>
      </c>
      <c r="K1406" s="118">
        <v>7.0717592592592594E-3</v>
      </c>
    </row>
    <row r="1407" spans="1:11" x14ac:dyDescent="0.25">
      <c r="A1407">
        <v>5</v>
      </c>
      <c r="B1407">
        <v>6</v>
      </c>
      <c r="C1407"/>
      <c r="D1407" t="s">
        <v>31</v>
      </c>
      <c r="E1407" t="s">
        <v>35</v>
      </c>
      <c r="F1407" t="s">
        <v>40</v>
      </c>
      <c r="G1407" s="118">
        <v>0.40408564814814812</v>
      </c>
      <c r="H1407" s="118">
        <v>4.8611111111111104E-4</v>
      </c>
      <c r="I1407" s="118">
        <v>4.6296296296296293E-4</v>
      </c>
      <c r="J1407"/>
      <c r="K1407"/>
    </row>
    <row r="1408" spans="1:11" x14ac:dyDescent="0.25">
      <c r="A1408">
        <v>3</v>
      </c>
      <c r="B1408">
        <v>5</v>
      </c>
      <c r="C1408"/>
      <c r="D1408" t="s">
        <v>31</v>
      </c>
      <c r="E1408" t="s">
        <v>35</v>
      </c>
      <c r="F1408" t="s">
        <v>48</v>
      </c>
      <c r="G1408" s="118">
        <v>0.40423611111111107</v>
      </c>
      <c r="H1408" s="118">
        <v>9.1435185185185185E-4</v>
      </c>
      <c r="I1408" s="118">
        <v>5.2083333333333333E-4</v>
      </c>
      <c r="J1408"/>
      <c r="K1408"/>
    </row>
    <row r="1409" spans="1:11" x14ac:dyDescent="0.25">
      <c r="A1409">
        <v>4</v>
      </c>
      <c r="B1409">
        <v>5</v>
      </c>
      <c r="C1409"/>
      <c r="D1409" t="s">
        <v>31</v>
      </c>
      <c r="E1409" t="s">
        <v>35</v>
      </c>
      <c r="F1409" t="s">
        <v>43</v>
      </c>
      <c r="G1409" s="118">
        <v>0.40438657407407402</v>
      </c>
      <c r="H1409" s="118">
        <v>1.0995370370370371E-3</v>
      </c>
      <c r="I1409" s="118">
        <v>3.4722222222222224E-4</v>
      </c>
      <c r="J1409"/>
      <c r="K1409"/>
    </row>
    <row r="1410" spans="1:11" x14ac:dyDescent="0.25">
      <c r="A1410">
        <v>5</v>
      </c>
      <c r="B1410">
        <v>6</v>
      </c>
      <c r="C1410"/>
      <c r="D1410" t="s">
        <v>31</v>
      </c>
      <c r="E1410" t="s">
        <v>32</v>
      </c>
      <c r="F1410" t="s">
        <v>40</v>
      </c>
      <c r="G1410" s="118">
        <v>0.40454861111111112</v>
      </c>
      <c r="H1410" s="118">
        <v>4.6296296296296293E-4</v>
      </c>
      <c r="I1410" s="118">
        <v>1.0069444444444444E-3</v>
      </c>
      <c r="J1410" s="118">
        <v>7.0717592592592594E-3</v>
      </c>
      <c r="K1410" s="118">
        <v>7.0717592592592594E-3</v>
      </c>
    </row>
    <row r="1411" spans="1:11" x14ac:dyDescent="0.25">
      <c r="A1411">
        <v>4</v>
      </c>
      <c r="B1411">
        <v>5</v>
      </c>
      <c r="C1411"/>
      <c r="D1411" t="s">
        <v>31</v>
      </c>
      <c r="E1411" t="s">
        <v>32</v>
      </c>
      <c r="F1411" t="s">
        <v>43</v>
      </c>
      <c r="G1411" s="118">
        <v>0.4047337962962963</v>
      </c>
      <c r="H1411" s="118">
        <v>3.4722222222222224E-4</v>
      </c>
      <c r="I1411" s="118">
        <v>1.1458333333333333E-3</v>
      </c>
      <c r="J1411" s="118">
        <v>7.0717592592592594E-3</v>
      </c>
      <c r="K1411" s="118">
        <v>7.0717592592592594E-3</v>
      </c>
    </row>
    <row r="1412" spans="1:11" x14ac:dyDescent="0.25">
      <c r="A1412">
        <v>3</v>
      </c>
      <c r="B1412">
        <v>5</v>
      </c>
      <c r="C1412"/>
      <c r="D1412" t="s">
        <v>31</v>
      </c>
      <c r="E1412" t="s">
        <v>32</v>
      </c>
      <c r="F1412" t="s">
        <v>48</v>
      </c>
      <c r="G1412" s="118">
        <v>0.40475694444444449</v>
      </c>
      <c r="H1412" s="118">
        <v>5.2083333333333333E-4</v>
      </c>
      <c r="I1412" s="118">
        <v>8.6805555555555551E-4</v>
      </c>
      <c r="J1412" s="118">
        <v>7.0717592592592594E-3</v>
      </c>
      <c r="K1412" s="118">
        <v>7.0717592592592594E-3</v>
      </c>
    </row>
    <row r="1413" spans="1:11" x14ac:dyDescent="0.25">
      <c r="A1413">
        <v>1</v>
      </c>
      <c r="B1413">
        <v>5</v>
      </c>
      <c r="C1413"/>
      <c r="D1413" t="s">
        <v>31</v>
      </c>
      <c r="E1413" t="s">
        <v>35</v>
      </c>
      <c r="F1413" t="s">
        <v>39</v>
      </c>
      <c r="G1413" s="118">
        <v>0.40476851851851853</v>
      </c>
      <c r="H1413" s="118">
        <v>9.3750000000000007E-4</v>
      </c>
      <c r="I1413" s="118">
        <v>5.2083333333333333E-4</v>
      </c>
      <c r="J1413"/>
      <c r="K1413"/>
    </row>
    <row r="1414" spans="1:11" x14ac:dyDescent="0.25">
      <c r="A1414">
        <v>2</v>
      </c>
      <c r="B1414">
        <v>6</v>
      </c>
      <c r="C1414"/>
      <c r="D1414" t="s">
        <v>31</v>
      </c>
      <c r="E1414" t="s">
        <v>35</v>
      </c>
      <c r="F1414" t="s">
        <v>34</v>
      </c>
      <c r="G1414" s="118">
        <v>0.40491898148148148</v>
      </c>
      <c r="H1414" s="118">
        <v>8.449074074074075E-4</v>
      </c>
      <c r="I1414" s="118">
        <v>3.4722222222222224E-4</v>
      </c>
      <c r="J1414"/>
      <c r="K1414"/>
    </row>
    <row r="1415" spans="1:11" x14ac:dyDescent="0.25">
      <c r="A1415">
        <v>2</v>
      </c>
      <c r="B1415">
        <v>6</v>
      </c>
      <c r="C1415"/>
      <c r="D1415" t="s">
        <v>31</v>
      </c>
      <c r="E1415" t="s">
        <v>32</v>
      </c>
      <c r="F1415" t="s">
        <v>34</v>
      </c>
      <c r="G1415" s="118">
        <v>0.40526620370370375</v>
      </c>
      <c r="H1415" s="118">
        <v>3.4722222222222224E-4</v>
      </c>
      <c r="I1415" s="118">
        <v>9.1435185185185185E-4</v>
      </c>
      <c r="J1415" s="118">
        <v>7.0717592592592594E-3</v>
      </c>
      <c r="K1415" s="118">
        <v>7.0717592592592594E-3</v>
      </c>
    </row>
    <row r="1416" spans="1:11" x14ac:dyDescent="0.25">
      <c r="A1416">
        <v>1</v>
      </c>
      <c r="B1416">
        <v>5</v>
      </c>
      <c r="C1416"/>
      <c r="D1416" t="s">
        <v>31</v>
      </c>
      <c r="E1416" t="s">
        <v>32</v>
      </c>
      <c r="F1416" t="s">
        <v>39</v>
      </c>
      <c r="G1416" s="118">
        <v>0.40528935185185189</v>
      </c>
      <c r="H1416" s="118">
        <v>5.2083333333333333E-4</v>
      </c>
      <c r="I1416" s="118">
        <v>1.8055555555555557E-3</v>
      </c>
      <c r="J1416" s="118">
        <v>7.0717592592592594E-3</v>
      </c>
      <c r="K1416" s="118">
        <v>7.0717592592592594E-3</v>
      </c>
    </row>
    <row r="1417" spans="1:11" x14ac:dyDescent="0.25">
      <c r="A1417">
        <v>5</v>
      </c>
      <c r="B1417">
        <v>6</v>
      </c>
      <c r="C1417"/>
      <c r="D1417" t="s">
        <v>31</v>
      </c>
      <c r="E1417" t="s">
        <v>35</v>
      </c>
      <c r="F1417" t="s">
        <v>44</v>
      </c>
      <c r="G1417" s="118">
        <v>0.4055555555555555</v>
      </c>
      <c r="H1417" s="118">
        <v>1.0069444444444444E-3</v>
      </c>
      <c r="I1417" s="118">
        <v>3.4722222222222224E-4</v>
      </c>
      <c r="J1417"/>
      <c r="K1417"/>
    </row>
    <row r="1418" spans="1:11" x14ac:dyDescent="0.25">
      <c r="A1418">
        <v>3</v>
      </c>
      <c r="B1418">
        <v>5</v>
      </c>
      <c r="C1418"/>
      <c r="D1418" t="s">
        <v>31</v>
      </c>
      <c r="E1418" t="s">
        <v>35</v>
      </c>
      <c r="F1418" t="s">
        <v>54</v>
      </c>
      <c r="G1418" s="118">
        <v>0.40562499999999996</v>
      </c>
      <c r="H1418" s="118">
        <v>8.6805555555555551E-4</v>
      </c>
      <c r="I1418" s="118">
        <v>3.4722222222222224E-4</v>
      </c>
      <c r="J1418"/>
      <c r="K1418"/>
    </row>
    <row r="1419" spans="1:11" x14ac:dyDescent="0.25">
      <c r="A1419">
        <v>4</v>
      </c>
      <c r="B1419">
        <v>5</v>
      </c>
      <c r="C1419"/>
      <c r="D1419" t="s">
        <v>31</v>
      </c>
      <c r="E1419" t="s">
        <v>35</v>
      </c>
      <c r="F1419" t="s">
        <v>50</v>
      </c>
      <c r="G1419" s="118">
        <v>0.40587962962962965</v>
      </c>
      <c r="H1419" s="118">
        <v>1.1458333333333333E-3</v>
      </c>
      <c r="I1419" s="118">
        <v>3.4722222222222224E-4</v>
      </c>
      <c r="J1419"/>
      <c r="K1419"/>
    </row>
    <row r="1420" spans="1:11" x14ac:dyDescent="0.25">
      <c r="A1420">
        <v>5</v>
      </c>
      <c r="B1420">
        <v>6</v>
      </c>
      <c r="C1420"/>
      <c r="D1420" t="s">
        <v>31</v>
      </c>
      <c r="E1420" t="s">
        <v>32</v>
      </c>
      <c r="F1420" t="s">
        <v>44</v>
      </c>
      <c r="G1420" s="118">
        <v>0.40590277777777778</v>
      </c>
      <c r="H1420" s="118">
        <v>3.4722222222222224E-4</v>
      </c>
      <c r="I1420" s="118">
        <v>9.2592592592592585E-4</v>
      </c>
      <c r="J1420" s="118">
        <v>7.0717592592592594E-3</v>
      </c>
      <c r="K1420" s="118">
        <v>7.0717592592592594E-3</v>
      </c>
    </row>
    <row r="1421" spans="1:11" x14ac:dyDescent="0.25">
      <c r="A1421">
        <v>3</v>
      </c>
      <c r="B1421">
        <v>5</v>
      </c>
      <c r="C1421"/>
      <c r="D1421" t="s">
        <v>31</v>
      </c>
      <c r="E1421" t="s">
        <v>32</v>
      </c>
      <c r="F1421" t="s">
        <v>54</v>
      </c>
      <c r="G1421" s="118">
        <v>0.40597222222222223</v>
      </c>
      <c r="H1421" s="118">
        <v>3.4722222222222224E-4</v>
      </c>
      <c r="I1421" s="118">
        <v>6.9444444444444447E-4</v>
      </c>
      <c r="J1421" s="118">
        <v>7.0717592592592594E-3</v>
      </c>
      <c r="K1421" s="118">
        <v>7.0717592592592594E-3</v>
      </c>
    </row>
    <row r="1422" spans="1:11" x14ac:dyDescent="0.25">
      <c r="A1422">
        <v>2</v>
      </c>
      <c r="B1422">
        <v>6</v>
      </c>
      <c r="C1422"/>
      <c r="D1422" t="s">
        <v>31</v>
      </c>
      <c r="E1422" t="s">
        <v>35</v>
      </c>
      <c r="F1422" t="s">
        <v>38</v>
      </c>
      <c r="G1422" s="118">
        <v>0.40618055555555554</v>
      </c>
      <c r="H1422" s="118">
        <v>9.1435185185185185E-4</v>
      </c>
      <c r="I1422" s="118">
        <v>3.4722222222222224E-4</v>
      </c>
      <c r="J1422"/>
      <c r="K1422"/>
    </row>
    <row r="1423" spans="1:11" x14ac:dyDescent="0.25">
      <c r="A1423">
        <v>4</v>
      </c>
      <c r="B1423">
        <v>5</v>
      </c>
      <c r="C1423"/>
      <c r="D1423" t="s">
        <v>31</v>
      </c>
      <c r="E1423" t="s">
        <v>32</v>
      </c>
      <c r="F1423" t="s">
        <v>50</v>
      </c>
      <c r="G1423" s="118">
        <v>0.40622685185185187</v>
      </c>
      <c r="H1423" s="118">
        <v>3.4722222222222224E-4</v>
      </c>
      <c r="I1423" s="118">
        <v>1.261574074074074E-3</v>
      </c>
      <c r="J1423" s="118">
        <v>7.0717592592592594E-3</v>
      </c>
      <c r="K1423" s="118">
        <v>7.0717592592592594E-3</v>
      </c>
    </row>
    <row r="1424" spans="1:11" x14ac:dyDescent="0.25">
      <c r="A1424">
        <v>2</v>
      </c>
      <c r="B1424">
        <v>6</v>
      </c>
      <c r="C1424"/>
      <c r="D1424" t="s">
        <v>31</v>
      </c>
      <c r="E1424" t="s">
        <v>32</v>
      </c>
      <c r="F1424" t="s">
        <v>38</v>
      </c>
      <c r="G1424" s="118">
        <v>0.40652777777777777</v>
      </c>
      <c r="H1424" s="118">
        <v>3.4722222222222224E-4</v>
      </c>
      <c r="I1424" s="118">
        <v>1.2384259259259258E-3</v>
      </c>
      <c r="J1424" s="118">
        <v>7.0717592592592594E-3</v>
      </c>
      <c r="K1424" s="118">
        <v>7.0717592592592594E-3</v>
      </c>
    </row>
    <row r="1425" spans="1:11" x14ac:dyDescent="0.25">
      <c r="A1425">
        <v>3</v>
      </c>
      <c r="B1425">
        <v>5</v>
      </c>
      <c r="C1425"/>
      <c r="D1425" t="s">
        <v>31</v>
      </c>
      <c r="E1425" t="s">
        <v>35</v>
      </c>
      <c r="F1425" t="s">
        <v>92</v>
      </c>
      <c r="G1425" s="118">
        <v>0.40666666666666668</v>
      </c>
      <c r="H1425" s="118">
        <v>6.9444444444444447E-4</v>
      </c>
      <c r="I1425" s="118">
        <v>5.2083333333333333E-4</v>
      </c>
      <c r="J1425"/>
      <c r="K1425"/>
    </row>
    <row r="1426" spans="1:11" x14ac:dyDescent="0.25">
      <c r="A1426">
        <v>5</v>
      </c>
      <c r="B1426">
        <v>6</v>
      </c>
      <c r="C1426"/>
      <c r="D1426" t="s">
        <v>31</v>
      </c>
      <c r="E1426" t="s">
        <v>35</v>
      </c>
      <c r="F1426" t="s">
        <v>49</v>
      </c>
      <c r="G1426" s="118">
        <v>0.40682870370370372</v>
      </c>
      <c r="H1426" s="118">
        <v>9.2592592592592585E-4</v>
      </c>
      <c r="I1426" s="118">
        <v>3.4722222222222224E-4</v>
      </c>
      <c r="J1426"/>
      <c r="K1426"/>
    </row>
    <row r="1427" spans="1:11" x14ac:dyDescent="0.25">
      <c r="A1427">
        <v>1</v>
      </c>
      <c r="B1427">
        <v>5</v>
      </c>
      <c r="C1427"/>
      <c r="D1427" t="s">
        <v>31</v>
      </c>
      <c r="E1427" t="s">
        <v>35</v>
      </c>
      <c r="F1427" t="s">
        <v>46</v>
      </c>
      <c r="G1427" s="118">
        <v>0.40709490740740745</v>
      </c>
      <c r="H1427" s="118">
        <v>1.8055555555555557E-3</v>
      </c>
      <c r="I1427" s="118">
        <v>3.4722222222222224E-4</v>
      </c>
      <c r="J1427"/>
      <c r="K1427"/>
    </row>
    <row r="1428" spans="1:11" x14ac:dyDescent="0.25">
      <c r="A1428">
        <v>5</v>
      </c>
      <c r="B1428">
        <v>6</v>
      </c>
      <c r="C1428"/>
      <c r="D1428" t="s">
        <v>31</v>
      </c>
      <c r="E1428" t="s">
        <v>32</v>
      </c>
      <c r="F1428" t="s">
        <v>49</v>
      </c>
      <c r="G1428" s="118">
        <v>0.40717592592592594</v>
      </c>
      <c r="H1428" s="118">
        <v>3.4722222222222224E-4</v>
      </c>
      <c r="I1428" s="118">
        <v>1.3541666666666667E-3</v>
      </c>
      <c r="J1428" s="118">
        <v>7.0717592592592594E-3</v>
      </c>
      <c r="K1428" s="118">
        <v>7.0717592592592594E-3</v>
      </c>
    </row>
    <row r="1429" spans="1:11" x14ac:dyDescent="0.25">
      <c r="A1429">
        <v>3</v>
      </c>
      <c r="B1429">
        <v>6</v>
      </c>
      <c r="C1429"/>
      <c r="D1429" t="s">
        <v>31</v>
      </c>
      <c r="E1429" t="s">
        <v>32</v>
      </c>
      <c r="F1429" t="s">
        <v>92</v>
      </c>
      <c r="G1429" s="118">
        <v>0.40718750000000004</v>
      </c>
      <c r="H1429" s="118">
        <v>5.2083333333333333E-4</v>
      </c>
      <c r="I1429" s="118">
        <v>1.0069444444444444E-3</v>
      </c>
      <c r="J1429" s="118">
        <v>7.0717592592592594E-3</v>
      </c>
      <c r="K1429" s="118">
        <v>7.0717592592592594E-3</v>
      </c>
    </row>
    <row r="1430" spans="1:11" x14ac:dyDescent="0.25">
      <c r="A1430">
        <v>1</v>
      </c>
      <c r="B1430">
        <v>5</v>
      </c>
      <c r="C1430"/>
      <c r="D1430" t="s">
        <v>31</v>
      </c>
      <c r="E1430" t="s">
        <v>32</v>
      </c>
      <c r="F1430" t="s">
        <v>46</v>
      </c>
      <c r="G1430" s="118">
        <v>0.40744212962962961</v>
      </c>
      <c r="H1430" s="118">
        <v>3.4722222222222224E-4</v>
      </c>
      <c r="I1430" s="118">
        <v>9.1435185185185185E-4</v>
      </c>
      <c r="J1430" s="118">
        <v>7.0717592592592594E-3</v>
      </c>
      <c r="K1430" s="118">
        <v>7.0717592592592594E-3</v>
      </c>
    </row>
    <row r="1431" spans="1:11" x14ac:dyDescent="0.25">
      <c r="A1431">
        <v>4</v>
      </c>
      <c r="B1431">
        <v>5</v>
      </c>
      <c r="C1431"/>
      <c r="D1431" t="s">
        <v>31</v>
      </c>
      <c r="E1431" t="s">
        <v>35</v>
      </c>
      <c r="F1431" t="s">
        <v>56</v>
      </c>
      <c r="G1431" s="118">
        <v>0.40748842592592593</v>
      </c>
      <c r="H1431" s="118">
        <v>1.261574074074074E-3</v>
      </c>
      <c r="I1431" s="118">
        <v>3.4722222222222224E-4</v>
      </c>
      <c r="J1431"/>
      <c r="K1431"/>
    </row>
    <row r="1432" spans="1:11" x14ac:dyDescent="0.25">
      <c r="A1432">
        <v>2</v>
      </c>
      <c r="B1432">
        <v>6</v>
      </c>
      <c r="C1432"/>
      <c r="D1432" t="s">
        <v>31</v>
      </c>
      <c r="E1432" t="s">
        <v>35</v>
      </c>
      <c r="F1432" t="s">
        <v>45</v>
      </c>
      <c r="G1432" s="118">
        <v>0.4077662037037037</v>
      </c>
      <c r="H1432" s="118">
        <v>1.2384259259259258E-3</v>
      </c>
      <c r="I1432" s="118">
        <v>3.4722222222222224E-4</v>
      </c>
      <c r="J1432"/>
      <c r="K1432"/>
    </row>
    <row r="1433" spans="1:11" x14ac:dyDescent="0.25">
      <c r="A1433">
        <v>4</v>
      </c>
      <c r="B1433">
        <v>5</v>
      </c>
      <c r="C1433"/>
      <c r="D1433" t="s">
        <v>31</v>
      </c>
      <c r="E1433" t="s">
        <v>32</v>
      </c>
      <c r="F1433" t="s">
        <v>56</v>
      </c>
      <c r="G1433" s="118">
        <v>0.40783564814814816</v>
      </c>
      <c r="H1433" s="118">
        <v>3.4722222222222224E-4</v>
      </c>
      <c r="I1433" s="118">
        <v>9.6064814814814808E-4</v>
      </c>
      <c r="J1433" s="118">
        <v>7.0717592592592594E-3</v>
      </c>
      <c r="K1433" s="118">
        <v>7.0717592592592594E-3</v>
      </c>
    </row>
    <row r="1434" spans="1:11" x14ac:dyDescent="0.25">
      <c r="A1434">
        <v>2</v>
      </c>
      <c r="B1434">
        <v>6</v>
      </c>
      <c r="C1434"/>
      <c r="D1434" t="s">
        <v>31</v>
      </c>
      <c r="E1434" t="s">
        <v>32</v>
      </c>
      <c r="F1434" t="s">
        <v>45</v>
      </c>
      <c r="G1434" s="118">
        <v>0.40811342592592598</v>
      </c>
      <c r="H1434" s="118">
        <v>3.4722222222222224E-4</v>
      </c>
      <c r="I1434" s="118">
        <v>1.0416666666666667E-3</v>
      </c>
      <c r="J1434" s="118">
        <v>7.0717592592592594E-3</v>
      </c>
      <c r="K1434" s="118">
        <v>7.0717592592592594E-3</v>
      </c>
    </row>
    <row r="1435" spans="1:11" x14ac:dyDescent="0.25">
      <c r="A1435">
        <v>3</v>
      </c>
      <c r="B1435">
        <v>6</v>
      </c>
      <c r="C1435"/>
      <c r="D1435" t="s">
        <v>31</v>
      </c>
      <c r="E1435" t="s">
        <v>35</v>
      </c>
      <c r="F1435" t="s">
        <v>41</v>
      </c>
      <c r="G1435" s="118">
        <v>0.40819444444444447</v>
      </c>
      <c r="H1435" s="118">
        <v>1.0069444444444444E-3</v>
      </c>
      <c r="I1435" s="118">
        <v>3.4722222222222224E-4</v>
      </c>
      <c r="J1435"/>
      <c r="K1435"/>
    </row>
    <row r="1436" spans="1:11" x14ac:dyDescent="0.25">
      <c r="A1436">
        <v>1</v>
      </c>
      <c r="B1436">
        <v>5</v>
      </c>
      <c r="C1436"/>
      <c r="D1436" t="s">
        <v>31</v>
      </c>
      <c r="E1436" t="s">
        <v>35</v>
      </c>
      <c r="F1436" t="s">
        <v>51</v>
      </c>
      <c r="G1436" s="118">
        <v>0.40835648148148151</v>
      </c>
      <c r="H1436" s="118">
        <v>9.1435185185185185E-4</v>
      </c>
      <c r="I1436" s="118">
        <v>3.4722222222222224E-4</v>
      </c>
      <c r="J1436"/>
      <c r="K1436"/>
    </row>
    <row r="1437" spans="1:11" x14ac:dyDescent="0.25">
      <c r="A1437">
        <v>5</v>
      </c>
      <c r="B1437">
        <v>6</v>
      </c>
      <c r="C1437"/>
      <c r="D1437" t="s">
        <v>31</v>
      </c>
      <c r="E1437" t="s">
        <v>35</v>
      </c>
      <c r="F1437" t="s">
        <v>33</v>
      </c>
      <c r="G1437" s="118">
        <v>0.4085300925925926</v>
      </c>
      <c r="H1437" s="118">
        <v>1.3541666666666667E-3</v>
      </c>
      <c r="I1437" s="118">
        <v>5.2083333333333333E-4</v>
      </c>
      <c r="J1437"/>
      <c r="K1437"/>
    </row>
    <row r="1438" spans="1:11" x14ac:dyDescent="0.25">
      <c r="A1438">
        <v>3</v>
      </c>
      <c r="B1438">
        <v>6</v>
      </c>
      <c r="C1438"/>
      <c r="D1438" t="s">
        <v>31</v>
      </c>
      <c r="E1438" t="s">
        <v>32</v>
      </c>
      <c r="F1438" t="s">
        <v>41</v>
      </c>
      <c r="G1438" s="118">
        <v>0.40854166666666664</v>
      </c>
      <c r="H1438" s="118">
        <v>3.4722222222222224E-4</v>
      </c>
      <c r="I1438" s="118">
        <v>8.564814814814815E-4</v>
      </c>
      <c r="J1438" s="118">
        <v>7.0717592592592594E-3</v>
      </c>
      <c r="K1438" s="118">
        <v>7.0717592592592594E-3</v>
      </c>
    </row>
    <row r="1439" spans="1:11" x14ac:dyDescent="0.25">
      <c r="A1439">
        <v>1</v>
      </c>
      <c r="B1439">
        <v>5</v>
      </c>
      <c r="C1439"/>
      <c r="D1439" t="s">
        <v>31</v>
      </c>
      <c r="E1439" t="s">
        <v>32</v>
      </c>
      <c r="F1439" t="s">
        <v>51</v>
      </c>
      <c r="G1439" s="118">
        <v>0.40870370370370374</v>
      </c>
      <c r="H1439" s="118">
        <v>3.4722222222222224E-4</v>
      </c>
      <c r="I1439" s="118">
        <v>1.0069444444444444E-3</v>
      </c>
      <c r="J1439" s="118">
        <v>7.0717592592592594E-3</v>
      </c>
      <c r="K1439" s="118">
        <v>7.0717592592592594E-3</v>
      </c>
    </row>
    <row r="1440" spans="1:11" x14ac:dyDescent="0.25">
      <c r="A1440">
        <v>4</v>
      </c>
      <c r="B1440">
        <v>5</v>
      </c>
      <c r="C1440"/>
      <c r="D1440" t="s">
        <v>31</v>
      </c>
      <c r="E1440" t="s">
        <v>35</v>
      </c>
      <c r="F1440" t="s">
        <v>37</v>
      </c>
      <c r="G1440" s="118">
        <v>0.40879629629629632</v>
      </c>
      <c r="H1440" s="118">
        <v>9.6064814814814808E-4</v>
      </c>
      <c r="I1440" s="118">
        <v>3.4722222222222224E-4</v>
      </c>
      <c r="J1440"/>
      <c r="K1440"/>
    </row>
    <row r="1441" spans="1:11" x14ac:dyDescent="0.25">
      <c r="A1441">
        <v>5</v>
      </c>
      <c r="B1441">
        <v>6</v>
      </c>
      <c r="C1441"/>
      <c r="D1441" t="s">
        <v>31</v>
      </c>
      <c r="E1441" t="s">
        <v>32</v>
      </c>
      <c r="F1441" t="s">
        <v>33</v>
      </c>
      <c r="G1441" s="118">
        <v>0.4090509259259259</v>
      </c>
      <c r="H1441" s="118">
        <v>5.2083333333333333E-4</v>
      </c>
      <c r="I1441" s="118">
        <v>9.6064814814814808E-4</v>
      </c>
      <c r="J1441" s="118">
        <v>7.0717592592592594E-3</v>
      </c>
      <c r="K1441" s="118">
        <v>7.0717592592592594E-3</v>
      </c>
    </row>
    <row r="1442" spans="1:11" x14ac:dyDescent="0.25">
      <c r="A1442">
        <v>4</v>
      </c>
      <c r="B1442">
        <v>5</v>
      </c>
      <c r="C1442"/>
      <c r="D1442" t="s">
        <v>31</v>
      </c>
      <c r="E1442" t="s">
        <v>32</v>
      </c>
      <c r="F1442" t="s">
        <v>37</v>
      </c>
      <c r="G1442" s="118">
        <v>0.40914351851851855</v>
      </c>
      <c r="H1442" s="118">
        <v>3.4722222222222224E-4</v>
      </c>
      <c r="I1442" s="118">
        <v>9.0277777777777784E-4</v>
      </c>
      <c r="J1442" s="118">
        <v>7.0717592592592594E-3</v>
      </c>
      <c r="K1442" s="118">
        <v>7.0717592592592594E-3</v>
      </c>
    </row>
    <row r="1443" spans="1:11" x14ac:dyDescent="0.25">
      <c r="A1443">
        <v>2</v>
      </c>
      <c r="B1443">
        <v>6</v>
      </c>
      <c r="C1443"/>
      <c r="D1443" t="s">
        <v>31</v>
      </c>
      <c r="E1443" t="s">
        <v>35</v>
      </c>
      <c r="F1443" t="s">
        <v>52</v>
      </c>
      <c r="G1443" s="118">
        <v>0.40915509259259258</v>
      </c>
      <c r="H1443" s="118">
        <v>1.0416666666666667E-3</v>
      </c>
      <c r="I1443" s="118">
        <v>3.4722222222222224E-4</v>
      </c>
      <c r="J1443"/>
      <c r="K1443"/>
    </row>
    <row r="1444" spans="1:11" x14ac:dyDescent="0.25">
      <c r="A1444">
        <v>3</v>
      </c>
      <c r="B1444">
        <v>6</v>
      </c>
      <c r="C1444"/>
      <c r="D1444" t="s">
        <v>31</v>
      </c>
      <c r="E1444" t="s">
        <v>35</v>
      </c>
      <c r="F1444" t="s">
        <v>47</v>
      </c>
      <c r="G1444" s="118">
        <v>0.40939814814814812</v>
      </c>
      <c r="H1444" s="118">
        <v>8.564814814814815E-4</v>
      </c>
      <c r="I1444" s="118">
        <v>5.2083333333333333E-4</v>
      </c>
      <c r="J1444"/>
      <c r="K1444"/>
    </row>
    <row r="1445" spans="1:11" x14ac:dyDescent="0.25">
      <c r="A1445">
        <v>2</v>
      </c>
      <c r="B1445">
        <v>6</v>
      </c>
      <c r="C1445"/>
      <c r="D1445" t="s">
        <v>31</v>
      </c>
      <c r="E1445" t="s">
        <v>32</v>
      </c>
      <c r="F1445" t="s">
        <v>52</v>
      </c>
      <c r="G1445" s="118">
        <v>0.40950231481481486</v>
      </c>
      <c r="H1445" s="118">
        <v>3.4722222222222224E-4</v>
      </c>
      <c r="I1445" s="118">
        <v>1.0532407407407407E-3</v>
      </c>
      <c r="J1445" s="118">
        <v>7.0717592592592594E-3</v>
      </c>
      <c r="K1445" s="118">
        <v>7.0717592592592594E-3</v>
      </c>
    </row>
    <row r="1446" spans="1:11" x14ac:dyDescent="0.25">
      <c r="A1446">
        <v>1</v>
      </c>
      <c r="B1446">
        <v>5</v>
      </c>
      <c r="C1446"/>
      <c r="D1446" t="s">
        <v>31</v>
      </c>
      <c r="E1446" t="s">
        <v>35</v>
      </c>
      <c r="F1446" t="s">
        <v>55</v>
      </c>
      <c r="G1446" s="118">
        <v>0.40971064814814812</v>
      </c>
      <c r="H1446" s="118">
        <v>1.0069444444444444E-3</v>
      </c>
      <c r="I1446" s="118">
        <v>4.6296296296296293E-4</v>
      </c>
      <c r="J1446"/>
      <c r="K1446"/>
    </row>
    <row r="1447" spans="1:11" x14ac:dyDescent="0.25">
      <c r="A1447">
        <v>3</v>
      </c>
      <c r="B1447">
        <v>6</v>
      </c>
      <c r="C1447"/>
      <c r="D1447" t="s">
        <v>31</v>
      </c>
      <c r="E1447" t="s">
        <v>32</v>
      </c>
      <c r="F1447" t="s">
        <v>47</v>
      </c>
      <c r="G1447" s="118">
        <v>0.40991898148148148</v>
      </c>
      <c r="H1447" s="118">
        <v>5.2083333333333333E-4</v>
      </c>
      <c r="I1447" s="118">
        <v>8.7962962962962962E-4</v>
      </c>
      <c r="J1447" s="118">
        <v>7.0717592592592594E-3</v>
      </c>
      <c r="K1447" s="118">
        <v>7.0717592592592594E-3</v>
      </c>
    </row>
    <row r="1448" spans="1:11" x14ac:dyDescent="0.25">
      <c r="A1448">
        <v>5</v>
      </c>
      <c r="B1448">
        <v>6</v>
      </c>
      <c r="C1448"/>
      <c r="D1448" t="s">
        <v>31</v>
      </c>
      <c r="E1448" t="s">
        <v>35</v>
      </c>
      <c r="F1448" t="s">
        <v>36</v>
      </c>
      <c r="G1448" s="118">
        <v>0.41001157407407413</v>
      </c>
      <c r="H1448" s="118">
        <v>9.6064814814814808E-4</v>
      </c>
      <c r="I1448" s="118">
        <v>3.4722222222222224E-4</v>
      </c>
      <c r="J1448"/>
      <c r="K1448"/>
    </row>
    <row r="1449" spans="1:11" x14ac:dyDescent="0.25">
      <c r="A1449">
        <v>4</v>
      </c>
      <c r="B1449">
        <v>5</v>
      </c>
      <c r="C1449"/>
      <c r="D1449" t="s">
        <v>31</v>
      </c>
      <c r="E1449" t="s">
        <v>35</v>
      </c>
      <c r="F1449" t="s">
        <v>42</v>
      </c>
      <c r="G1449" s="118">
        <v>0.4100462962962963</v>
      </c>
      <c r="H1449" s="118">
        <v>9.0277777777777784E-4</v>
      </c>
      <c r="I1449" s="118">
        <v>3.4722222222222224E-4</v>
      </c>
      <c r="J1449"/>
      <c r="K1449"/>
    </row>
    <row r="1450" spans="1:11" x14ac:dyDescent="0.25">
      <c r="A1450">
        <v>1</v>
      </c>
      <c r="B1450">
        <v>5</v>
      </c>
      <c r="C1450"/>
      <c r="D1450" t="s">
        <v>31</v>
      </c>
      <c r="E1450" t="s">
        <v>32</v>
      </c>
      <c r="F1450" t="s">
        <v>55</v>
      </c>
      <c r="G1450" s="118">
        <v>0.41017361111111111</v>
      </c>
      <c r="H1450" s="118">
        <v>4.6296296296296293E-4</v>
      </c>
      <c r="I1450" s="118">
        <v>4.3981481481481481E-4</v>
      </c>
      <c r="J1450" s="118">
        <v>7.0717592592592594E-3</v>
      </c>
      <c r="K1450" s="118">
        <v>7.0717592592592594E-3</v>
      </c>
    </row>
    <row r="1451" spans="1:11" x14ac:dyDescent="0.25">
      <c r="A1451">
        <v>5</v>
      </c>
      <c r="B1451">
        <v>6</v>
      </c>
      <c r="C1451"/>
      <c r="D1451" t="s">
        <v>31</v>
      </c>
      <c r="E1451" t="s">
        <v>32</v>
      </c>
      <c r="F1451" t="s">
        <v>36</v>
      </c>
      <c r="G1451" s="118">
        <v>0.41035879629629629</v>
      </c>
      <c r="H1451" s="118">
        <v>3.4722222222222224E-4</v>
      </c>
      <c r="I1451" s="118">
        <v>1.0995370370370371E-3</v>
      </c>
      <c r="J1451" s="118">
        <v>7.0717592592592594E-3</v>
      </c>
      <c r="K1451" s="118">
        <v>7.0717592592592594E-3</v>
      </c>
    </row>
    <row r="1452" spans="1:11" x14ac:dyDescent="0.25">
      <c r="A1452">
        <v>4</v>
      </c>
      <c r="B1452">
        <v>5</v>
      </c>
      <c r="C1452"/>
      <c r="D1452" t="s">
        <v>31</v>
      </c>
      <c r="E1452" t="s">
        <v>32</v>
      </c>
      <c r="F1452" t="s">
        <v>42</v>
      </c>
      <c r="G1452" s="118">
        <v>0.41039351851851852</v>
      </c>
      <c r="H1452" s="118">
        <v>3.4722222222222224E-4</v>
      </c>
      <c r="I1452" s="118">
        <v>9.1435185185185185E-4</v>
      </c>
      <c r="J1452" s="118">
        <v>7.0717592592592594E-3</v>
      </c>
      <c r="K1452" s="118">
        <v>7.0717592592592594E-3</v>
      </c>
    </row>
    <row r="1453" spans="1:11" x14ac:dyDescent="0.25">
      <c r="A1453">
        <v>2</v>
      </c>
      <c r="B1453">
        <v>6</v>
      </c>
      <c r="C1453"/>
      <c r="D1453" t="s">
        <v>31</v>
      </c>
      <c r="E1453" t="s">
        <v>35</v>
      </c>
      <c r="F1453" t="s">
        <v>57</v>
      </c>
      <c r="G1453" s="118">
        <v>0.41055555555555556</v>
      </c>
      <c r="H1453" s="118">
        <v>1.0532407407407407E-3</v>
      </c>
      <c r="I1453" s="118">
        <v>3.4722222222222224E-4</v>
      </c>
      <c r="J1453"/>
      <c r="K1453"/>
    </row>
    <row r="1454" spans="1:11" x14ac:dyDescent="0.25">
      <c r="A1454">
        <v>1</v>
      </c>
      <c r="B1454">
        <v>5</v>
      </c>
      <c r="C1454"/>
      <c r="D1454" t="s">
        <v>31</v>
      </c>
      <c r="E1454" t="s">
        <v>35</v>
      </c>
      <c r="F1454" t="s">
        <v>58</v>
      </c>
      <c r="G1454" s="118">
        <v>0.41061342592592592</v>
      </c>
      <c r="H1454" s="118">
        <v>4.3981481481481481E-4</v>
      </c>
      <c r="I1454" s="118">
        <v>5.7870370370370366E-5</v>
      </c>
      <c r="J1454"/>
      <c r="K1454"/>
    </row>
    <row r="1455" spans="1:11" x14ac:dyDescent="0.25">
      <c r="A1455">
        <v>1</v>
      </c>
      <c r="B1455">
        <v>5</v>
      </c>
      <c r="C1455"/>
      <c r="D1455" t="s">
        <v>31</v>
      </c>
      <c r="E1455" t="s">
        <v>32</v>
      </c>
      <c r="F1455" t="s">
        <v>58</v>
      </c>
      <c r="G1455" s="118">
        <v>0.41067129629629634</v>
      </c>
      <c r="H1455" s="118">
        <v>5.7870370370370366E-5</v>
      </c>
      <c r="I1455" s="118">
        <v>4.8611111111111104E-4</v>
      </c>
      <c r="J1455" s="118">
        <v>7.0717592592592594E-3</v>
      </c>
      <c r="K1455" s="118">
        <v>7.0717592592592594E-3</v>
      </c>
    </row>
    <row r="1456" spans="1:11" x14ac:dyDescent="0.25">
      <c r="A1456">
        <v>3</v>
      </c>
      <c r="B1456">
        <v>6</v>
      </c>
      <c r="C1456"/>
      <c r="D1456" t="s">
        <v>31</v>
      </c>
      <c r="E1456" t="s">
        <v>35</v>
      </c>
      <c r="F1456" t="s">
        <v>53</v>
      </c>
      <c r="G1456" s="118">
        <v>0.4107986111111111</v>
      </c>
      <c r="H1456" s="118">
        <v>8.7962962962962962E-4</v>
      </c>
      <c r="I1456" s="118">
        <v>3.4722222222222224E-4</v>
      </c>
      <c r="J1456"/>
      <c r="K1456"/>
    </row>
    <row r="1457" spans="1:11" x14ac:dyDescent="0.25">
      <c r="A1457">
        <v>2</v>
      </c>
      <c r="B1457">
        <v>6</v>
      </c>
      <c r="C1457"/>
      <c r="D1457" t="s">
        <v>31</v>
      </c>
      <c r="E1457" t="s">
        <v>32</v>
      </c>
      <c r="F1457" t="s">
        <v>57</v>
      </c>
      <c r="G1457" s="118">
        <v>0.41090277777777778</v>
      </c>
      <c r="H1457" s="118">
        <v>3.4722222222222224E-4</v>
      </c>
      <c r="I1457" s="118">
        <v>9.3750000000000007E-4</v>
      </c>
      <c r="J1457" s="118">
        <v>7.0717592592592594E-3</v>
      </c>
      <c r="K1457" s="118">
        <v>7.0717592592592594E-3</v>
      </c>
    </row>
    <row r="1458" spans="1:11" x14ac:dyDescent="0.25">
      <c r="A1458">
        <v>3</v>
      </c>
      <c r="B1458">
        <v>6</v>
      </c>
      <c r="C1458"/>
      <c r="D1458" t="s">
        <v>31</v>
      </c>
      <c r="E1458" t="s">
        <v>32</v>
      </c>
      <c r="F1458" t="s">
        <v>53</v>
      </c>
      <c r="G1458" s="118">
        <v>0.41114583333333332</v>
      </c>
      <c r="H1458" s="118">
        <v>3.4722222222222224E-4</v>
      </c>
      <c r="I1458" s="118">
        <v>8.449074074074075E-4</v>
      </c>
      <c r="J1458" s="118">
        <v>7.0717592592592594E-3</v>
      </c>
      <c r="K1458" s="118">
        <v>7.0717592592592594E-3</v>
      </c>
    </row>
    <row r="1459" spans="1:11" x14ac:dyDescent="0.25">
      <c r="A1459">
        <v>1</v>
      </c>
      <c r="B1459">
        <v>5</v>
      </c>
      <c r="C1459"/>
      <c r="D1459" t="s">
        <v>31</v>
      </c>
      <c r="E1459" t="s">
        <v>35</v>
      </c>
      <c r="F1459" t="s">
        <v>40</v>
      </c>
      <c r="G1459" s="118">
        <v>0.41115740740740742</v>
      </c>
      <c r="H1459" s="118">
        <v>4.8611111111111104E-4</v>
      </c>
      <c r="I1459" s="118">
        <v>4.6296296296296293E-4</v>
      </c>
      <c r="J1459"/>
      <c r="K1459"/>
    </row>
    <row r="1460" spans="1:11" x14ac:dyDescent="0.25">
      <c r="A1460">
        <v>4</v>
      </c>
      <c r="B1460">
        <v>5</v>
      </c>
      <c r="C1460"/>
      <c r="D1460" t="s">
        <v>31</v>
      </c>
      <c r="E1460" t="s">
        <v>35</v>
      </c>
      <c r="F1460" t="s">
        <v>48</v>
      </c>
      <c r="G1460" s="118">
        <v>0.41130787037037037</v>
      </c>
      <c r="H1460" s="118">
        <v>9.1435185185185185E-4</v>
      </c>
      <c r="I1460" s="118">
        <v>5.2083333333333333E-4</v>
      </c>
      <c r="J1460"/>
      <c r="K1460"/>
    </row>
    <row r="1461" spans="1:11" x14ac:dyDescent="0.25">
      <c r="A1461">
        <v>5</v>
      </c>
      <c r="B1461">
        <v>6</v>
      </c>
      <c r="C1461"/>
      <c r="D1461" t="s">
        <v>31</v>
      </c>
      <c r="E1461" t="s">
        <v>35</v>
      </c>
      <c r="F1461" t="s">
        <v>43</v>
      </c>
      <c r="G1461" s="118">
        <v>0.41145833333333331</v>
      </c>
      <c r="H1461" s="118">
        <v>1.0995370370370371E-3</v>
      </c>
      <c r="I1461" s="118">
        <v>3.4722222222222224E-4</v>
      </c>
      <c r="J1461"/>
      <c r="K1461"/>
    </row>
    <row r="1462" spans="1:11" x14ac:dyDescent="0.25">
      <c r="A1462">
        <v>1</v>
      </c>
      <c r="B1462">
        <v>5</v>
      </c>
      <c r="C1462"/>
      <c r="D1462" t="s">
        <v>31</v>
      </c>
      <c r="E1462" t="s">
        <v>32</v>
      </c>
      <c r="F1462" t="s">
        <v>40</v>
      </c>
      <c r="G1462" s="118">
        <v>0.41162037037037041</v>
      </c>
      <c r="H1462" s="118">
        <v>4.6296296296296293E-4</v>
      </c>
      <c r="I1462" s="118">
        <v>1.0069444444444444E-3</v>
      </c>
      <c r="J1462" s="118">
        <v>7.0717592592592594E-3</v>
      </c>
      <c r="K1462" s="118">
        <v>7.0717592592592594E-3</v>
      </c>
    </row>
    <row r="1463" spans="1:11" x14ac:dyDescent="0.25">
      <c r="A1463">
        <v>5</v>
      </c>
      <c r="B1463">
        <v>6</v>
      </c>
      <c r="C1463"/>
      <c r="D1463" t="s">
        <v>31</v>
      </c>
      <c r="E1463" t="s">
        <v>32</v>
      </c>
      <c r="F1463" t="s">
        <v>43</v>
      </c>
      <c r="G1463" s="118">
        <v>0.41180555555555554</v>
      </c>
      <c r="H1463" s="118">
        <v>3.4722222222222224E-4</v>
      </c>
      <c r="I1463" s="118">
        <v>1.1458333333333333E-3</v>
      </c>
      <c r="J1463" s="118">
        <v>7.0717592592592594E-3</v>
      </c>
      <c r="K1463" s="118">
        <v>7.0717592592592594E-3</v>
      </c>
    </row>
    <row r="1464" spans="1:11" x14ac:dyDescent="0.25">
      <c r="A1464">
        <v>4</v>
      </c>
      <c r="B1464">
        <v>5</v>
      </c>
      <c r="C1464"/>
      <c r="D1464" t="s">
        <v>31</v>
      </c>
      <c r="E1464" t="s">
        <v>32</v>
      </c>
      <c r="F1464" t="s">
        <v>48</v>
      </c>
      <c r="G1464" s="118">
        <v>0.41182870370370367</v>
      </c>
      <c r="H1464" s="118">
        <v>5.2083333333333333E-4</v>
      </c>
      <c r="I1464" s="118">
        <v>8.6805555555555551E-4</v>
      </c>
      <c r="J1464" s="118">
        <v>7.0717592592592594E-3</v>
      </c>
      <c r="K1464" s="118">
        <v>7.0717592592592594E-3</v>
      </c>
    </row>
    <row r="1465" spans="1:11" x14ac:dyDescent="0.25">
      <c r="A1465">
        <v>2</v>
      </c>
      <c r="B1465">
        <v>6</v>
      </c>
      <c r="C1465"/>
      <c r="D1465" t="s">
        <v>31</v>
      </c>
      <c r="E1465" t="s">
        <v>35</v>
      </c>
      <c r="F1465" t="s">
        <v>39</v>
      </c>
      <c r="G1465" s="118">
        <v>0.41184027777777782</v>
      </c>
      <c r="H1465" s="118">
        <v>9.3750000000000007E-4</v>
      </c>
      <c r="I1465" s="118">
        <v>5.2083333333333333E-4</v>
      </c>
      <c r="J1465"/>
      <c r="K1465"/>
    </row>
    <row r="1466" spans="1:11" x14ac:dyDescent="0.25">
      <c r="A1466">
        <v>3</v>
      </c>
      <c r="B1466">
        <v>6</v>
      </c>
      <c r="C1466"/>
      <c r="D1466" t="s">
        <v>31</v>
      </c>
      <c r="E1466" t="s">
        <v>35</v>
      </c>
      <c r="F1466" t="s">
        <v>34</v>
      </c>
      <c r="G1466" s="118">
        <v>0.41199074074074077</v>
      </c>
      <c r="H1466" s="118">
        <v>8.449074074074075E-4</v>
      </c>
      <c r="I1466" s="118">
        <v>3.4722222222222224E-4</v>
      </c>
      <c r="J1466"/>
      <c r="K1466"/>
    </row>
    <row r="1467" spans="1:11" x14ac:dyDescent="0.25">
      <c r="A1467">
        <v>3</v>
      </c>
      <c r="B1467">
        <v>6</v>
      </c>
      <c r="C1467"/>
      <c r="D1467" t="s">
        <v>31</v>
      </c>
      <c r="E1467" t="s">
        <v>32</v>
      </c>
      <c r="F1467" t="s">
        <v>34</v>
      </c>
      <c r="G1467" s="118">
        <v>0.41233796296296293</v>
      </c>
      <c r="H1467" s="118">
        <v>3.4722222222222224E-4</v>
      </c>
      <c r="I1467" s="118">
        <v>9.1435185185185185E-4</v>
      </c>
      <c r="J1467" s="118">
        <v>7.0717592592592594E-3</v>
      </c>
      <c r="K1467" s="118">
        <v>7.0717592592592594E-3</v>
      </c>
    </row>
    <row r="1468" spans="1:11" x14ac:dyDescent="0.25">
      <c r="A1468">
        <v>2</v>
      </c>
      <c r="B1468">
        <v>6</v>
      </c>
      <c r="C1468"/>
      <c r="D1468" t="s">
        <v>31</v>
      </c>
      <c r="E1468" t="s">
        <v>32</v>
      </c>
      <c r="F1468" t="s">
        <v>39</v>
      </c>
      <c r="G1468" s="118">
        <v>0.41236111111111112</v>
      </c>
      <c r="H1468" s="118">
        <v>5.2083333333333333E-4</v>
      </c>
      <c r="I1468" s="118">
        <v>1.8055555555555557E-3</v>
      </c>
      <c r="J1468" s="118">
        <v>7.0717592592592594E-3</v>
      </c>
      <c r="K1468" s="118">
        <v>7.0717592592592594E-3</v>
      </c>
    </row>
    <row r="1469" spans="1:11" x14ac:dyDescent="0.25">
      <c r="A1469">
        <v>1</v>
      </c>
      <c r="B1469">
        <v>5</v>
      </c>
      <c r="C1469"/>
      <c r="D1469" t="s">
        <v>31</v>
      </c>
      <c r="E1469" t="s">
        <v>35</v>
      </c>
      <c r="F1469" t="s">
        <v>44</v>
      </c>
      <c r="G1469" s="118">
        <v>0.41262731481481479</v>
      </c>
      <c r="H1469" s="118">
        <v>1.0069444444444444E-3</v>
      </c>
      <c r="I1469" s="118">
        <v>3.4722222222222224E-4</v>
      </c>
      <c r="J1469"/>
      <c r="K1469"/>
    </row>
    <row r="1470" spans="1:11" x14ac:dyDescent="0.25">
      <c r="A1470">
        <v>4</v>
      </c>
      <c r="B1470">
        <v>5</v>
      </c>
      <c r="C1470"/>
      <c r="D1470" t="s">
        <v>31</v>
      </c>
      <c r="E1470" t="s">
        <v>35</v>
      </c>
      <c r="F1470" t="s">
        <v>54</v>
      </c>
      <c r="G1470" s="118">
        <v>0.41269675925925925</v>
      </c>
      <c r="H1470" s="118">
        <v>8.6805555555555551E-4</v>
      </c>
      <c r="I1470" s="118">
        <v>3.4722222222222224E-4</v>
      </c>
      <c r="J1470"/>
      <c r="K1470"/>
    </row>
    <row r="1471" spans="1:11" x14ac:dyDescent="0.25">
      <c r="A1471">
        <v>5</v>
      </c>
      <c r="B1471">
        <v>6</v>
      </c>
      <c r="C1471"/>
      <c r="D1471" t="s">
        <v>31</v>
      </c>
      <c r="E1471" t="s">
        <v>35</v>
      </c>
      <c r="F1471" t="s">
        <v>50</v>
      </c>
      <c r="G1471" s="118">
        <v>0.41295138888888888</v>
      </c>
      <c r="H1471" s="118">
        <v>1.1458333333333333E-3</v>
      </c>
      <c r="I1471" s="118">
        <v>3.4722222222222224E-4</v>
      </c>
      <c r="J1471"/>
      <c r="K1471"/>
    </row>
    <row r="1472" spans="1:11" x14ac:dyDescent="0.25">
      <c r="A1472">
        <v>1</v>
      </c>
      <c r="B1472">
        <v>5</v>
      </c>
      <c r="C1472"/>
      <c r="D1472" t="s">
        <v>31</v>
      </c>
      <c r="E1472" t="s">
        <v>32</v>
      </c>
      <c r="F1472" t="s">
        <v>44</v>
      </c>
      <c r="G1472" s="118">
        <v>0.41297453703703701</v>
      </c>
      <c r="H1472" s="118">
        <v>3.4722222222222224E-4</v>
      </c>
      <c r="I1472" s="118">
        <v>9.2592592592592585E-4</v>
      </c>
      <c r="J1472" s="118">
        <v>7.0717592592592594E-3</v>
      </c>
      <c r="K1472" s="118">
        <v>7.0717592592592594E-3</v>
      </c>
    </row>
    <row r="1473" spans="1:11" x14ac:dyDescent="0.25">
      <c r="A1473">
        <v>4</v>
      </c>
      <c r="B1473">
        <v>5</v>
      </c>
      <c r="C1473"/>
      <c r="D1473" t="s">
        <v>31</v>
      </c>
      <c r="E1473" t="s">
        <v>32</v>
      </c>
      <c r="F1473" t="s">
        <v>54</v>
      </c>
      <c r="G1473" s="118">
        <v>0.41304398148148147</v>
      </c>
      <c r="H1473" s="118">
        <v>3.4722222222222224E-4</v>
      </c>
      <c r="I1473" s="118">
        <v>6.9444444444444447E-4</v>
      </c>
      <c r="J1473" s="118">
        <v>7.0717592592592594E-3</v>
      </c>
      <c r="K1473" s="118">
        <v>7.0717592592592594E-3</v>
      </c>
    </row>
    <row r="1474" spans="1:11" x14ac:dyDescent="0.25">
      <c r="A1474">
        <v>3</v>
      </c>
      <c r="B1474">
        <v>6</v>
      </c>
      <c r="C1474"/>
      <c r="D1474" t="s">
        <v>31</v>
      </c>
      <c r="E1474" t="s">
        <v>35</v>
      </c>
      <c r="F1474" t="s">
        <v>38</v>
      </c>
      <c r="G1474" s="118">
        <v>0.41325231481481484</v>
      </c>
      <c r="H1474" s="118">
        <v>9.1435185185185185E-4</v>
      </c>
      <c r="I1474" s="118">
        <v>3.4722222222222224E-4</v>
      </c>
      <c r="J1474"/>
      <c r="K1474"/>
    </row>
    <row r="1475" spans="1:11" x14ac:dyDescent="0.25">
      <c r="A1475">
        <v>5</v>
      </c>
      <c r="B1475">
        <v>6</v>
      </c>
      <c r="C1475"/>
      <c r="D1475" t="s">
        <v>31</v>
      </c>
      <c r="E1475" t="s">
        <v>32</v>
      </c>
      <c r="F1475" t="s">
        <v>50</v>
      </c>
      <c r="G1475" s="118">
        <v>0.41329861111111116</v>
      </c>
      <c r="H1475" s="118">
        <v>3.4722222222222224E-4</v>
      </c>
      <c r="I1475" s="118">
        <v>1.261574074074074E-3</v>
      </c>
      <c r="J1475" s="118">
        <v>7.0717592592592594E-3</v>
      </c>
      <c r="K1475" s="118">
        <v>7.0717592592592594E-3</v>
      </c>
    </row>
    <row r="1476" spans="1:11" x14ac:dyDescent="0.25">
      <c r="A1476">
        <v>3</v>
      </c>
      <c r="B1476">
        <v>6</v>
      </c>
      <c r="C1476"/>
      <c r="D1476" t="s">
        <v>31</v>
      </c>
      <c r="E1476" t="s">
        <v>32</v>
      </c>
      <c r="F1476" t="s">
        <v>38</v>
      </c>
      <c r="G1476" s="118">
        <v>0.41359953703703706</v>
      </c>
      <c r="H1476" s="118">
        <v>3.4722222222222224E-4</v>
      </c>
      <c r="I1476" s="118">
        <v>1.2384259259259258E-3</v>
      </c>
      <c r="J1476" s="118">
        <v>7.0717592592592594E-3</v>
      </c>
      <c r="K1476" s="118">
        <v>7.0717592592592594E-3</v>
      </c>
    </row>
    <row r="1477" spans="1:11" x14ac:dyDescent="0.25">
      <c r="A1477">
        <v>4</v>
      </c>
      <c r="B1477">
        <v>5</v>
      </c>
      <c r="C1477"/>
      <c r="D1477" t="s">
        <v>31</v>
      </c>
      <c r="E1477" t="s">
        <v>35</v>
      </c>
      <c r="F1477" t="s">
        <v>92</v>
      </c>
      <c r="G1477" s="118">
        <v>0.41373842592592597</v>
      </c>
      <c r="H1477" s="118">
        <v>6.9444444444444447E-4</v>
      </c>
      <c r="I1477" s="118">
        <v>5.2083333333333333E-4</v>
      </c>
      <c r="J1477"/>
      <c r="K1477"/>
    </row>
    <row r="1478" spans="1:11" x14ac:dyDescent="0.25">
      <c r="A1478">
        <v>1</v>
      </c>
      <c r="B1478">
        <v>5</v>
      </c>
      <c r="C1478"/>
      <c r="D1478" t="s">
        <v>31</v>
      </c>
      <c r="E1478" t="s">
        <v>35</v>
      </c>
      <c r="F1478" t="s">
        <v>49</v>
      </c>
      <c r="G1478" s="118">
        <v>0.41390046296296296</v>
      </c>
      <c r="H1478" s="118">
        <v>9.2592592592592585E-4</v>
      </c>
      <c r="I1478" s="118">
        <v>3.4722222222222224E-4</v>
      </c>
      <c r="J1478"/>
      <c r="K1478"/>
    </row>
    <row r="1479" spans="1:11" x14ac:dyDescent="0.25">
      <c r="A1479">
        <v>2</v>
      </c>
      <c r="B1479">
        <v>6</v>
      </c>
      <c r="C1479"/>
      <c r="D1479" t="s">
        <v>31</v>
      </c>
      <c r="E1479" t="s">
        <v>35</v>
      </c>
      <c r="F1479" t="s">
        <v>46</v>
      </c>
      <c r="G1479" s="118">
        <v>0.41416666666666663</v>
      </c>
      <c r="H1479" s="118">
        <v>1.8055555555555557E-3</v>
      </c>
      <c r="I1479" s="118">
        <v>3.4722222222222224E-4</v>
      </c>
      <c r="J1479"/>
      <c r="K1479"/>
    </row>
    <row r="1480" spans="1:11" x14ac:dyDescent="0.25">
      <c r="A1480">
        <v>1</v>
      </c>
      <c r="B1480">
        <v>5</v>
      </c>
      <c r="C1480"/>
      <c r="D1480" t="s">
        <v>31</v>
      </c>
      <c r="E1480" t="s">
        <v>32</v>
      </c>
      <c r="F1480" t="s">
        <v>49</v>
      </c>
      <c r="G1480" s="118">
        <v>0.41424768518518523</v>
      </c>
      <c r="H1480" s="118">
        <v>3.4722222222222224E-4</v>
      </c>
      <c r="I1480" s="118">
        <v>1.3541666666666667E-3</v>
      </c>
      <c r="J1480" s="118">
        <v>7.0717592592592594E-3</v>
      </c>
      <c r="K1480" s="118">
        <v>7.0717592592592594E-3</v>
      </c>
    </row>
    <row r="1481" spans="1:11" x14ac:dyDescent="0.25">
      <c r="A1481">
        <v>4</v>
      </c>
      <c r="B1481">
        <v>6</v>
      </c>
      <c r="C1481"/>
      <c r="D1481" t="s">
        <v>31</v>
      </c>
      <c r="E1481" t="s">
        <v>32</v>
      </c>
      <c r="F1481" t="s">
        <v>92</v>
      </c>
      <c r="G1481" s="118">
        <v>0.41425925925925927</v>
      </c>
      <c r="H1481" s="118">
        <v>5.2083333333333333E-4</v>
      </c>
      <c r="I1481" s="118">
        <v>1.0069444444444444E-3</v>
      </c>
      <c r="J1481" s="118">
        <v>7.0717592592592594E-3</v>
      </c>
      <c r="K1481" s="118">
        <v>7.0717592592592594E-3</v>
      </c>
    </row>
    <row r="1482" spans="1:11" x14ac:dyDescent="0.25">
      <c r="A1482">
        <v>2</v>
      </c>
      <c r="B1482">
        <v>6</v>
      </c>
      <c r="C1482"/>
      <c r="D1482" t="s">
        <v>31</v>
      </c>
      <c r="E1482" t="s">
        <v>32</v>
      </c>
      <c r="F1482" t="s">
        <v>46</v>
      </c>
      <c r="G1482" s="118">
        <v>0.4145138888888889</v>
      </c>
      <c r="H1482" s="118">
        <v>3.4722222222222224E-4</v>
      </c>
      <c r="I1482" s="118">
        <v>9.1435185185185185E-4</v>
      </c>
      <c r="J1482" s="118">
        <v>7.0717592592592594E-3</v>
      </c>
      <c r="K1482" s="118">
        <v>7.0717592592592594E-3</v>
      </c>
    </row>
    <row r="1483" spans="1:11" x14ac:dyDescent="0.25">
      <c r="A1483">
        <v>5</v>
      </c>
      <c r="B1483">
        <v>6</v>
      </c>
      <c r="C1483"/>
      <c r="D1483" t="s">
        <v>31</v>
      </c>
      <c r="E1483" t="s">
        <v>35</v>
      </c>
      <c r="F1483" t="s">
        <v>56</v>
      </c>
      <c r="G1483" s="118">
        <v>0.41456018518518517</v>
      </c>
      <c r="H1483" s="118">
        <v>1.261574074074074E-3</v>
      </c>
      <c r="I1483" s="118">
        <v>3.4722222222222224E-4</v>
      </c>
      <c r="J1483"/>
      <c r="K1483"/>
    </row>
    <row r="1484" spans="1:11" x14ac:dyDescent="0.25">
      <c r="A1484">
        <v>3</v>
      </c>
      <c r="B1484">
        <v>6</v>
      </c>
      <c r="C1484"/>
      <c r="D1484" t="s">
        <v>31</v>
      </c>
      <c r="E1484" t="s">
        <v>35</v>
      </c>
      <c r="F1484" t="s">
        <v>45</v>
      </c>
      <c r="G1484" s="118">
        <v>0.41483796296296299</v>
      </c>
      <c r="H1484" s="118">
        <v>1.2384259259259258E-3</v>
      </c>
      <c r="I1484" s="118">
        <v>3.4722222222222224E-4</v>
      </c>
      <c r="J1484"/>
      <c r="K1484"/>
    </row>
    <row r="1485" spans="1:11" x14ac:dyDescent="0.25">
      <c r="A1485">
        <v>5</v>
      </c>
      <c r="B1485">
        <v>6</v>
      </c>
      <c r="C1485"/>
      <c r="D1485" t="s">
        <v>31</v>
      </c>
      <c r="E1485" t="s">
        <v>32</v>
      </c>
      <c r="F1485" t="s">
        <v>56</v>
      </c>
      <c r="G1485" s="118">
        <v>0.41490740740740745</v>
      </c>
      <c r="H1485" s="118">
        <v>3.4722222222222224E-4</v>
      </c>
      <c r="I1485" s="118">
        <v>9.6064814814814808E-4</v>
      </c>
      <c r="J1485" s="118">
        <v>7.0717592592592594E-3</v>
      </c>
      <c r="K1485" s="118">
        <v>7.0717592592592594E-3</v>
      </c>
    </row>
    <row r="1486" spans="1:11" x14ac:dyDescent="0.25">
      <c r="A1486">
        <v>3</v>
      </c>
      <c r="B1486">
        <v>6</v>
      </c>
      <c r="C1486"/>
      <c r="D1486" t="s">
        <v>31</v>
      </c>
      <c r="E1486" t="s">
        <v>32</v>
      </c>
      <c r="F1486" t="s">
        <v>45</v>
      </c>
      <c r="G1486" s="118">
        <v>0.41518518518518516</v>
      </c>
      <c r="H1486" s="118">
        <v>3.4722222222222224E-4</v>
      </c>
      <c r="I1486" s="118">
        <v>1.0416666666666667E-3</v>
      </c>
      <c r="J1486" s="118">
        <v>7.0717592592592594E-3</v>
      </c>
      <c r="K1486" s="118">
        <v>7.0717592592592594E-3</v>
      </c>
    </row>
    <row r="1487" spans="1:11" x14ac:dyDescent="0.25">
      <c r="A1487">
        <v>4</v>
      </c>
      <c r="B1487">
        <v>6</v>
      </c>
      <c r="C1487"/>
      <c r="D1487" t="s">
        <v>31</v>
      </c>
      <c r="E1487" t="s">
        <v>35</v>
      </c>
      <c r="F1487" t="s">
        <v>41</v>
      </c>
      <c r="G1487" s="118">
        <v>0.41526620370370365</v>
      </c>
      <c r="H1487" s="118">
        <v>1.0069444444444444E-3</v>
      </c>
      <c r="I1487" s="118">
        <v>3.4722222222222224E-4</v>
      </c>
      <c r="J1487"/>
      <c r="K1487"/>
    </row>
    <row r="1488" spans="1:11" x14ac:dyDescent="0.25">
      <c r="A1488">
        <v>2</v>
      </c>
      <c r="B1488">
        <v>6</v>
      </c>
      <c r="C1488"/>
      <c r="D1488" t="s">
        <v>31</v>
      </c>
      <c r="E1488" t="s">
        <v>35</v>
      </c>
      <c r="F1488" t="s">
        <v>51</v>
      </c>
      <c r="G1488" s="118">
        <v>0.41542824074074075</v>
      </c>
      <c r="H1488" s="118">
        <v>9.1435185185185185E-4</v>
      </c>
      <c r="I1488" s="118">
        <v>3.4722222222222224E-4</v>
      </c>
      <c r="J1488"/>
      <c r="K1488"/>
    </row>
    <row r="1489" spans="1:11" x14ac:dyDescent="0.25">
      <c r="A1489">
        <v>1</v>
      </c>
      <c r="B1489">
        <v>5</v>
      </c>
      <c r="C1489"/>
      <c r="D1489" t="s">
        <v>31</v>
      </c>
      <c r="E1489" t="s">
        <v>35</v>
      </c>
      <c r="F1489" t="s">
        <v>33</v>
      </c>
      <c r="G1489" s="118">
        <v>0.41560185185185183</v>
      </c>
      <c r="H1489" s="118">
        <v>1.3541666666666667E-3</v>
      </c>
      <c r="I1489" s="118">
        <v>5.2083333333333333E-4</v>
      </c>
      <c r="J1489"/>
      <c r="K1489"/>
    </row>
    <row r="1490" spans="1:11" x14ac:dyDescent="0.25">
      <c r="A1490">
        <v>4</v>
      </c>
      <c r="B1490">
        <v>6</v>
      </c>
      <c r="C1490"/>
      <c r="D1490" t="s">
        <v>31</v>
      </c>
      <c r="E1490" t="s">
        <v>32</v>
      </c>
      <c r="F1490" t="s">
        <v>41</v>
      </c>
      <c r="G1490" s="118">
        <v>0.41561342592592593</v>
      </c>
      <c r="H1490" s="118">
        <v>3.4722222222222224E-4</v>
      </c>
      <c r="I1490" s="118">
        <v>8.564814814814815E-4</v>
      </c>
      <c r="J1490" s="118">
        <v>7.0717592592592594E-3</v>
      </c>
      <c r="K1490" s="118">
        <v>7.0717592592592594E-3</v>
      </c>
    </row>
    <row r="1491" spans="1:11" x14ac:dyDescent="0.25">
      <c r="A1491">
        <v>2</v>
      </c>
      <c r="B1491">
        <v>6</v>
      </c>
      <c r="C1491"/>
      <c r="D1491" t="s">
        <v>31</v>
      </c>
      <c r="E1491" t="s">
        <v>32</v>
      </c>
      <c r="F1491" t="s">
        <v>51</v>
      </c>
      <c r="G1491" s="118">
        <v>0.41577546296296292</v>
      </c>
      <c r="H1491" s="118">
        <v>3.4722222222222224E-4</v>
      </c>
      <c r="I1491" s="118">
        <v>1.0069444444444444E-3</v>
      </c>
      <c r="J1491" s="118">
        <v>7.0717592592592594E-3</v>
      </c>
      <c r="K1491" s="118">
        <v>7.0717592592592594E-3</v>
      </c>
    </row>
    <row r="1492" spans="1:11" x14ac:dyDescent="0.25">
      <c r="A1492">
        <v>5</v>
      </c>
      <c r="B1492">
        <v>6</v>
      </c>
      <c r="C1492"/>
      <c r="D1492" t="s">
        <v>31</v>
      </c>
      <c r="E1492" t="s">
        <v>35</v>
      </c>
      <c r="F1492" t="s">
        <v>37</v>
      </c>
      <c r="G1492" s="118">
        <v>0.41586805555555556</v>
      </c>
      <c r="H1492" s="118">
        <v>9.6064814814814808E-4</v>
      </c>
      <c r="I1492" s="118">
        <v>3.4722222222222224E-4</v>
      </c>
      <c r="J1492"/>
      <c r="K1492"/>
    </row>
    <row r="1493" spans="1:11" x14ac:dyDescent="0.25">
      <c r="A1493">
        <v>1</v>
      </c>
      <c r="B1493">
        <v>5</v>
      </c>
      <c r="C1493"/>
      <c r="D1493" t="s">
        <v>31</v>
      </c>
      <c r="E1493" t="s">
        <v>32</v>
      </c>
      <c r="F1493" t="s">
        <v>33</v>
      </c>
      <c r="G1493" s="118">
        <v>0.41612268518518519</v>
      </c>
      <c r="H1493" s="118">
        <v>5.2083333333333333E-4</v>
      </c>
      <c r="I1493" s="118">
        <v>9.6064814814814808E-4</v>
      </c>
      <c r="J1493" s="118">
        <v>7.0717592592592594E-3</v>
      </c>
      <c r="K1493" s="118">
        <v>7.0717592592592594E-3</v>
      </c>
    </row>
    <row r="1494" spans="1:11" x14ac:dyDescent="0.25">
      <c r="A1494">
        <v>5</v>
      </c>
      <c r="B1494">
        <v>6</v>
      </c>
      <c r="C1494"/>
      <c r="D1494" t="s">
        <v>31</v>
      </c>
      <c r="E1494" t="s">
        <v>32</v>
      </c>
      <c r="F1494" t="s">
        <v>37</v>
      </c>
      <c r="G1494" s="118">
        <v>0.41621527777777773</v>
      </c>
      <c r="H1494" s="118">
        <v>3.4722222222222224E-4</v>
      </c>
      <c r="I1494" s="118">
        <v>9.0277777777777784E-4</v>
      </c>
      <c r="J1494" s="118">
        <v>7.0717592592592594E-3</v>
      </c>
      <c r="K1494" s="118">
        <v>7.0717592592592594E-3</v>
      </c>
    </row>
    <row r="1495" spans="1:11" x14ac:dyDescent="0.25">
      <c r="A1495">
        <v>3</v>
      </c>
      <c r="B1495">
        <v>6</v>
      </c>
      <c r="C1495"/>
      <c r="D1495" t="s">
        <v>31</v>
      </c>
      <c r="E1495" t="s">
        <v>35</v>
      </c>
      <c r="F1495" t="s">
        <v>52</v>
      </c>
      <c r="G1495" s="118">
        <v>0.41622685185185188</v>
      </c>
      <c r="H1495" s="118">
        <v>1.0416666666666667E-3</v>
      </c>
      <c r="I1495" s="118">
        <v>3.4722222222222224E-4</v>
      </c>
      <c r="J1495"/>
      <c r="K1495"/>
    </row>
    <row r="1496" spans="1:11" x14ac:dyDescent="0.25">
      <c r="A1496">
        <v>4</v>
      </c>
      <c r="B1496">
        <v>6</v>
      </c>
      <c r="C1496"/>
      <c r="D1496" t="s">
        <v>31</v>
      </c>
      <c r="E1496" t="s">
        <v>35</v>
      </c>
      <c r="F1496" t="s">
        <v>47</v>
      </c>
      <c r="G1496" s="118">
        <v>0.41646990740740741</v>
      </c>
      <c r="H1496" s="118">
        <v>8.564814814814815E-4</v>
      </c>
      <c r="I1496" s="118">
        <v>5.2083333333333333E-4</v>
      </c>
      <c r="J1496"/>
      <c r="K1496"/>
    </row>
    <row r="1497" spans="1:11" x14ac:dyDescent="0.25">
      <c r="A1497">
        <v>3</v>
      </c>
      <c r="B1497">
        <v>6</v>
      </c>
      <c r="C1497"/>
      <c r="D1497" t="s">
        <v>31</v>
      </c>
      <c r="E1497" t="s">
        <v>32</v>
      </c>
      <c r="F1497" t="s">
        <v>52</v>
      </c>
      <c r="G1497" s="118">
        <v>0.41657407407407404</v>
      </c>
      <c r="H1497" s="118">
        <v>3.4722222222222224E-4</v>
      </c>
      <c r="I1497" s="118">
        <v>1.0532407407407407E-3</v>
      </c>
      <c r="J1497" s="118">
        <v>7.0717592592592594E-3</v>
      </c>
      <c r="K1497" s="118">
        <v>7.0717592592592594E-3</v>
      </c>
    </row>
    <row r="1498" spans="1:11" x14ac:dyDescent="0.25">
      <c r="A1498">
        <v>2</v>
      </c>
      <c r="B1498">
        <v>6</v>
      </c>
      <c r="C1498"/>
      <c r="D1498" t="s">
        <v>31</v>
      </c>
      <c r="E1498" t="s">
        <v>35</v>
      </c>
      <c r="F1498" t="s">
        <v>55</v>
      </c>
      <c r="G1498" s="118">
        <v>0.41678240740740741</v>
      </c>
      <c r="H1498" s="118">
        <v>1.0069444444444444E-3</v>
      </c>
      <c r="I1498" s="118">
        <v>4.6296296296296293E-4</v>
      </c>
      <c r="J1498"/>
      <c r="K1498"/>
    </row>
    <row r="1499" spans="1:11" x14ac:dyDescent="0.25">
      <c r="A1499">
        <v>4</v>
      </c>
      <c r="B1499">
        <v>6</v>
      </c>
      <c r="C1499"/>
      <c r="D1499" t="s">
        <v>31</v>
      </c>
      <c r="E1499" t="s">
        <v>32</v>
      </c>
      <c r="F1499" t="s">
        <v>47</v>
      </c>
      <c r="G1499" s="118">
        <v>0.41699074074074072</v>
      </c>
      <c r="H1499" s="118">
        <v>5.2083333333333333E-4</v>
      </c>
      <c r="I1499" s="118">
        <v>8.7962962962962962E-4</v>
      </c>
      <c r="J1499" s="118">
        <v>7.0717592592592594E-3</v>
      </c>
      <c r="K1499" s="118">
        <v>7.0717592592592594E-3</v>
      </c>
    </row>
    <row r="1500" spans="1:11" x14ac:dyDescent="0.25">
      <c r="A1500">
        <v>1</v>
      </c>
      <c r="B1500">
        <v>5</v>
      </c>
      <c r="C1500"/>
      <c r="D1500" t="s">
        <v>31</v>
      </c>
      <c r="E1500" t="s">
        <v>35</v>
      </c>
      <c r="F1500" t="s">
        <v>36</v>
      </c>
      <c r="G1500" s="118">
        <v>0.41708333333333331</v>
      </c>
      <c r="H1500" s="118">
        <v>9.6064814814814808E-4</v>
      </c>
      <c r="I1500" s="118">
        <v>3.4722222222222224E-4</v>
      </c>
      <c r="J1500"/>
      <c r="K1500"/>
    </row>
    <row r="1501" spans="1:11" x14ac:dyDescent="0.25">
      <c r="A1501">
        <v>5</v>
      </c>
      <c r="B1501">
        <v>6</v>
      </c>
      <c r="C1501"/>
      <c r="D1501" t="s">
        <v>31</v>
      </c>
      <c r="E1501" t="s">
        <v>35</v>
      </c>
      <c r="F1501" t="s">
        <v>42</v>
      </c>
      <c r="G1501" s="118">
        <v>0.41711805555555559</v>
      </c>
      <c r="H1501" s="118">
        <v>9.0277777777777784E-4</v>
      </c>
      <c r="I1501" s="118">
        <v>3.4722222222222224E-4</v>
      </c>
      <c r="J1501"/>
      <c r="K1501"/>
    </row>
    <row r="1502" spans="1:11" x14ac:dyDescent="0.25">
      <c r="A1502">
        <v>2</v>
      </c>
      <c r="B1502">
        <v>6</v>
      </c>
      <c r="C1502"/>
      <c r="D1502" t="s">
        <v>31</v>
      </c>
      <c r="E1502" t="s">
        <v>32</v>
      </c>
      <c r="F1502" t="s">
        <v>55</v>
      </c>
      <c r="G1502" s="118">
        <v>0.41724537037037041</v>
      </c>
      <c r="H1502" s="118">
        <v>4.6296296296296293E-4</v>
      </c>
      <c r="I1502" s="118">
        <v>4.3981481481481481E-4</v>
      </c>
      <c r="J1502" s="118">
        <v>7.0717592592592594E-3</v>
      </c>
      <c r="K1502" s="118">
        <v>7.0717592592592594E-3</v>
      </c>
    </row>
    <row r="1503" spans="1:11" x14ac:dyDescent="0.25">
      <c r="A1503">
        <v>1</v>
      </c>
      <c r="B1503">
        <v>5</v>
      </c>
      <c r="C1503"/>
      <c r="D1503" t="s">
        <v>31</v>
      </c>
      <c r="E1503" t="s">
        <v>32</v>
      </c>
      <c r="F1503" t="s">
        <v>36</v>
      </c>
      <c r="G1503" s="118">
        <v>0.41743055555555553</v>
      </c>
      <c r="H1503" s="118">
        <v>3.4722222222222224E-4</v>
      </c>
      <c r="I1503" s="118">
        <v>1.0995370370370371E-3</v>
      </c>
      <c r="J1503" s="118">
        <v>7.0717592592592594E-3</v>
      </c>
      <c r="K1503" s="118">
        <v>7.0717592592592594E-3</v>
      </c>
    </row>
    <row r="1504" spans="1:11" x14ac:dyDescent="0.25">
      <c r="A1504">
        <v>5</v>
      </c>
      <c r="B1504">
        <v>6</v>
      </c>
      <c r="C1504"/>
      <c r="D1504" t="s">
        <v>31</v>
      </c>
      <c r="E1504" t="s">
        <v>32</v>
      </c>
      <c r="F1504" t="s">
        <v>42</v>
      </c>
      <c r="G1504" s="118">
        <v>0.41746527777777781</v>
      </c>
      <c r="H1504" s="118">
        <v>3.4722222222222224E-4</v>
      </c>
      <c r="I1504" s="118">
        <v>9.1435185185185185E-4</v>
      </c>
      <c r="J1504" s="118">
        <v>7.0717592592592594E-3</v>
      </c>
      <c r="K1504" s="118">
        <v>7.0717592592592594E-3</v>
      </c>
    </row>
    <row r="1505" spans="1:11" x14ac:dyDescent="0.25">
      <c r="A1505">
        <v>3</v>
      </c>
      <c r="B1505">
        <v>6</v>
      </c>
      <c r="C1505"/>
      <c r="D1505" t="s">
        <v>31</v>
      </c>
      <c r="E1505" t="s">
        <v>35</v>
      </c>
      <c r="F1505" t="s">
        <v>57</v>
      </c>
      <c r="G1505" s="118">
        <v>0.4176273148148148</v>
      </c>
      <c r="H1505" s="118">
        <v>1.0532407407407407E-3</v>
      </c>
      <c r="I1505" s="118">
        <v>3.4722222222222224E-4</v>
      </c>
      <c r="J1505"/>
      <c r="K1505"/>
    </row>
    <row r="1506" spans="1:11" x14ac:dyDescent="0.25">
      <c r="A1506">
        <v>2</v>
      </c>
      <c r="B1506">
        <v>6</v>
      </c>
      <c r="C1506"/>
      <c r="D1506" t="s">
        <v>31</v>
      </c>
      <c r="E1506" t="s">
        <v>35</v>
      </c>
      <c r="F1506" t="s">
        <v>58</v>
      </c>
      <c r="G1506" s="118">
        <v>0.41768518518518521</v>
      </c>
      <c r="H1506" s="118">
        <v>4.3981481481481481E-4</v>
      </c>
      <c r="I1506" s="118">
        <v>5.7870370370370366E-5</v>
      </c>
      <c r="J1506"/>
      <c r="K1506"/>
    </row>
    <row r="1507" spans="1:11" x14ac:dyDescent="0.25">
      <c r="A1507">
        <v>2</v>
      </c>
      <c r="B1507">
        <v>6</v>
      </c>
      <c r="C1507"/>
      <c r="D1507" t="s">
        <v>31</v>
      </c>
      <c r="E1507" t="s">
        <v>32</v>
      </c>
      <c r="F1507" t="s">
        <v>58</v>
      </c>
      <c r="G1507" s="118">
        <v>0.41774305555555552</v>
      </c>
      <c r="H1507" s="118">
        <v>5.7870370370370366E-5</v>
      </c>
      <c r="I1507" s="118">
        <v>4.8611111111111104E-4</v>
      </c>
      <c r="J1507" s="118">
        <v>7.0717592592592594E-3</v>
      </c>
      <c r="K1507" s="118">
        <v>7.0717592592592594E-3</v>
      </c>
    </row>
    <row r="1508" spans="1:11" x14ac:dyDescent="0.25">
      <c r="A1508">
        <v>4</v>
      </c>
      <c r="B1508">
        <v>6</v>
      </c>
      <c r="C1508"/>
      <c r="D1508" t="s">
        <v>31</v>
      </c>
      <c r="E1508" t="s">
        <v>35</v>
      </c>
      <c r="F1508" t="s">
        <v>53</v>
      </c>
      <c r="G1508" s="118">
        <v>0.41787037037037034</v>
      </c>
      <c r="H1508" s="118">
        <v>8.7962962962962962E-4</v>
      </c>
      <c r="I1508" s="118">
        <v>3.4722222222222224E-4</v>
      </c>
      <c r="J1508"/>
      <c r="K1508"/>
    </row>
    <row r="1509" spans="1:11" x14ac:dyDescent="0.25">
      <c r="A1509">
        <v>3</v>
      </c>
      <c r="B1509">
        <v>6</v>
      </c>
      <c r="C1509"/>
      <c r="D1509" t="s">
        <v>31</v>
      </c>
      <c r="E1509" t="s">
        <v>32</v>
      </c>
      <c r="F1509" t="s">
        <v>57</v>
      </c>
      <c r="G1509" s="118">
        <v>0.41797453703703707</v>
      </c>
      <c r="H1509" s="118">
        <v>3.4722222222222224E-4</v>
      </c>
      <c r="I1509" s="118">
        <v>9.3750000000000007E-4</v>
      </c>
      <c r="J1509" s="118">
        <v>7.0717592592592594E-3</v>
      </c>
      <c r="K1509" s="118">
        <v>7.0717592592592594E-3</v>
      </c>
    </row>
    <row r="1510" spans="1:11" x14ac:dyDescent="0.25">
      <c r="A1510">
        <v>4</v>
      </c>
      <c r="B1510">
        <v>6</v>
      </c>
      <c r="C1510"/>
      <c r="D1510" t="s">
        <v>31</v>
      </c>
      <c r="E1510" t="s">
        <v>32</v>
      </c>
      <c r="F1510" t="s">
        <v>53</v>
      </c>
      <c r="G1510" s="118">
        <v>0.41821759259259261</v>
      </c>
      <c r="H1510" s="118">
        <v>3.4722222222222224E-4</v>
      </c>
      <c r="I1510" s="118">
        <v>8.449074074074075E-4</v>
      </c>
      <c r="J1510" s="118">
        <v>7.0717592592592594E-3</v>
      </c>
      <c r="K1510" s="118">
        <v>7.0717592592592594E-3</v>
      </c>
    </row>
    <row r="1511" spans="1:11" x14ac:dyDescent="0.25">
      <c r="A1511">
        <v>2</v>
      </c>
      <c r="B1511">
        <v>6</v>
      </c>
      <c r="C1511"/>
      <c r="D1511" t="s">
        <v>31</v>
      </c>
      <c r="E1511" t="s">
        <v>35</v>
      </c>
      <c r="F1511" t="s">
        <v>40</v>
      </c>
      <c r="G1511" s="118">
        <v>0.41822916666666665</v>
      </c>
      <c r="H1511" s="118">
        <v>4.8611111111111104E-4</v>
      </c>
      <c r="I1511" s="118">
        <v>4.6296296296296293E-4</v>
      </c>
      <c r="J1511"/>
      <c r="K1511"/>
    </row>
    <row r="1512" spans="1:11" x14ac:dyDescent="0.25">
      <c r="A1512">
        <v>5</v>
      </c>
      <c r="B1512">
        <v>6</v>
      </c>
      <c r="C1512"/>
      <c r="D1512" t="s">
        <v>31</v>
      </c>
      <c r="E1512" t="s">
        <v>35</v>
      </c>
      <c r="F1512" t="s">
        <v>48</v>
      </c>
      <c r="G1512" s="118">
        <v>0.4183796296296296</v>
      </c>
      <c r="H1512" s="118">
        <v>9.1435185185185185E-4</v>
      </c>
      <c r="I1512" s="118">
        <v>5.2083333333333333E-4</v>
      </c>
      <c r="J1512"/>
      <c r="K1512"/>
    </row>
    <row r="1513" spans="1:11" x14ac:dyDescent="0.25">
      <c r="A1513">
        <v>1</v>
      </c>
      <c r="B1513">
        <v>5</v>
      </c>
      <c r="C1513"/>
      <c r="D1513" t="s">
        <v>31</v>
      </c>
      <c r="E1513" t="s">
        <v>35</v>
      </c>
      <c r="F1513" t="s">
        <v>43</v>
      </c>
      <c r="G1513" s="118">
        <v>0.41853009259259261</v>
      </c>
      <c r="H1513" s="118">
        <v>1.0995370370370371E-3</v>
      </c>
      <c r="I1513" s="118">
        <v>3.4722222222222224E-4</v>
      </c>
      <c r="J1513"/>
      <c r="K1513"/>
    </row>
    <row r="1514" spans="1:11" x14ac:dyDescent="0.25">
      <c r="A1514">
        <v>2</v>
      </c>
      <c r="B1514">
        <v>6</v>
      </c>
      <c r="C1514"/>
      <c r="D1514" t="s">
        <v>31</v>
      </c>
      <c r="E1514" t="s">
        <v>32</v>
      </c>
      <c r="F1514" t="s">
        <v>40</v>
      </c>
      <c r="G1514" s="118">
        <v>0.41869212962962959</v>
      </c>
      <c r="H1514" s="118">
        <v>4.6296296296296293E-4</v>
      </c>
      <c r="I1514" s="118">
        <v>1.0069444444444444E-3</v>
      </c>
      <c r="J1514" s="118">
        <v>7.0717592592592594E-3</v>
      </c>
      <c r="K1514" s="118">
        <v>7.0717592592592594E-3</v>
      </c>
    </row>
    <row r="1515" spans="1:11" x14ac:dyDescent="0.25">
      <c r="A1515">
        <v>1</v>
      </c>
      <c r="B1515">
        <v>5</v>
      </c>
      <c r="C1515"/>
      <c r="D1515" t="s">
        <v>31</v>
      </c>
      <c r="E1515" t="s">
        <v>32</v>
      </c>
      <c r="F1515" t="s">
        <v>43</v>
      </c>
      <c r="G1515" s="118">
        <v>0.41887731481481483</v>
      </c>
      <c r="H1515" s="118">
        <v>3.4722222222222224E-4</v>
      </c>
      <c r="I1515" s="118">
        <v>1.1458333333333333E-3</v>
      </c>
      <c r="J1515" s="118">
        <v>7.0717592592592594E-3</v>
      </c>
      <c r="K1515" s="118">
        <v>7.0717592592592594E-3</v>
      </c>
    </row>
    <row r="1516" spans="1:11" x14ac:dyDescent="0.25">
      <c r="A1516">
        <v>5</v>
      </c>
      <c r="B1516">
        <v>6</v>
      </c>
      <c r="C1516"/>
      <c r="D1516" t="s">
        <v>31</v>
      </c>
      <c r="E1516" t="s">
        <v>32</v>
      </c>
      <c r="F1516" t="s">
        <v>48</v>
      </c>
      <c r="G1516" s="118">
        <v>0.41890046296296296</v>
      </c>
      <c r="H1516" s="118">
        <v>5.2083333333333333E-4</v>
      </c>
      <c r="I1516" s="118">
        <v>8.6805555555555551E-4</v>
      </c>
      <c r="J1516" s="118">
        <v>7.0717592592592594E-3</v>
      </c>
      <c r="K1516" s="118">
        <v>7.0717592592592594E-3</v>
      </c>
    </row>
    <row r="1517" spans="1:11" x14ac:dyDescent="0.25">
      <c r="A1517">
        <v>3</v>
      </c>
      <c r="B1517">
        <v>6</v>
      </c>
      <c r="C1517"/>
      <c r="D1517" t="s">
        <v>31</v>
      </c>
      <c r="E1517" t="s">
        <v>35</v>
      </c>
      <c r="F1517" t="s">
        <v>39</v>
      </c>
      <c r="G1517" s="118">
        <v>0.418912037037037</v>
      </c>
      <c r="H1517" s="118">
        <v>9.3750000000000007E-4</v>
      </c>
      <c r="I1517" s="118">
        <v>5.2083333333333333E-4</v>
      </c>
      <c r="J1517"/>
      <c r="K1517"/>
    </row>
    <row r="1518" spans="1:11" x14ac:dyDescent="0.25">
      <c r="A1518">
        <v>4</v>
      </c>
      <c r="B1518">
        <v>6</v>
      </c>
      <c r="C1518"/>
      <c r="D1518" t="s">
        <v>31</v>
      </c>
      <c r="E1518" t="s">
        <v>35</v>
      </c>
      <c r="F1518" t="s">
        <v>34</v>
      </c>
      <c r="G1518" s="118">
        <v>0.41906249999999995</v>
      </c>
      <c r="H1518" s="118">
        <v>8.449074074074075E-4</v>
      </c>
      <c r="I1518" s="118">
        <v>3.4722222222222224E-4</v>
      </c>
      <c r="J1518"/>
      <c r="K1518"/>
    </row>
    <row r="1519" spans="1:11" x14ac:dyDescent="0.25">
      <c r="A1519">
        <v>4</v>
      </c>
      <c r="B1519">
        <v>6</v>
      </c>
      <c r="C1519"/>
      <c r="D1519" t="s">
        <v>31</v>
      </c>
      <c r="E1519" t="s">
        <v>32</v>
      </c>
      <c r="F1519" t="s">
        <v>34</v>
      </c>
      <c r="G1519" s="118">
        <v>0.41940972222222223</v>
      </c>
      <c r="H1519" s="118">
        <v>3.4722222222222224E-4</v>
      </c>
      <c r="I1519" s="118">
        <v>9.1435185185185185E-4</v>
      </c>
      <c r="J1519" s="118">
        <v>7.0717592592592594E-3</v>
      </c>
      <c r="K1519" s="118">
        <v>7.0717592592592594E-3</v>
      </c>
    </row>
    <row r="1520" spans="1:11" x14ac:dyDescent="0.25">
      <c r="A1520">
        <v>3</v>
      </c>
      <c r="B1520">
        <v>6</v>
      </c>
      <c r="C1520"/>
      <c r="D1520" t="s">
        <v>31</v>
      </c>
      <c r="E1520" t="s">
        <v>32</v>
      </c>
      <c r="F1520" t="s">
        <v>39</v>
      </c>
      <c r="G1520" s="118">
        <v>0.41943287037037041</v>
      </c>
      <c r="H1520" s="118">
        <v>5.2083333333333333E-4</v>
      </c>
      <c r="I1520" s="118">
        <v>1.8055555555555557E-3</v>
      </c>
      <c r="J1520" s="118">
        <v>7.0717592592592594E-3</v>
      </c>
      <c r="K1520" s="118">
        <v>7.0717592592592594E-3</v>
      </c>
    </row>
    <row r="1521" spans="1:11" x14ac:dyDescent="0.25">
      <c r="A1521">
        <v>2</v>
      </c>
      <c r="B1521">
        <v>6</v>
      </c>
      <c r="C1521"/>
      <c r="D1521" t="s">
        <v>31</v>
      </c>
      <c r="E1521" t="s">
        <v>35</v>
      </c>
      <c r="F1521" t="s">
        <v>44</v>
      </c>
      <c r="G1521" s="118">
        <v>0.41969907407407409</v>
      </c>
      <c r="H1521" s="118">
        <v>1.0069444444444444E-3</v>
      </c>
      <c r="I1521" s="118">
        <v>3.4722222222222224E-4</v>
      </c>
      <c r="J1521"/>
      <c r="K1521"/>
    </row>
    <row r="1522" spans="1:11" x14ac:dyDescent="0.25">
      <c r="A1522">
        <v>5</v>
      </c>
      <c r="B1522">
        <v>6</v>
      </c>
      <c r="C1522"/>
      <c r="D1522" t="s">
        <v>31</v>
      </c>
      <c r="E1522" t="s">
        <v>35</v>
      </c>
      <c r="F1522" t="s">
        <v>54</v>
      </c>
      <c r="G1522" s="118">
        <v>0.41976851851851849</v>
      </c>
      <c r="H1522" s="118">
        <v>8.6805555555555551E-4</v>
      </c>
      <c r="I1522" s="118">
        <v>3.4722222222222224E-4</v>
      </c>
      <c r="J1522"/>
      <c r="K1522"/>
    </row>
    <row r="1523" spans="1:11" x14ac:dyDescent="0.25">
      <c r="A1523">
        <v>1</v>
      </c>
      <c r="B1523">
        <v>5</v>
      </c>
      <c r="C1523"/>
      <c r="D1523" t="s">
        <v>31</v>
      </c>
      <c r="E1523" t="s">
        <v>35</v>
      </c>
      <c r="F1523" t="s">
        <v>50</v>
      </c>
      <c r="G1523" s="118">
        <v>0.42002314814814817</v>
      </c>
      <c r="H1523" s="118">
        <v>1.1458333333333333E-3</v>
      </c>
      <c r="I1523" s="118">
        <v>3.4722222222222224E-4</v>
      </c>
      <c r="J1523"/>
      <c r="K1523"/>
    </row>
    <row r="1524" spans="1:11" x14ac:dyDescent="0.25">
      <c r="A1524">
        <v>2</v>
      </c>
      <c r="B1524">
        <v>6</v>
      </c>
      <c r="C1524"/>
      <c r="D1524" t="s">
        <v>31</v>
      </c>
      <c r="E1524" t="s">
        <v>32</v>
      </c>
      <c r="F1524" t="s">
        <v>44</v>
      </c>
      <c r="G1524" s="118">
        <v>0.42004629629629631</v>
      </c>
      <c r="H1524" s="118">
        <v>3.4722222222222224E-4</v>
      </c>
      <c r="I1524" s="118">
        <v>9.2592592592592585E-4</v>
      </c>
      <c r="J1524" s="118">
        <v>7.0717592592592594E-3</v>
      </c>
      <c r="K1524" s="118">
        <v>7.0717592592592594E-3</v>
      </c>
    </row>
    <row r="1525" spans="1:11" x14ac:dyDescent="0.25">
      <c r="A1525">
        <v>5</v>
      </c>
      <c r="B1525">
        <v>6</v>
      </c>
      <c r="C1525"/>
      <c r="D1525" t="s">
        <v>31</v>
      </c>
      <c r="E1525" t="s">
        <v>32</v>
      </c>
      <c r="F1525" t="s">
        <v>54</v>
      </c>
      <c r="G1525" s="118">
        <v>0.42011574074074076</v>
      </c>
      <c r="H1525" s="118">
        <v>3.4722222222222224E-4</v>
      </c>
      <c r="I1525" s="118">
        <v>6.9444444444444447E-4</v>
      </c>
      <c r="J1525" s="118">
        <v>7.0717592592592594E-3</v>
      </c>
      <c r="K1525" s="118">
        <v>7.0717592592592594E-3</v>
      </c>
    </row>
    <row r="1526" spans="1:11" x14ac:dyDescent="0.25">
      <c r="A1526">
        <v>4</v>
      </c>
      <c r="B1526">
        <v>6</v>
      </c>
      <c r="C1526"/>
      <c r="D1526" t="s">
        <v>31</v>
      </c>
      <c r="E1526" t="s">
        <v>35</v>
      </c>
      <c r="F1526" t="s">
        <v>38</v>
      </c>
      <c r="G1526" s="118">
        <v>0.42032407407407407</v>
      </c>
      <c r="H1526" s="118">
        <v>9.1435185185185185E-4</v>
      </c>
      <c r="I1526" s="118">
        <v>3.4722222222222224E-4</v>
      </c>
      <c r="J1526"/>
      <c r="K1526"/>
    </row>
    <row r="1527" spans="1:11" x14ac:dyDescent="0.25">
      <c r="A1527">
        <v>1</v>
      </c>
      <c r="B1527">
        <v>5</v>
      </c>
      <c r="C1527"/>
      <c r="D1527" t="s">
        <v>31</v>
      </c>
      <c r="E1527" t="s">
        <v>32</v>
      </c>
      <c r="F1527" t="s">
        <v>50</v>
      </c>
      <c r="G1527" s="118">
        <v>0.42037037037037034</v>
      </c>
      <c r="H1527" s="118">
        <v>3.4722222222222224E-4</v>
      </c>
      <c r="I1527" s="118">
        <v>1.261574074074074E-3</v>
      </c>
      <c r="J1527" s="118">
        <v>7.0717592592592594E-3</v>
      </c>
      <c r="K1527" s="118">
        <v>7.0717592592592594E-3</v>
      </c>
    </row>
    <row r="1528" spans="1:11" x14ac:dyDescent="0.25">
      <c r="A1528">
        <v>4</v>
      </c>
      <c r="B1528">
        <v>6</v>
      </c>
      <c r="C1528"/>
      <c r="D1528" t="s">
        <v>31</v>
      </c>
      <c r="E1528" t="s">
        <v>32</v>
      </c>
      <c r="F1528" t="s">
        <v>38</v>
      </c>
      <c r="G1528" s="118">
        <v>0.42067129629629635</v>
      </c>
      <c r="H1528" s="118">
        <v>3.4722222222222224E-4</v>
      </c>
      <c r="I1528" s="118">
        <v>1.2384259259259258E-3</v>
      </c>
      <c r="J1528" s="118">
        <v>7.0717592592592594E-3</v>
      </c>
      <c r="K1528" s="118">
        <v>7.0717592592592594E-3</v>
      </c>
    </row>
    <row r="1529" spans="1:11" x14ac:dyDescent="0.25">
      <c r="A1529">
        <v>5</v>
      </c>
      <c r="B1529">
        <v>6</v>
      </c>
      <c r="C1529"/>
      <c r="D1529" t="s">
        <v>31</v>
      </c>
      <c r="E1529" t="s">
        <v>35</v>
      </c>
      <c r="F1529" t="s">
        <v>92</v>
      </c>
      <c r="G1529" s="118">
        <v>0.42081018518518515</v>
      </c>
      <c r="H1529" s="118">
        <v>6.9444444444444447E-4</v>
      </c>
      <c r="I1529" s="118">
        <v>5.2083333333333333E-4</v>
      </c>
      <c r="J1529"/>
      <c r="K1529"/>
    </row>
    <row r="1530" spans="1:11" x14ac:dyDescent="0.25">
      <c r="A1530">
        <v>2</v>
      </c>
      <c r="B1530">
        <v>6</v>
      </c>
      <c r="C1530"/>
      <c r="D1530" t="s">
        <v>31</v>
      </c>
      <c r="E1530" t="s">
        <v>35</v>
      </c>
      <c r="F1530" t="s">
        <v>49</v>
      </c>
      <c r="G1530" s="118">
        <v>0.42097222222222225</v>
      </c>
      <c r="H1530" s="118">
        <v>9.2592592592592585E-4</v>
      </c>
      <c r="I1530" s="118">
        <v>3.4722222222222224E-4</v>
      </c>
      <c r="J1530"/>
      <c r="K1530"/>
    </row>
    <row r="1531" spans="1:11" x14ac:dyDescent="0.25">
      <c r="A1531">
        <v>3</v>
      </c>
      <c r="B1531">
        <v>6</v>
      </c>
      <c r="C1531"/>
      <c r="D1531" t="s">
        <v>31</v>
      </c>
      <c r="E1531" t="s">
        <v>35</v>
      </c>
      <c r="F1531" t="s">
        <v>46</v>
      </c>
      <c r="G1531" s="118">
        <v>0.42123842592592592</v>
      </c>
      <c r="H1531" s="118">
        <v>1.8055555555555557E-3</v>
      </c>
      <c r="I1531" s="118">
        <v>3.4722222222222224E-4</v>
      </c>
      <c r="J1531"/>
      <c r="K1531"/>
    </row>
    <row r="1532" spans="1:11" x14ac:dyDescent="0.25">
      <c r="A1532">
        <v>2</v>
      </c>
      <c r="B1532">
        <v>6</v>
      </c>
      <c r="C1532"/>
      <c r="D1532" t="s">
        <v>31</v>
      </c>
      <c r="E1532" t="s">
        <v>32</v>
      </c>
      <c r="F1532" t="s">
        <v>49</v>
      </c>
      <c r="G1532" s="118">
        <v>0.42131944444444441</v>
      </c>
      <c r="H1532" s="118">
        <v>3.4722222222222224E-4</v>
      </c>
      <c r="I1532" s="118">
        <v>1.3541666666666667E-3</v>
      </c>
      <c r="J1532" s="118">
        <v>7.0717592592592594E-3</v>
      </c>
      <c r="K1532" s="118">
        <v>7.0717592592592594E-3</v>
      </c>
    </row>
    <row r="1533" spans="1:11" x14ac:dyDescent="0.25">
      <c r="A1533">
        <v>5</v>
      </c>
      <c r="B1533">
        <v>7</v>
      </c>
      <c r="C1533"/>
      <c r="D1533" t="s">
        <v>31</v>
      </c>
      <c r="E1533" t="s">
        <v>32</v>
      </c>
      <c r="F1533" t="s">
        <v>92</v>
      </c>
      <c r="G1533" s="118">
        <v>0.42133101851851856</v>
      </c>
      <c r="H1533" s="118">
        <v>5.2083333333333333E-4</v>
      </c>
      <c r="I1533" s="118">
        <v>1.0069444444444444E-3</v>
      </c>
      <c r="J1533" s="118">
        <v>7.0717592592592594E-3</v>
      </c>
      <c r="K1533" s="118">
        <v>7.0717592592592594E-3</v>
      </c>
    </row>
    <row r="1534" spans="1:11" x14ac:dyDescent="0.25">
      <c r="A1534">
        <v>3</v>
      </c>
      <c r="B1534">
        <v>6</v>
      </c>
      <c r="C1534"/>
      <c r="D1534" t="s">
        <v>31</v>
      </c>
      <c r="E1534" t="s">
        <v>32</v>
      </c>
      <c r="F1534" t="s">
        <v>46</v>
      </c>
      <c r="G1534" s="118">
        <v>0.42158564814814814</v>
      </c>
      <c r="H1534" s="118">
        <v>3.4722222222222224E-4</v>
      </c>
      <c r="I1534" s="118">
        <v>9.1435185185185185E-4</v>
      </c>
      <c r="J1534" s="118">
        <v>7.0717592592592594E-3</v>
      </c>
      <c r="K1534" s="118">
        <v>7.0717592592592594E-3</v>
      </c>
    </row>
    <row r="1535" spans="1:11" x14ac:dyDescent="0.25">
      <c r="A1535">
        <v>1</v>
      </c>
      <c r="B1535">
        <v>5</v>
      </c>
      <c r="C1535"/>
      <c r="D1535" t="s">
        <v>31</v>
      </c>
      <c r="E1535" t="s">
        <v>35</v>
      </c>
      <c r="F1535" t="s">
        <v>56</v>
      </c>
      <c r="G1535" s="118">
        <v>0.42163194444444446</v>
      </c>
      <c r="H1535" s="118">
        <v>1.261574074074074E-3</v>
      </c>
      <c r="I1535" s="118">
        <v>3.4722222222222224E-4</v>
      </c>
      <c r="J1535"/>
      <c r="K1535"/>
    </row>
    <row r="1536" spans="1:11" x14ac:dyDescent="0.25">
      <c r="A1536">
        <v>4</v>
      </c>
      <c r="B1536">
        <v>6</v>
      </c>
      <c r="C1536"/>
      <c r="D1536" t="s">
        <v>31</v>
      </c>
      <c r="E1536" t="s">
        <v>35</v>
      </c>
      <c r="F1536" t="s">
        <v>45</v>
      </c>
      <c r="G1536" s="118">
        <v>0.42190972222222217</v>
      </c>
      <c r="H1536" s="118">
        <v>1.2384259259259258E-3</v>
      </c>
      <c r="I1536" s="118">
        <v>3.4722222222222224E-4</v>
      </c>
      <c r="J1536"/>
      <c r="K1536"/>
    </row>
    <row r="1537" spans="1:11" x14ac:dyDescent="0.25">
      <c r="A1537">
        <v>1</v>
      </c>
      <c r="B1537">
        <v>5</v>
      </c>
      <c r="C1537"/>
      <c r="D1537" t="s">
        <v>31</v>
      </c>
      <c r="E1537" t="s">
        <v>32</v>
      </c>
      <c r="F1537" t="s">
        <v>56</v>
      </c>
      <c r="G1537" s="118">
        <v>0.42197916666666663</v>
      </c>
      <c r="H1537" s="118">
        <v>3.4722222222222224E-4</v>
      </c>
      <c r="I1537" s="118">
        <v>9.6064814814814808E-4</v>
      </c>
      <c r="J1537" s="118">
        <v>7.0717592592592594E-3</v>
      </c>
      <c r="K1537" s="118">
        <v>7.0717592592592594E-3</v>
      </c>
    </row>
    <row r="1538" spans="1:11" x14ac:dyDescent="0.25">
      <c r="A1538">
        <v>4</v>
      </c>
      <c r="B1538">
        <v>6</v>
      </c>
      <c r="C1538"/>
      <c r="D1538" t="s">
        <v>31</v>
      </c>
      <c r="E1538" t="s">
        <v>32</v>
      </c>
      <c r="F1538" t="s">
        <v>45</v>
      </c>
      <c r="G1538" s="118">
        <v>0.42225694444444445</v>
      </c>
      <c r="H1538" s="118">
        <v>3.4722222222222224E-4</v>
      </c>
      <c r="I1538" s="118">
        <v>1.0416666666666667E-3</v>
      </c>
      <c r="J1538" s="118">
        <v>7.0717592592592594E-3</v>
      </c>
      <c r="K1538" s="118">
        <v>7.0717592592592594E-3</v>
      </c>
    </row>
    <row r="1539" spans="1:11" x14ac:dyDescent="0.25">
      <c r="A1539">
        <v>5</v>
      </c>
      <c r="B1539">
        <v>7</v>
      </c>
      <c r="C1539"/>
      <c r="D1539" t="s">
        <v>31</v>
      </c>
      <c r="E1539" t="s">
        <v>35</v>
      </c>
      <c r="F1539" t="s">
        <v>41</v>
      </c>
      <c r="G1539" s="118">
        <v>0.42233796296296294</v>
      </c>
      <c r="H1539" s="118">
        <v>1.0069444444444444E-3</v>
      </c>
      <c r="I1539" s="118">
        <v>3.4722222222222224E-4</v>
      </c>
      <c r="J1539"/>
      <c r="K1539"/>
    </row>
    <row r="1540" spans="1:11" x14ac:dyDescent="0.25">
      <c r="A1540">
        <v>3</v>
      </c>
      <c r="B1540">
        <v>6</v>
      </c>
      <c r="C1540"/>
      <c r="D1540" t="s">
        <v>31</v>
      </c>
      <c r="E1540" t="s">
        <v>35</v>
      </c>
      <c r="F1540" t="s">
        <v>51</v>
      </c>
      <c r="G1540" s="118">
        <v>0.42250000000000004</v>
      </c>
      <c r="H1540" s="118">
        <v>9.1435185185185185E-4</v>
      </c>
      <c r="I1540" s="118">
        <v>3.4722222222222224E-4</v>
      </c>
      <c r="J1540"/>
      <c r="K1540"/>
    </row>
    <row r="1541" spans="1:11" x14ac:dyDescent="0.25">
      <c r="A1541">
        <v>2</v>
      </c>
      <c r="B1541">
        <v>6</v>
      </c>
      <c r="C1541"/>
      <c r="D1541" t="s">
        <v>31</v>
      </c>
      <c r="E1541" t="s">
        <v>35</v>
      </c>
      <c r="F1541" t="s">
        <v>33</v>
      </c>
      <c r="G1541" s="118">
        <v>0.42267361111111112</v>
      </c>
      <c r="H1541" s="118">
        <v>1.3541666666666667E-3</v>
      </c>
      <c r="I1541" s="118">
        <v>5.2083333333333333E-4</v>
      </c>
      <c r="J1541"/>
      <c r="K1541"/>
    </row>
    <row r="1542" spans="1:11" x14ac:dyDescent="0.25">
      <c r="A1542">
        <v>5</v>
      </c>
      <c r="B1542">
        <v>7</v>
      </c>
      <c r="C1542"/>
      <c r="D1542" t="s">
        <v>31</v>
      </c>
      <c r="E1542" t="s">
        <v>32</v>
      </c>
      <c r="F1542" t="s">
        <v>41</v>
      </c>
      <c r="G1542" s="118">
        <v>0.42268518518518516</v>
      </c>
      <c r="H1542" s="118">
        <v>3.4722222222222224E-4</v>
      </c>
      <c r="I1542" s="118">
        <v>8.564814814814815E-4</v>
      </c>
      <c r="J1542" s="118">
        <v>7.0717592592592594E-3</v>
      </c>
      <c r="K1542" s="118">
        <v>7.0717592592592594E-3</v>
      </c>
    </row>
    <row r="1543" spans="1:11" x14ac:dyDescent="0.25">
      <c r="A1543">
        <v>3</v>
      </c>
      <c r="B1543">
        <v>6</v>
      </c>
      <c r="C1543"/>
      <c r="D1543" t="s">
        <v>31</v>
      </c>
      <c r="E1543" t="s">
        <v>32</v>
      </c>
      <c r="F1543" t="s">
        <v>51</v>
      </c>
      <c r="G1543" s="118">
        <v>0.42284722222222221</v>
      </c>
      <c r="H1543" s="118">
        <v>3.4722222222222224E-4</v>
      </c>
      <c r="I1543" s="118">
        <v>1.0069444444444444E-3</v>
      </c>
      <c r="J1543" s="118">
        <v>7.0717592592592594E-3</v>
      </c>
      <c r="K1543" s="118">
        <v>7.0717592592592594E-3</v>
      </c>
    </row>
    <row r="1544" spans="1:11" x14ac:dyDescent="0.25">
      <c r="A1544">
        <v>1</v>
      </c>
      <c r="B1544">
        <v>5</v>
      </c>
      <c r="C1544"/>
      <c r="D1544" t="s">
        <v>31</v>
      </c>
      <c r="E1544" t="s">
        <v>35</v>
      </c>
      <c r="F1544" t="s">
        <v>37</v>
      </c>
      <c r="G1544" s="118">
        <v>0.42293981481481485</v>
      </c>
      <c r="H1544" s="118">
        <v>9.6064814814814808E-4</v>
      </c>
      <c r="I1544" s="118">
        <v>3.4722222222222224E-4</v>
      </c>
      <c r="J1544"/>
      <c r="K1544"/>
    </row>
    <row r="1545" spans="1:11" x14ac:dyDescent="0.25">
      <c r="A1545">
        <v>2</v>
      </c>
      <c r="B1545">
        <v>6</v>
      </c>
      <c r="C1545"/>
      <c r="D1545" t="s">
        <v>31</v>
      </c>
      <c r="E1545" t="s">
        <v>32</v>
      </c>
      <c r="F1545" t="s">
        <v>33</v>
      </c>
      <c r="G1545" s="118">
        <v>0.42319444444444443</v>
      </c>
      <c r="H1545" s="118">
        <v>5.2083333333333333E-4</v>
      </c>
      <c r="I1545" s="118">
        <v>9.6064814814814808E-4</v>
      </c>
      <c r="J1545" s="118">
        <v>7.0717592592592594E-3</v>
      </c>
      <c r="K1545" s="118">
        <v>7.0717592592592594E-3</v>
      </c>
    </row>
    <row r="1546" spans="1:11" x14ac:dyDescent="0.25">
      <c r="A1546">
        <v>1</v>
      </c>
      <c r="B1546">
        <v>5</v>
      </c>
      <c r="C1546"/>
      <c r="D1546" t="s">
        <v>31</v>
      </c>
      <c r="E1546" t="s">
        <v>32</v>
      </c>
      <c r="F1546" t="s">
        <v>37</v>
      </c>
      <c r="G1546" s="118">
        <v>0.42328703703703702</v>
      </c>
      <c r="H1546" s="118">
        <v>3.4722222222222224E-4</v>
      </c>
      <c r="I1546" s="118">
        <v>9.0277777777777784E-4</v>
      </c>
      <c r="J1546" s="118">
        <v>7.0717592592592594E-3</v>
      </c>
      <c r="K1546" s="118">
        <v>7.0717592592592594E-3</v>
      </c>
    </row>
    <row r="1547" spans="1:11" x14ac:dyDescent="0.25">
      <c r="A1547">
        <v>4</v>
      </c>
      <c r="B1547">
        <v>6</v>
      </c>
      <c r="C1547"/>
      <c r="D1547" t="s">
        <v>31</v>
      </c>
      <c r="E1547" t="s">
        <v>35</v>
      </c>
      <c r="F1547" t="s">
        <v>52</v>
      </c>
      <c r="G1547" s="118">
        <v>0.42329861111111117</v>
      </c>
      <c r="H1547" s="118">
        <v>1.0416666666666667E-3</v>
      </c>
      <c r="I1547" s="118">
        <v>3.4722222222222224E-4</v>
      </c>
      <c r="J1547"/>
      <c r="K1547"/>
    </row>
    <row r="1548" spans="1:11" x14ac:dyDescent="0.25">
      <c r="A1548">
        <v>5</v>
      </c>
      <c r="B1548">
        <v>7</v>
      </c>
      <c r="C1548"/>
      <c r="D1548" t="s">
        <v>31</v>
      </c>
      <c r="E1548" t="s">
        <v>35</v>
      </c>
      <c r="F1548" t="s">
        <v>47</v>
      </c>
      <c r="G1548" s="118">
        <v>0.42354166666666665</v>
      </c>
      <c r="H1548" s="118">
        <v>8.564814814814815E-4</v>
      </c>
      <c r="I1548" s="118">
        <v>5.2083333333333333E-4</v>
      </c>
      <c r="J1548"/>
      <c r="K1548"/>
    </row>
    <row r="1549" spans="1:11" x14ac:dyDescent="0.25">
      <c r="A1549">
        <v>4</v>
      </c>
      <c r="B1549">
        <v>6</v>
      </c>
      <c r="C1549"/>
      <c r="D1549" t="s">
        <v>31</v>
      </c>
      <c r="E1549" t="s">
        <v>32</v>
      </c>
      <c r="F1549" t="s">
        <v>52</v>
      </c>
      <c r="G1549" s="118">
        <v>0.42364583333333333</v>
      </c>
      <c r="H1549" s="118">
        <v>3.4722222222222224E-4</v>
      </c>
      <c r="I1549" s="118">
        <v>1.0532407407407407E-3</v>
      </c>
      <c r="J1549" s="118">
        <v>7.0717592592592594E-3</v>
      </c>
      <c r="K1549" s="118">
        <v>7.0717592592592594E-3</v>
      </c>
    </row>
    <row r="1550" spans="1:11" x14ac:dyDescent="0.25">
      <c r="A1550">
        <v>3</v>
      </c>
      <c r="B1550">
        <v>6</v>
      </c>
      <c r="C1550"/>
      <c r="D1550" t="s">
        <v>31</v>
      </c>
      <c r="E1550" t="s">
        <v>35</v>
      </c>
      <c r="F1550" t="s">
        <v>55</v>
      </c>
      <c r="G1550" s="118">
        <v>0.42385416666666664</v>
      </c>
      <c r="H1550" s="118">
        <v>1.0069444444444444E-3</v>
      </c>
      <c r="I1550" s="118">
        <v>4.6296296296296293E-4</v>
      </c>
      <c r="J1550"/>
      <c r="K1550"/>
    </row>
    <row r="1551" spans="1:11" x14ac:dyDescent="0.25">
      <c r="A1551">
        <v>5</v>
      </c>
      <c r="B1551">
        <v>7</v>
      </c>
      <c r="C1551"/>
      <c r="D1551" t="s">
        <v>31</v>
      </c>
      <c r="E1551" t="s">
        <v>32</v>
      </c>
      <c r="F1551" t="s">
        <v>47</v>
      </c>
      <c r="G1551" s="118">
        <v>0.42406250000000001</v>
      </c>
      <c r="H1551" s="118">
        <v>5.2083333333333333E-4</v>
      </c>
      <c r="I1551" s="118">
        <v>8.7962962962962962E-4</v>
      </c>
      <c r="J1551" s="118">
        <v>7.0717592592592594E-3</v>
      </c>
      <c r="K1551" s="118">
        <v>7.0717592592592594E-3</v>
      </c>
    </row>
    <row r="1552" spans="1:11" x14ac:dyDescent="0.25">
      <c r="A1552">
        <v>2</v>
      </c>
      <c r="B1552">
        <v>6</v>
      </c>
      <c r="C1552"/>
      <c r="D1552" t="s">
        <v>31</v>
      </c>
      <c r="E1552" t="s">
        <v>35</v>
      </c>
      <c r="F1552" t="s">
        <v>36</v>
      </c>
      <c r="G1552" s="118">
        <v>0.4241550925925926</v>
      </c>
      <c r="H1552" s="118">
        <v>9.6064814814814808E-4</v>
      </c>
      <c r="I1552" s="118">
        <v>3.4722222222222224E-4</v>
      </c>
      <c r="J1552"/>
      <c r="K1552"/>
    </row>
    <row r="1553" spans="1:11" x14ac:dyDescent="0.25">
      <c r="A1553">
        <v>1</v>
      </c>
      <c r="B1553">
        <v>5</v>
      </c>
      <c r="C1553"/>
      <c r="D1553" t="s">
        <v>31</v>
      </c>
      <c r="E1553" t="s">
        <v>35</v>
      </c>
      <c r="F1553" t="s">
        <v>42</v>
      </c>
      <c r="G1553" s="118">
        <v>0.42418981481481483</v>
      </c>
      <c r="H1553" s="118">
        <v>9.0277777777777784E-4</v>
      </c>
      <c r="I1553" s="118">
        <v>3.4722222222222224E-4</v>
      </c>
      <c r="J1553"/>
      <c r="K1553"/>
    </row>
    <row r="1554" spans="1:11" x14ac:dyDescent="0.25">
      <c r="A1554">
        <v>3</v>
      </c>
      <c r="B1554">
        <v>6</v>
      </c>
      <c r="C1554"/>
      <c r="D1554" t="s">
        <v>31</v>
      </c>
      <c r="E1554" t="s">
        <v>32</v>
      </c>
      <c r="F1554" t="s">
        <v>55</v>
      </c>
      <c r="G1554" s="118">
        <v>0.42431712962962959</v>
      </c>
      <c r="H1554" s="118">
        <v>4.6296296296296293E-4</v>
      </c>
      <c r="I1554" s="118">
        <v>4.3981481481481481E-4</v>
      </c>
      <c r="J1554" s="118">
        <v>7.0717592592592594E-3</v>
      </c>
      <c r="K1554" s="118">
        <v>7.0717592592592594E-3</v>
      </c>
    </row>
    <row r="1555" spans="1:11" x14ac:dyDescent="0.25">
      <c r="A1555">
        <v>2</v>
      </c>
      <c r="B1555">
        <v>6</v>
      </c>
      <c r="C1555"/>
      <c r="D1555" t="s">
        <v>31</v>
      </c>
      <c r="E1555" t="s">
        <v>32</v>
      </c>
      <c r="F1555" t="s">
        <v>36</v>
      </c>
      <c r="G1555" s="118">
        <v>0.42450231481481482</v>
      </c>
      <c r="H1555" s="118">
        <v>3.4722222222222224E-4</v>
      </c>
      <c r="I1555" s="118">
        <v>1.0995370370370371E-3</v>
      </c>
      <c r="J1555" s="118">
        <v>7.0717592592592594E-3</v>
      </c>
      <c r="K1555" s="118">
        <v>7.0717592592592594E-3</v>
      </c>
    </row>
    <row r="1556" spans="1:11" x14ac:dyDescent="0.25">
      <c r="A1556">
        <v>1</v>
      </c>
      <c r="B1556">
        <v>5</v>
      </c>
      <c r="C1556"/>
      <c r="D1556" t="s">
        <v>31</v>
      </c>
      <c r="E1556" t="s">
        <v>32</v>
      </c>
      <c r="F1556" t="s">
        <v>42</v>
      </c>
      <c r="G1556" s="118">
        <v>0.42453703703703699</v>
      </c>
      <c r="H1556" s="118">
        <v>3.4722222222222224E-4</v>
      </c>
      <c r="I1556" s="118">
        <v>9.1435185185185185E-4</v>
      </c>
      <c r="J1556" s="118">
        <v>7.0717592592592594E-3</v>
      </c>
      <c r="K1556" s="118">
        <v>7.0717592592592594E-3</v>
      </c>
    </row>
    <row r="1557" spans="1:11" x14ac:dyDescent="0.25">
      <c r="A1557">
        <v>4</v>
      </c>
      <c r="B1557">
        <v>6</v>
      </c>
      <c r="C1557"/>
      <c r="D1557" t="s">
        <v>31</v>
      </c>
      <c r="E1557" t="s">
        <v>35</v>
      </c>
      <c r="F1557" t="s">
        <v>57</v>
      </c>
      <c r="G1557" s="118">
        <v>0.42469907407407409</v>
      </c>
      <c r="H1557" s="118">
        <v>1.0532407407407407E-3</v>
      </c>
      <c r="I1557" s="118">
        <v>3.4722222222222224E-4</v>
      </c>
      <c r="J1557"/>
      <c r="K1557"/>
    </row>
    <row r="1558" spans="1:11" x14ac:dyDescent="0.25">
      <c r="A1558">
        <v>3</v>
      </c>
      <c r="B1558">
        <v>6</v>
      </c>
      <c r="C1558"/>
      <c r="D1558" t="s">
        <v>31</v>
      </c>
      <c r="E1558" t="s">
        <v>35</v>
      </c>
      <c r="F1558" t="s">
        <v>58</v>
      </c>
      <c r="G1558" s="118">
        <v>0.4247569444444444</v>
      </c>
      <c r="H1558" s="118">
        <v>4.3981481481481481E-4</v>
      </c>
      <c r="I1558" s="118">
        <v>5.7870370370370366E-5</v>
      </c>
      <c r="J1558"/>
      <c r="K1558"/>
    </row>
    <row r="1559" spans="1:11" x14ac:dyDescent="0.25">
      <c r="A1559">
        <v>3</v>
      </c>
      <c r="B1559">
        <v>6</v>
      </c>
      <c r="C1559"/>
      <c r="D1559" t="s">
        <v>31</v>
      </c>
      <c r="E1559" t="s">
        <v>32</v>
      </c>
      <c r="F1559" t="s">
        <v>58</v>
      </c>
      <c r="G1559" s="118">
        <v>0.42481481481481481</v>
      </c>
      <c r="H1559" s="118">
        <v>5.7870370370370366E-5</v>
      </c>
      <c r="I1559" s="118">
        <v>4.8611111111111104E-4</v>
      </c>
      <c r="J1559" s="118">
        <v>7.0717592592592594E-3</v>
      </c>
      <c r="K1559" s="118">
        <v>7.0717592592592594E-3</v>
      </c>
    </row>
    <row r="1560" spans="1:11" x14ac:dyDescent="0.25">
      <c r="A1560">
        <v>5</v>
      </c>
      <c r="B1560">
        <v>7</v>
      </c>
      <c r="C1560"/>
      <c r="D1560" t="s">
        <v>31</v>
      </c>
      <c r="E1560" t="s">
        <v>35</v>
      </c>
      <c r="F1560" t="s">
        <v>53</v>
      </c>
      <c r="G1560" s="118">
        <v>0.42494212962962963</v>
      </c>
      <c r="H1560" s="118">
        <v>8.7962962962962962E-4</v>
      </c>
      <c r="I1560" s="118">
        <v>3.4722222222222224E-4</v>
      </c>
      <c r="J1560"/>
      <c r="K1560"/>
    </row>
    <row r="1561" spans="1:11" x14ac:dyDescent="0.25">
      <c r="A1561">
        <v>4</v>
      </c>
      <c r="B1561">
        <v>6</v>
      </c>
      <c r="C1561"/>
      <c r="D1561" t="s">
        <v>31</v>
      </c>
      <c r="E1561" t="s">
        <v>32</v>
      </c>
      <c r="F1561" t="s">
        <v>57</v>
      </c>
      <c r="G1561" s="118">
        <v>0.42504629629629626</v>
      </c>
      <c r="H1561" s="118">
        <v>3.4722222222222224E-4</v>
      </c>
      <c r="I1561" s="118">
        <v>9.3750000000000007E-4</v>
      </c>
      <c r="J1561" s="118">
        <v>7.0717592592592594E-3</v>
      </c>
      <c r="K1561" s="118">
        <v>7.0717592592592594E-3</v>
      </c>
    </row>
    <row r="1562" spans="1:11" x14ac:dyDescent="0.25">
      <c r="A1562">
        <v>5</v>
      </c>
      <c r="B1562">
        <v>7</v>
      </c>
      <c r="C1562"/>
      <c r="D1562" t="s">
        <v>31</v>
      </c>
      <c r="E1562" t="s">
        <v>32</v>
      </c>
      <c r="F1562" t="s">
        <v>53</v>
      </c>
      <c r="G1562" s="118">
        <v>0.42528935185185185</v>
      </c>
      <c r="H1562" s="118">
        <v>3.4722222222222224E-4</v>
      </c>
      <c r="I1562" s="118">
        <v>8.449074074074075E-4</v>
      </c>
      <c r="J1562" s="118">
        <v>7.0717592592592594E-3</v>
      </c>
      <c r="K1562" s="118">
        <v>7.0717592592592594E-3</v>
      </c>
    </row>
    <row r="1563" spans="1:11" x14ac:dyDescent="0.25">
      <c r="A1563">
        <v>3</v>
      </c>
      <c r="B1563">
        <v>6</v>
      </c>
      <c r="C1563"/>
      <c r="D1563" t="s">
        <v>31</v>
      </c>
      <c r="E1563" t="s">
        <v>35</v>
      </c>
      <c r="F1563" t="s">
        <v>40</v>
      </c>
      <c r="G1563" s="118">
        <v>0.42530092592592594</v>
      </c>
      <c r="H1563" s="118">
        <v>4.8611111111111104E-4</v>
      </c>
      <c r="I1563" s="118">
        <v>4.6296296296296293E-4</v>
      </c>
      <c r="J1563"/>
      <c r="K1563"/>
    </row>
    <row r="1564" spans="1:11" x14ac:dyDescent="0.25">
      <c r="A1564">
        <v>1</v>
      </c>
      <c r="B1564">
        <v>5</v>
      </c>
      <c r="C1564"/>
      <c r="D1564" t="s">
        <v>31</v>
      </c>
      <c r="E1564" t="s">
        <v>35</v>
      </c>
      <c r="F1564" t="s">
        <v>48</v>
      </c>
      <c r="G1564" s="118">
        <v>0.42545138888888889</v>
      </c>
      <c r="H1564" s="118">
        <v>9.1435185185185185E-4</v>
      </c>
      <c r="I1564" s="118">
        <v>5.2083333333333333E-4</v>
      </c>
      <c r="J1564"/>
      <c r="K1564"/>
    </row>
    <row r="1565" spans="1:11" x14ac:dyDescent="0.25">
      <c r="A1565">
        <v>2</v>
      </c>
      <c r="B1565">
        <v>6</v>
      </c>
      <c r="C1565"/>
      <c r="D1565" t="s">
        <v>31</v>
      </c>
      <c r="E1565" t="s">
        <v>35</v>
      </c>
      <c r="F1565" t="s">
        <v>43</v>
      </c>
      <c r="G1565" s="118">
        <v>0.42560185185185184</v>
      </c>
      <c r="H1565" s="118">
        <v>1.0995370370370371E-3</v>
      </c>
      <c r="I1565" s="118">
        <v>3.4722222222222224E-4</v>
      </c>
      <c r="J1565"/>
      <c r="K1565"/>
    </row>
    <row r="1566" spans="1:11" x14ac:dyDescent="0.25">
      <c r="A1566">
        <v>3</v>
      </c>
      <c r="B1566">
        <v>6</v>
      </c>
      <c r="C1566"/>
      <c r="D1566" t="s">
        <v>31</v>
      </c>
      <c r="E1566" t="s">
        <v>32</v>
      </c>
      <c r="F1566" t="s">
        <v>40</v>
      </c>
      <c r="G1566" s="118">
        <v>0.42576388888888889</v>
      </c>
      <c r="H1566" s="118">
        <v>4.6296296296296293E-4</v>
      </c>
      <c r="I1566" s="118">
        <v>1.0069444444444444E-3</v>
      </c>
      <c r="J1566" s="118">
        <v>7.0717592592592594E-3</v>
      </c>
      <c r="K1566" s="118">
        <v>7.0717592592592594E-3</v>
      </c>
    </row>
    <row r="1567" spans="1:11" x14ac:dyDescent="0.25">
      <c r="A1567">
        <v>2</v>
      </c>
      <c r="B1567">
        <v>6</v>
      </c>
      <c r="C1567"/>
      <c r="D1567" t="s">
        <v>31</v>
      </c>
      <c r="E1567" t="s">
        <v>32</v>
      </c>
      <c r="F1567" t="s">
        <v>43</v>
      </c>
      <c r="G1567" s="118">
        <v>0.42594907407407406</v>
      </c>
      <c r="H1567" s="118">
        <v>3.4722222222222224E-4</v>
      </c>
      <c r="I1567" s="118">
        <v>1.1458333333333333E-3</v>
      </c>
      <c r="J1567" s="118">
        <v>7.0717592592592594E-3</v>
      </c>
      <c r="K1567" s="118">
        <v>7.0717592592592594E-3</v>
      </c>
    </row>
    <row r="1568" spans="1:11" x14ac:dyDescent="0.25">
      <c r="A1568">
        <v>1</v>
      </c>
      <c r="B1568">
        <v>5</v>
      </c>
      <c r="C1568"/>
      <c r="D1568" t="s">
        <v>31</v>
      </c>
      <c r="E1568" t="s">
        <v>32</v>
      </c>
      <c r="F1568" t="s">
        <v>48</v>
      </c>
      <c r="G1568" s="118">
        <v>0.4259722222222222</v>
      </c>
      <c r="H1568" s="118">
        <v>5.2083333333333333E-4</v>
      </c>
      <c r="I1568" s="118">
        <v>8.6805555555555551E-4</v>
      </c>
      <c r="J1568" s="118">
        <v>7.0717592592592594E-3</v>
      </c>
      <c r="K1568" s="118">
        <v>7.0717592592592594E-3</v>
      </c>
    </row>
    <row r="1569" spans="1:11" x14ac:dyDescent="0.25">
      <c r="A1569">
        <v>4</v>
      </c>
      <c r="B1569">
        <v>6</v>
      </c>
      <c r="C1569"/>
      <c r="D1569" t="s">
        <v>31</v>
      </c>
      <c r="E1569" t="s">
        <v>35</v>
      </c>
      <c r="F1569" t="s">
        <v>39</v>
      </c>
      <c r="G1569" s="118">
        <v>0.42598379629629629</v>
      </c>
      <c r="H1569" s="118">
        <v>9.3750000000000007E-4</v>
      </c>
      <c r="I1569" s="118">
        <v>5.2083333333333333E-4</v>
      </c>
      <c r="J1569"/>
      <c r="K1569"/>
    </row>
    <row r="1570" spans="1:11" x14ac:dyDescent="0.25">
      <c r="A1570">
        <v>5</v>
      </c>
      <c r="B1570">
        <v>7</v>
      </c>
      <c r="C1570"/>
      <c r="D1570" t="s">
        <v>31</v>
      </c>
      <c r="E1570" t="s">
        <v>35</v>
      </c>
      <c r="F1570" t="s">
        <v>34</v>
      </c>
      <c r="G1570" s="118">
        <v>0.42613425925925924</v>
      </c>
      <c r="H1570" s="118">
        <v>8.449074074074075E-4</v>
      </c>
      <c r="I1570" s="118">
        <v>3.4722222222222224E-4</v>
      </c>
      <c r="J1570"/>
      <c r="K1570"/>
    </row>
    <row r="1571" spans="1:11" x14ac:dyDescent="0.25">
      <c r="A1571">
        <v>5</v>
      </c>
      <c r="B1571">
        <v>7</v>
      </c>
      <c r="C1571"/>
      <c r="D1571" t="s">
        <v>31</v>
      </c>
      <c r="E1571" t="s">
        <v>32</v>
      </c>
      <c r="F1571" t="s">
        <v>34</v>
      </c>
      <c r="G1571" s="118">
        <v>0.42648148148148146</v>
      </c>
      <c r="H1571" s="118">
        <v>3.4722222222222224E-4</v>
      </c>
      <c r="I1571" s="118">
        <v>9.1435185185185185E-4</v>
      </c>
      <c r="J1571" s="118">
        <v>7.0717592592592594E-3</v>
      </c>
      <c r="K1571" s="118">
        <v>7.0717592592592594E-3</v>
      </c>
    </row>
    <row r="1572" spans="1:11" x14ac:dyDescent="0.25">
      <c r="A1572">
        <v>4</v>
      </c>
      <c r="B1572">
        <v>6</v>
      </c>
      <c r="C1572"/>
      <c r="D1572" t="s">
        <v>31</v>
      </c>
      <c r="E1572" t="s">
        <v>32</v>
      </c>
      <c r="F1572" t="s">
        <v>39</v>
      </c>
      <c r="G1572" s="118">
        <v>0.42650462962962959</v>
      </c>
      <c r="H1572" s="118">
        <v>5.2083333333333333E-4</v>
      </c>
      <c r="I1572" s="118">
        <v>1.8055555555555557E-3</v>
      </c>
      <c r="J1572" s="118">
        <v>7.0717592592592594E-3</v>
      </c>
      <c r="K1572" s="118">
        <v>7.0717592592592594E-3</v>
      </c>
    </row>
    <row r="1573" spans="1:11" x14ac:dyDescent="0.25">
      <c r="A1573">
        <v>3</v>
      </c>
      <c r="B1573">
        <v>6</v>
      </c>
      <c r="C1573"/>
      <c r="D1573" t="s">
        <v>31</v>
      </c>
      <c r="E1573" t="s">
        <v>35</v>
      </c>
      <c r="F1573" t="s">
        <v>44</v>
      </c>
      <c r="G1573" s="118">
        <v>0.42677083333333332</v>
      </c>
      <c r="H1573" s="118">
        <v>1.0069444444444444E-3</v>
      </c>
      <c r="I1573" s="118">
        <v>3.4722222222222224E-4</v>
      </c>
      <c r="J1573"/>
      <c r="K1573"/>
    </row>
    <row r="1574" spans="1:11" x14ac:dyDescent="0.25">
      <c r="A1574">
        <v>1</v>
      </c>
      <c r="B1574">
        <v>5</v>
      </c>
      <c r="C1574"/>
      <c r="D1574" t="s">
        <v>31</v>
      </c>
      <c r="E1574" t="s">
        <v>35</v>
      </c>
      <c r="F1574" t="s">
        <v>54</v>
      </c>
      <c r="G1574" s="118">
        <v>0.42684027777777778</v>
      </c>
      <c r="H1574" s="118">
        <v>8.6805555555555551E-4</v>
      </c>
      <c r="I1574" s="118">
        <v>3.4722222222222224E-4</v>
      </c>
      <c r="J1574"/>
      <c r="K1574"/>
    </row>
    <row r="1575" spans="1:11" x14ac:dyDescent="0.25">
      <c r="A1575">
        <v>2</v>
      </c>
      <c r="B1575">
        <v>6</v>
      </c>
      <c r="C1575"/>
      <c r="D1575" t="s">
        <v>31</v>
      </c>
      <c r="E1575" t="s">
        <v>35</v>
      </c>
      <c r="F1575" t="s">
        <v>50</v>
      </c>
      <c r="G1575" s="118">
        <v>0.42709490740740735</v>
      </c>
      <c r="H1575" s="118">
        <v>1.1458333333333333E-3</v>
      </c>
      <c r="I1575" s="118">
        <v>3.4722222222222224E-4</v>
      </c>
      <c r="J1575"/>
      <c r="K1575"/>
    </row>
    <row r="1576" spans="1:11" x14ac:dyDescent="0.25">
      <c r="A1576">
        <v>3</v>
      </c>
      <c r="B1576">
        <v>6</v>
      </c>
      <c r="C1576"/>
      <c r="D1576" t="s">
        <v>31</v>
      </c>
      <c r="E1576" t="s">
        <v>32</v>
      </c>
      <c r="F1576" t="s">
        <v>44</v>
      </c>
      <c r="G1576" s="118">
        <v>0.42711805555555554</v>
      </c>
      <c r="H1576" s="118">
        <v>3.4722222222222224E-4</v>
      </c>
      <c r="I1576" s="118">
        <v>9.2592592592592585E-4</v>
      </c>
      <c r="J1576" s="118">
        <v>7.0717592592592594E-3</v>
      </c>
      <c r="K1576" s="118">
        <v>7.0717592592592594E-3</v>
      </c>
    </row>
    <row r="1577" spans="1:11" x14ac:dyDescent="0.25">
      <c r="A1577">
        <v>1</v>
      </c>
      <c r="B1577">
        <v>5</v>
      </c>
      <c r="C1577"/>
      <c r="D1577" t="s">
        <v>31</v>
      </c>
      <c r="E1577" t="s">
        <v>32</v>
      </c>
      <c r="F1577" t="s">
        <v>54</v>
      </c>
      <c r="G1577" s="118">
        <v>0.4271875</v>
      </c>
      <c r="H1577" s="118">
        <v>3.4722222222222224E-4</v>
      </c>
      <c r="I1577" s="118">
        <v>6.9444444444444447E-4</v>
      </c>
      <c r="J1577" s="118">
        <v>7.0717592592592594E-3</v>
      </c>
      <c r="K1577" s="118">
        <v>7.0717592592592594E-3</v>
      </c>
    </row>
    <row r="1578" spans="1:11" x14ac:dyDescent="0.25">
      <c r="A1578">
        <v>5</v>
      </c>
      <c r="B1578">
        <v>7</v>
      </c>
      <c r="C1578"/>
      <c r="D1578" t="s">
        <v>31</v>
      </c>
      <c r="E1578" t="s">
        <v>35</v>
      </c>
      <c r="F1578" t="s">
        <v>38</v>
      </c>
      <c r="G1578" s="118">
        <v>0.42739583333333336</v>
      </c>
      <c r="H1578" s="118">
        <v>9.1435185185185185E-4</v>
      </c>
      <c r="I1578" s="118">
        <v>3.4722222222222224E-4</v>
      </c>
      <c r="J1578"/>
      <c r="K1578"/>
    </row>
    <row r="1579" spans="1:11" x14ac:dyDescent="0.25">
      <c r="A1579">
        <v>2</v>
      </c>
      <c r="B1579">
        <v>6</v>
      </c>
      <c r="C1579"/>
      <c r="D1579" t="s">
        <v>31</v>
      </c>
      <c r="E1579" t="s">
        <v>32</v>
      </c>
      <c r="F1579" t="s">
        <v>50</v>
      </c>
      <c r="G1579" s="118">
        <v>0.42744212962962963</v>
      </c>
      <c r="H1579" s="118">
        <v>3.4722222222222224E-4</v>
      </c>
      <c r="I1579" s="118">
        <v>1.261574074074074E-3</v>
      </c>
      <c r="J1579" s="118">
        <v>7.0717592592592594E-3</v>
      </c>
      <c r="K1579" s="118">
        <v>7.0717592592592594E-3</v>
      </c>
    </row>
    <row r="1580" spans="1:11" x14ac:dyDescent="0.25">
      <c r="A1580">
        <v>5</v>
      </c>
      <c r="B1580">
        <v>7</v>
      </c>
      <c r="C1580"/>
      <c r="D1580" t="s">
        <v>31</v>
      </c>
      <c r="E1580" t="s">
        <v>32</v>
      </c>
      <c r="F1580" t="s">
        <v>38</v>
      </c>
      <c r="G1580" s="118">
        <v>0.42774305555555553</v>
      </c>
      <c r="H1580" s="118">
        <v>3.4722222222222224E-4</v>
      </c>
      <c r="I1580" s="118">
        <v>1.2384259259259258E-3</v>
      </c>
      <c r="J1580" s="118">
        <v>7.0717592592592594E-3</v>
      </c>
      <c r="K1580" s="118">
        <v>7.0717592592592594E-3</v>
      </c>
    </row>
    <row r="1581" spans="1:11" x14ac:dyDescent="0.25">
      <c r="A1581">
        <v>1</v>
      </c>
      <c r="B1581">
        <v>5</v>
      </c>
      <c r="C1581"/>
      <c r="D1581" t="s">
        <v>31</v>
      </c>
      <c r="E1581" t="s">
        <v>35</v>
      </c>
      <c r="F1581" t="s">
        <v>92</v>
      </c>
      <c r="G1581" s="118">
        <v>0.42788194444444444</v>
      </c>
      <c r="H1581" s="118">
        <v>6.9444444444444447E-4</v>
      </c>
      <c r="I1581" s="118">
        <v>5.2083333333333333E-4</v>
      </c>
      <c r="J1581"/>
      <c r="K1581"/>
    </row>
    <row r="1582" spans="1:11" x14ac:dyDescent="0.25">
      <c r="A1582">
        <v>3</v>
      </c>
      <c r="B1582">
        <v>6</v>
      </c>
      <c r="C1582"/>
      <c r="D1582" t="s">
        <v>31</v>
      </c>
      <c r="E1582" t="s">
        <v>35</v>
      </c>
      <c r="F1582" t="s">
        <v>49</v>
      </c>
      <c r="G1582" s="118">
        <v>0.42804398148148143</v>
      </c>
      <c r="H1582" s="118">
        <v>9.2592592592592585E-4</v>
      </c>
      <c r="I1582" s="118">
        <v>3.4722222222222224E-4</v>
      </c>
      <c r="J1582"/>
      <c r="K1582"/>
    </row>
    <row r="1583" spans="1:11" x14ac:dyDescent="0.25">
      <c r="A1583">
        <v>4</v>
      </c>
      <c r="B1583">
        <v>6</v>
      </c>
      <c r="C1583"/>
      <c r="D1583" t="s">
        <v>31</v>
      </c>
      <c r="E1583" t="s">
        <v>35</v>
      </c>
      <c r="F1583" t="s">
        <v>46</v>
      </c>
      <c r="G1583" s="118">
        <v>0.42831018518518515</v>
      </c>
      <c r="H1583" s="118">
        <v>1.8055555555555557E-3</v>
      </c>
      <c r="I1583" s="118">
        <v>3.4722222222222224E-4</v>
      </c>
      <c r="J1583"/>
      <c r="K1583"/>
    </row>
    <row r="1584" spans="1:11" x14ac:dyDescent="0.25">
      <c r="A1584">
        <v>3</v>
      </c>
      <c r="B1584">
        <v>6</v>
      </c>
      <c r="C1584"/>
      <c r="D1584" t="s">
        <v>31</v>
      </c>
      <c r="E1584" t="s">
        <v>32</v>
      </c>
      <c r="F1584" t="s">
        <v>49</v>
      </c>
      <c r="G1584" s="118">
        <v>0.4283912037037037</v>
      </c>
      <c r="H1584" s="118">
        <v>3.4722222222222224E-4</v>
      </c>
      <c r="I1584" s="118">
        <v>1.3541666666666667E-3</v>
      </c>
      <c r="J1584" s="118">
        <v>7.0717592592592594E-3</v>
      </c>
      <c r="K1584" s="118">
        <v>7.0717592592592594E-3</v>
      </c>
    </row>
    <row r="1585" spans="1:11" x14ac:dyDescent="0.25">
      <c r="A1585">
        <v>1</v>
      </c>
      <c r="B1585">
        <v>6</v>
      </c>
      <c r="C1585"/>
      <c r="D1585" t="s">
        <v>31</v>
      </c>
      <c r="E1585" t="s">
        <v>32</v>
      </c>
      <c r="F1585" t="s">
        <v>92</v>
      </c>
      <c r="G1585" s="118">
        <v>0.42840277777777774</v>
      </c>
      <c r="H1585" s="118">
        <v>5.2083333333333333E-4</v>
      </c>
      <c r="I1585" s="118">
        <v>1.0069444444444444E-3</v>
      </c>
      <c r="J1585" s="118">
        <v>7.0717592592592594E-3</v>
      </c>
      <c r="K1585" s="118">
        <v>7.0717592592592594E-3</v>
      </c>
    </row>
    <row r="1586" spans="1:11" x14ac:dyDescent="0.25">
      <c r="A1586">
        <v>4</v>
      </c>
      <c r="B1586">
        <v>6</v>
      </c>
      <c r="C1586"/>
      <c r="D1586" t="s">
        <v>31</v>
      </c>
      <c r="E1586" t="s">
        <v>32</v>
      </c>
      <c r="F1586" t="s">
        <v>46</v>
      </c>
      <c r="G1586" s="118">
        <v>0.42865740740740743</v>
      </c>
      <c r="H1586" s="118">
        <v>3.4722222222222224E-4</v>
      </c>
      <c r="I1586" s="118">
        <v>9.1435185185185185E-4</v>
      </c>
      <c r="J1586" s="118">
        <v>7.0717592592592594E-3</v>
      </c>
      <c r="K1586" s="118">
        <v>7.0717592592592594E-3</v>
      </c>
    </row>
    <row r="1587" spans="1:11" x14ac:dyDescent="0.25">
      <c r="A1587">
        <v>2</v>
      </c>
      <c r="B1587">
        <v>6</v>
      </c>
      <c r="C1587"/>
      <c r="D1587" t="s">
        <v>31</v>
      </c>
      <c r="E1587" t="s">
        <v>35</v>
      </c>
      <c r="F1587" t="s">
        <v>56</v>
      </c>
      <c r="G1587" s="118">
        <v>0.42870370370370375</v>
      </c>
      <c r="H1587" s="118">
        <v>1.261574074074074E-3</v>
      </c>
      <c r="I1587" s="118">
        <v>3.4722222222222224E-4</v>
      </c>
      <c r="J1587"/>
      <c r="K1587"/>
    </row>
    <row r="1588" spans="1:11" x14ac:dyDescent="0.25">
      <c r="A1588">
        <v>5</v>
      </c>
      <c r="B1588">
        <v>7</v>
      </c>
      <c r="C1588"/>
      <c r="D1588" t="s">
        <v>31</v>
      </c>
      <c r="E1588" t="s">
        <v>35</v>
      </c>
      <c r="F1588" t="s">
        <v>45</v>
      </c>
      <c r="G1588" s="118">
        <v>0.42898148148148146</v>
      </c>
      <c r="H1588" s="118">
        <v>1.2384259259259258E-3</v>
      </c>
      <c r="I1588" s="118">
        <v>3.4722222222222224E-4</v>
      </c>
      <c r="J1588"/>
      <c r="K1588"/>
    </row>
    <row r="1589" spans="1:11" x14ac:dyDescent="0.25">
      <c r="A1589">
        <v>2</v>
      </c>
      <c r="B1589">
        <v>6</v>
      </c>
      <c r="C1589"/>
      <c r="D1589" t="s">
        <v>31</v>
      </c>
      <c r="E1589" t="s">
        <v>32</v>
      </c>
      <c r="F1589" t="s">
        <v>56</v>
      </c>
      <c r="G1589" s="118">
        <v>0.42905092592592592</v>
      </c>
      <c r="H1589" s="118">
        <v>3.4722222222222224E-4</v>
      </c>
      <c r="I1589" s="118">
        <v>9.6064814814814808E-4</v>
      </c>
      <c r="J1589" s="118">
        <v>7.0717592592592594E-3</v>
      </c>
      <c r="K1589" s="118">
        <v>7.0717592592592594E-3</v>
      </c>
    </row>
    <row r="1590" spans="1:11" x14ac:dyDescent="0.25">
      <c r="A1590">
        <v>5</v>
      </c>
      <c r="B1590">
        <v>7</v>
      </c>
      <c r="C1590"/>
      <c r="D1590" t="s">
        <v>31</v>
      </c>
      <c r="E1590" t="s">
        <v>32</v>
      </c>
      <c r="F1590" t="s">
        <v>45</v>
      </c>
      <c r="G1590" s="118">
        <v>0.42932870370370368</v>
      </c>
      <c r="H1590" s="118">
        <v>3.4722222222222224E-4</v>
      </c>
      <c r="I1590" s="118">
        <v>1.0416666666666667E-3</v>
      </c>
      <c r="J1590" s="118">
        <v>7.0717592592592594E-3</v>
      </c>
      <c r="K1590" s="118">
        <v>7.0717592592592594E-3</v>
      </c>
    </row>
    <row r="1591" spans="1:11" x14ac:dyDescent="0.25">
      <c r="A1591">
        <v>1</v>
      </c>
      <c r="B1591">
        <v>6</v>
      </c>
      <c r="C1591"/>
      <c r="D1591" t="s">
        <v>31</v>
      </c>
      <c r="E1591" t="s">
        <v>35</v>
      </c>
      <c r="F1591" t="s">
        <v>41</v>
      </c>
      <c r="G1591" s="118">
        <v>0.42940972222222223</v>
      </c>
      <c r="H1591" s="118">
        <v>1.0069444444444444E-3</v>
      </c>
      <c r="I1591" s="118">
        <v>3.4722222222222224E-4</v>
      </c>
      <c r="J1591"/>
      <c r="K1591"/>
    </row>
    <row r="1592" spans="1:11" x14ac:dyDescent="0.25">
      <c r="A1592">
        <v>4</v>
      </c>
      <c r="B1592">
        <v>6</v>
      </c>
      <c r="C1592"/>
      <c r="D1592" t="s">
        <v>31</v>
      </c>
      <c r="E1592" t="s">
        <v>35</v>
      </c>
      <c r="F1592" t="s">
        <v>51</v>
      </c>
      <c r="G1592" s="118">
        <v>0.42957175925925922</v>
      </c>
      <c r="H1592" s="118">
        <v>9.1435185185185185E-4</v>
      </c>
      <c r="I1592" s="118">
        <v>3.4722222222222224E-4</v>
      </c>
      <c r="J1592"/>
      <c r="K1592"/>
    </row>
    <row r="1593" spans="1:11" x14ac:dyDescent="0.25">
      <c r="A1593">
        <v>3</v>
      </c>
      <c r="B1593">
        <v>6</v>
      </c>
      <c r="C1593"/>
      <c r="D1593" t="s">
        <v>31</v>
      </c>
      <c r="E1593" t="s">
        <v>35</v>
      </c>
      <c r="F1593" t="s">
        <v>33</v>
      </c>
      <c r="G1593" s="118">
        <v>0.42974537037037036</v>
      </c>
      <c r="H1593" s="118">
        <v>1.3541666666666667E-3</v>
      </c>
      <c r="I1593" s="118">
        <v>5.2083333333333333E-4</v>
      </c>
      <c r="J1593"/>
      <c r="K1593"/>
    </row>
    <row r="1594" spans="1:11" x14ac:dyDescent="0.25">
      <c r="A1594">
        <v>1</v>
      </c>
      <c r="B1594">
        <v>6</v>
      </c>
      <c r="C1594"/>
      <c r="D1594" t="s">
        <v>31</v>
      </c>
      <c r="E1594" t="s">
        <v>32</v>
      </c>
      <c r="F1594" t="s">
        <v>41</v>
      </c>
      <c r="G1594" s="118">
        <v>0.42975694444444446</v>
      </c>
      <c r="H1594" s="118">
        <v>3.4722222222222224E-4</v>
      </c>
      <c r="I1594" s="118">
        <v>8.564814814814815E-4</v>
      </c>
      <c r="J1594" s="118">
        <v>7.0717592592592594E-3</v>
      </c>
      <c r="K1594" s="118">
        <v>7.0717592592592594E-3</v>
      </c>
    </row>
    <row r="1595" spans="1:11" x14ac:dyDescent="0.25">
      <c r="A1595">
        <v>4</v>
      </c>
      <c r="B1595">
        <v>6</v>
      </c>
      <c r="C1595"/>
      <c r="D1595" t="s">
        <v>31</v>
      </c>
      <c r="E1595" t="s">
        <v>32</v>
      </c>
      <c r="F1595" t="s">
        <v>51</v>
      </c>
      <c r="G1595" s="118">
        <v>0.4299189814814815</v>
      </c>
      <c r="H1595" s="118">
        <v>3.4722222222222224E-4</v>
      </c>
      <c r="I1595" s="118">
        <v>1.0069444444444444E-3</v>
      </c>
      <c r="J1595" s="118">
        <v>7.0717592592592594E-3</v>
      </c>
      <c r="K1595" s="118">
        <v>7.0717592592592594E-3</v>
      </c>
    </row>
    <row r="1596" spans="1:11" x14ac:dyDescent="0.25">
      <c r="A1596">
        <v>2</v>
      </c>
      <c r="B1596">
        <v>6</v>
      </c>
      <c r="C1596"/>
      <c r="D1596" t="s">
        <v>31</v>
      </c>
      <c r="E1596" t="s">
        <v>35</v>
      </c>
      <c r="F1596" t="s">
        <v>37</v>
      </c>
      <c r="G1596" s="118">
        <v>0.43001157407407403</v>
      </c>
      <c r="H1596" s="118">
        <v>9.6064814814814808E-4</v>
      </c>
      <c r="I1596" s="118">
        <v>3.4722222222222224E-4</v>
      </c>
      <c r="J1596"/>
      <c r="K1596"/>
    </row>
    <row r="1597" spans="1:11" x14ac:dyDescent="0.25">
      <c r="A1597">
        <v>3</v>
      </c>
      <c r="B1597">
        <v>6</v>
      </c>
      <c r="C1597"/>
      <c r="D1597" t="s">
        <v>31</v>
      </c>
      <c r="E1597" t="s">
        <v>32</v>
      </c>
      <c r="F1597" t="s">
        <v>33</v>
      </c>
      <c r="G1597" s="118">
        <v>0.43026620370370372</v>
      </c>
      <c r="H1597" s="118">
        <v>5.2083333333333333E-4</v>
      </c>
      <c r="I1597" s="118">
        <v>9.6064814814814808E-4</v>
      </c>
      <c r="J1597" s="118">
        <v>7.0717592592592594E-3</v>
      </c>
      <c r="K1597" s="118">
        <v>7.0717592592592594E-3</v>
      </c>
    </row>
    <row r="1598" spans="1:11" x14ac:dyDescent="0.25">
      <c r="A1598">
        <v>2</v>
      </c>
      <c r="B1598">
        <v>6</v>
      </c>
      <c r="C1598"/>
      <c r="D1598" t="s">
        <v>31</v>
      </c>
      <c r="E1598" t="s">
        <v>32</v>
      </c>
      <c r="F1598" t="s">
        <v>37</v>
      </c>
      <c r="G1598" s="118">
        <v>0.43035879629629631</v>
      </c>
      <c r="H1598" s="118">
        <v>3.4722222222222224E-4</v>
      </c>
      <c r="I1598" s="118">
        <v>9.0277777777777784E-4</v>
      </c>
      <c r="J1598" s="118">
        <v>7.0717592592592594E-3</v>
      </c>
      <c r="K1598" s="118">
        <v>7.0717592592592594E-3</v>
      </c>
    </row>
    <row r="1599" spans="1:11" x14ac:dyDescent="0.25">
      <c r="A1599">
        <v>5</v>
      </c>
      <c r="B1599">
        <v>7</v>
      </c>
      <c r="C1599"/>
      <c r="D1599" t="s">
        <v>31</v>
      </c>
      <c r="E1599" t="s">
        <v>35</v>
      </c>
      <c r="F1599" t="s">
        <v>52</v>
      </c>
      <c r="G1599" s="118">
        <v>0.43037037037037035</v>
      </c>
      <c r="H1599" s="118">
        <v>1.0416666666666667E-3</v>
      </c>
      <c r="I1599" s="118">
        <v>3.4722222222222224E-4</v>
      </c>
      <c r="J1599"/>
      <c r="K1599"/>
    </row>
    <row r="1600" spans="1:11" x14ac:dyDescent="0.25">
      <c r="A1600">
        <v>1</v>
      </c>
      <c r="B1600">
        <v>6</v>
      </c>
      <c r="C1600"/>
      <c r="D1600" t="s">
        <v>31</v>
      </c>
      <c r="E1600" t="s">
        <v>35</v>
      </c>
      <c r="F1600" t="s">
        <v>47</v>
      </c>
      <c r="G1600" s="118">
        <v>0.43061342592592594</v>
      </c>
      <c r="H1600" s="118">
        <v>8.564814814814815E-4</v>
      </c>
      <c r="I1600" s="118">
        <v>5.2083333333333333E-4</v>
      </c>
      <c r="J1600"/>
      <c r="K1600"/>
    </row>
    <row r="1601" spans="1:11" x14ac:dyDescent="0.25">
      <c r="A1601">
        <v>5</v>
      </c>
      <c r="B1601">
        <v>7</v>
      </c>
      <c r="C1601"/>
      <c r="D1601" t="s">
        <v>31</v>
      </c>
      <c r="E1601" t="s">
        <v>32</v>
      </c>
      <c r="F1601" t="s">
        <v>52</v>
      </c>
      <c r="G1601" s="118">
        <v>0.43071759259259257</v>
      </c>
      <c r="H1601" s="118">
        <v>3.4722222222222224E-4</v>
      </c>
      <c r="I1601" s="118">
        <v>1.0532407407407407E-3</v>
      </c>
      <c r="J1601" s="118">
        <v>7.0717592592592594E-3</v>
      </c>
      <c r="K1601" s="118">
        <v>7.0717592592592594E-3</v>
      </c>
    </row>
    <row r="1602" spans="1:11" x14ac:dyDescent="0.25">
      <c r="A1602">
        <v>4</v>
      </c>
      <c r="B1602">
        <v>6</v>
      </c>
      <c r="C1602"/>
      <c r="D1602" t="s">
        <v>31</v>
      </c>
      <c r="E1602" t="s">
        <v>35</v>
      </c>
      <c r="F1602" t="s">
        <v>55</v>
      </c>
      <c r="G1602" s="118">
        <v>0.43092592592592593</v>
      </c>
      <c r="H1602" s="118">
        <v>1.0069444444444444E-3</v>
      </c>
      <c r="I1602" s="118">
        <v>4.6296296296296293E-4</v>
      </c>
      <c r="J1602"/>
      <c r="K1602"/>
    </row>
    <row r="1603" spans="1:11" x14ac:dyDescent="0.25">
      <c r="A1603">
        <v>1</v>
      </c>
      <c r="B1603">
        <v>6</v>
      </c>
      <c r="C1603"/>
      <c r="D1603" t="s">
        <v>31</v>
      </c>
      <c r="E1603" t="s">
        <v>32</v>
      </c>
      <c r="F1603" t="s">
        <v>47</v>
      </c>
      <c r="G1603" s="118">
        <v>0.43113425925925924</v>
      </c>
      <c r="H1603" s="118">
        <v>5.2083333333333333E-4</v>
      </c>
      <c r="I1603" s="118">
        <v>8.7962962962962962E-4</v>
      </c>
      <c r="J1603" s="118">
        <v>7.0717592592592594E-3</v>
      </c>
      <c r="K1603" s="118">
        <v>7.0717592592592594E-3</v>
      </c>
    </row>
    <row r="1604" spans="1:11" x14ac:dyDescent="0.25">
      <c r="A1604">
        <v>3</v>
      </c>
      <c r="B1604">
        <v>6</v>
      </c>
      <c r="C1604"/>
      <c r="D1604" t="s">
        <v>31</v>
      </c>
      <c r="E1604" t="s">
        <v>35</v>
      </c>
      <c r="F1604" t="s">
        <v>36</v>
      </c>
      <c r="G1604" s="118">
        <v>0.43122685185185183</v>
      </c>
      <c r="H1604" s="118">
        <v>9.6064814814814808E-4</v>
      </c>
      <c r="I1604" s="118">
        <v>3.4722222222222224E-4</v>
      </c>
      <c r="J1604"/>
      <c r="K1604"/>
    </row>
    <row r="1605" spans="1:11" x14ac:dyDescent="0.25">
      <c r="A1605">
        <v>2</v>
      </c>
      <c r="B1605">
        <v>6</v>
      </c>
      <c r="C1605"/>
      <c r="D1605" t="s">
        <v>31</v>
      </c>
      <c r="E1605" t="s">
        <v>35</v>
      </c>
      <c r="F1605" t="s">
        <v>42</v>
      </c>
      <c r="G1605" s="118">
        <v>0.43126157407407412</v>
      </c>
      <c r="H1605" s="118">
        <v>9.0277777777777784E-4</v>
      </c>
      <c r="I1605" s="118">
        <v>3.4722222222222224E-4</v>
      </c>
      <c r="J1605"/>
      <c r="K1605"/>
    </row>
    <row r="1606" spans="1:11" x14ac:dyDescent="0.25">
      <c r="A1606">
        <v>4</v>
      </c>
      <c r="B1606">
        <v>6</v>
      </c>
      <c r="C1606"/>
      <c r="D1606" t="s">
        <v>31</v>
      </c>
      <c r="E1606" t="s">
        <v>32</v>
      </c>
      <c r="F1606" t="s">
        <v>55</v>
      </c>
      <c r="G1606" s="118">
        <v>0.43138888888888888</v>
      </c>
      <c r="H1606" s="118">
        <v>4.6296296296296293E-4</v>
      </c>
      <c r="I1606" s="118">
        <v>4.3981481481481481E-4</v>
      </c>
      <c r="J1606" s="118">
        <v>7.0717592592592594E-3</v>
      </c>
      <c r="K1606" s="118">
        <v>7.0717592592592594E-3</v>
      </c>
    </row>
    <row r="1607" spans="1:11" x14ac:dyDescent="0.25">
      <c r="A1607">
        <v>3</v>
      </c>
      <c r="B1607">
        <v>6</v>
      </c>
      <c r="C1607"/>
      <c r="D1607" t="s">
        <v>31</v>
      </c>
      <c r="E1607" t="s">
        <v>32</v>
      </c>
      <c r="F1607" t="s">
        <v>36</v>
      </c>
      <c r="G1607" s="118">
        <v>0.43157407407407405</v>
      </c>
      <c r="H1607" s="118">
        <v>3.4722222222222224E-4</v>
      </c>
      <c r="I1607" s="118">
        <v>1.0995370370370371E-3</v>
      </c>
      <c r="J1607" s="118">
        <v>7.0717592592592594E-3</v>
      </c>
      <c r="K1607" s="118">
        <v>7.0717592592592594E-3</v>
      </c>
    </row>
    <row r="1608" spans="1:11" x14ac:dyDescent="0.25">
      <c r="A1608">
        <v>2</v>
      </c>
      <c r="B1608">
        <v>6</v>
      </c>
      <c r="C1608"/>
      <c r="D1608" t="s">
        <v>31</v>
      </c>
      <c r="E1608" t="s">
        <v>32</v>
      </c>
      <c r="F1608" t="s">
        <v>42</v>
      </c>
      <c r="G1608" s="118">
        <v>0.43160879629629628</v>
      </c>
      <c r="H1608" s="118">
        <v>3.4722222222222224E-4</v>
      </c>
      <c r="I1608" s="118">
        <v>9.1435185185185185E-4</v>
      </c>
      <c r="J1608" s="118">
        <v>7.0717592592592594E-3</v>
      </c>
      <c r="K1608" s="118">
        <v>7.0717592592592594E-3</v>
      </c>
    </row>
    <row r="1609" spans="1:11" x14ac:dyDescent="0.25">
      <c r="A1609">
        <v>5</v>
      </c>
      <c r="B1609">
        <v>7</v>
      </c>
      <c r="C1609"/>
      <c r="D1609" t="s">
        <v>31</v>
      </c>
      <c r="E1609" t="s">
        <v>35</v>
      </c>
      <c r="F1609" t="s">
        <v>57</v>
      </c>
      <c r="G1609" s="118">
        <v>0.43177083333333338</v>
      </c>
      <c r="H1609" s="118">
        <v>1.0532407407407407E-3</v>
      </c>
      <c r="I1609" s="118">
        <v>3.4722222222222224E-4</v>
      </c>
      <c r="J1609"/>
      <c r="K1609"/>
    </row>
    <row r="1610" spans="1:11" x14ac:dyDescent="0.25">
      <c r="A1610">
        <v>4</v>
      </c>
      <c r="B1610">
        <v>6</v>
      </c>
      <c r="C1610"/>
      <c r="D1610" t="s">
        <v>31</v>
      </c>
      <c r="E1610" t="s">
        <v>35</v>
      </c>
      <c r="F1610" t="s">
        <v>58</v>
      </c>
      <c r="G1610" s="118">
        <v>0.43182870370370369</v>
      </c>
      <c r="H1610" s="118">
        <v>4.3981481481481481E-4</v>
      </c>
      <c r="I1610" s="118">
        <v>5.7870370370370366E-5</v>
      </c>
      <c r="J1610"/>
      <c r="K1610"/>
    </row>
    <row r="1611" spans="1:11" x14ac:dyDescent="0.25">
      <c r="A1611">
        <v>4</v>
      </c>
      <c r="B1611">
        <v>6</v>
      </c>
      <c r="C1611"/>
      <c r="D1611" t="s">
        <v>31</v>
      </c>
      <c r="E1611" t="s">
        <v>32</v>
      </c>
      <c r="F1611" t="s">
        <v>58</v>
      </c>
      <c r="G1611" s="118">
        <v>0.43188657407407405</v>
      </c>
      <c r="H1611" s="118">
        <v>5.7870370370370366E-5</v>
      </c>
      <c r="I1611" s="118">
        <v>4.8611111111111104E-4</v>
      </c>
      <c r="J1611" s="118">
        <v>7.0717592592592594E-3</v>
      </c>
      <c r="K1611" s="118">
        <v>7.0717592592592594E-3</v>
      </c>
    </row>
    <row r="1612" spans="1:11" x14ac:dyDescent="0.25">
      <c r="A1612">
        <v>1</v>
      </c>
      <c r="B1612">
        <v>6</v>
      </c>
      <c r="C1612"/>
      <c r="D1612" t="s">
        <v>31</v>
      </c>
      <c r="E1612" t="s">
        <v>35</v>
      </c>
      <c r="F1612" t="s">
        <v>53</v>
      </c>
      <c r="G1612" s="118">
        <v>0.43201388888888892</v>
      </c>
      <c r="H1612" s="118">
        <v>8.7962962962962962E-4</v>
      </c>
      <c r="I1612" s="118">
        <v>3.4722222222222224E-4</v>
      </c>
      <c r="J1612"/>
      <c r="K1612"/>
    </row>
    <row r="1613" spans="1:11" x14ac:dyDescent="0.25">
      <c r="A1613">
        <v>5</v>
      </c>
      <c r="B1613">
        <v>7</v>
      </c>
      <c r="C1613"/>
      <c r="D1613" t="s">
        <v>31</v>
      </c>
      <c r="E1613" t="s">
        <v>32</v>
      </c>
      <c r="F1613" t="s">
        <v>57</v>
      </c>
      <c r="G1613" s="118">
        <v>0.43211805555555555</v>
      </c>
      <c r="H1613" s="118">
        <v>3.4722222222222224E-4</v>
      </c>
      <c r="I1613" s="118">
        <v>9.3750000000000007E-4</v>
      </c>
      <c r="J1613" s="118">
        <v>7.0717592592592594E-3</v>
      </c>
      <c r="K1613" s="118">
        <v>7.0717592592592594E-3</v>
      </c>
    </row>
    <row r="1614" spans="1:11" x14ac:dyDescent="0.25">
      <c r="A1614">
        <v>1</v>
      </c>
      <c r="B1614">
        <v>6</v>
      </c>
      <c r="C1614"/>
      <c r="D1614" t="s">
        <v>31</v>
      </c>
      <c r="E1614" t="s">
        <v>32</v>
      </c>
      <c r="F1614" t="s">
        <v>53</v>
      </c>
      <c r="G1614" s="118">
        <v>0.43236111111111114</v>
      </c>
      <c r="H1614" s="118">
        <v>3.4722222222222224E-4</v>
      </c>
      <c r="I1614" s="118">
        <v>8.449074074074075E-4</v>
      </c>
      <c r="J1614" s="118">
        <v>7.0717592592592594E-3</v>
      </c>
      <c r="K1614" s="118">
        <v>7.0717592592592594E-3</v>
      </c>
    </row>
    <row r="1615" spans="1:11" x14ac:dyDescent="0.25">
      <c r="A1615">
        <v>4</v>
      </c>
      <c r="B1615">
        <v>6</v>
      </c>
      <c r="C1615"/>
      <c r="D1615" t="s">
        <v>31</v>
      </c>
      <c r="E1615" t="s">
        <v>35</v>
      </c>
      <c r="F1615" t="s">
        <v>40</v>
      </c>
      <c r="G1615" s="118">
        <v>0.43237268518518518</v>
      </c>
      <c r="H1615" s="118">
        <v>4.8611111111111104E-4</v>
      </c>
      <c r="I1615" s="118">
        <v>4.6296296296296293E-4</v>
      </c>
      <c r="J1615"/>
      <c r="K1615"/>
    </row>
    <row r="1616" spans="1:11" x14ac:dyDescent="0.25">
      <c r="A1616">
        <v>2</v>
      </c>
      <c r="B1616">
        <v>6</v>
      </c>
      <c r="C1616"/>
      <c r="D1616" t="s">
        <v>31</v>
      </c>
      <c r="E1616" t="s">
        <v>35</v>
      </c>
      <c r="F1616" t="s">
        <v>48</v>
      </c>
      <c r="G1616" s="118">
        <v>0.43252314814814818</v>
      </c>
      <c r="H1616" s="118">
        <v>9.1435185185185185E-4</v>
      </c>
      <c r="I1616" s="118">
        <v>5.2083333333333333E-4</v>
      </c>
      <c r="J1616"/>
      <c r="K1616"/>
    </row>
    <row r="1617" spans="1:11" x14ac:dyDescent="0.25">
      <c r="A1617">
        <v>3</v>
      </c>
      <c r="B1617">
        <v>6</v>
      </c>
      <c r="C1617"/>
      <c r="D1617" t="s">
        <v>31</v>
      </c>
      <c r="E1617" t="s">
        <v>35</v>
      </c>
      <c r="F1617" t="s">
        <v>43</v>
      </c>
      <c r="G1617" s="118">
        <v>0.43267361111111113</v>
      </c>
      <c r="H1617" s="118">
        <v>1.0995370370370371E-3</v>
      </c>
      <c r="I1617" s="118">
        <v>3.4722222222222224E-4</v>
      </c>
      <c r="J1617"/>
      <c r="K1617"/>
    </row>
    <row r="1618" spans="1:11" x14ac:dyDescent="0.25">
      <c r="A1618">
        <v>4</v>
      </c>
      <c r="B1618">
        <v>6</v>
      </c>
      <c r="C1618"/>
      <c r="D1618" t="s">
        <v>31</v>
      </c>
      <c r="E1618" t="s">
        <v>32</v>
      </c>
      <c r="F1618" t="s">
        <v>40</v>
      </c>
      <c r="G1618" s="118">
        <v>0.43283564814814812</v>
      </c>
      <c r="H1618" s="118">
        <v>4.6296296296296293E-4</v>
      </c>
      <c r="I1618" s="118">
        <v>1.0069444444444444E-3</v>
      </c>
      <c r="J1618" s="118">
        <v>7.0717592592592594E-3</v>
      </c>
      <c r="K1618" s="118">
        <v>7.0717592592592594E-3</v>
      </c>
    </row>
    <row r="1619" spans="1:11" x14ac:dyDescent="0.25">
      <c r="A1619">
        <v>3</v>
      </c>
      <c r="B1619">
        <v>6</v>
      </c>
      <c r="C1619"/>
      <c r="D1619" t="s">
        <v>31</v>
      </c>
      <c r="E1619" t="s">
        <v>32</v>
      </c>
      <c r="F1619" t="s">
        <v>43</v>
      </c>
      <c r="G1619" s="118">
        <v>0.43302083333333335</v>
      </c>
      <c r="H1619" s="118">
        <v>3.4722222222222224E-4</v>
      </c>
      <c r="I1619" s="118">
        <v>1.1458333333333333E-3</v>
      </c>
      <c r="J1619" s="118">
        <v>7.0717592592592594E-3</v>
      </c>
      <c r="K1619" s="118">
        <v>7.0717592592592594E-3</v>
      </c>
    </row>
    <row r="1620" spans="1:11" x14ac:dyDescent="0.25">
      <c r="A1620">
        <v>2</v>
      </c>
      <c r="B1620">
        <v>6</v>
      </c>
      <c r="C1620"/>
      <c r="D1620" t="s">
        <v>31</v>
      </c>
      <c r="E1620" t="s">
        <v>32</v>
      </c>
      <c r="F1620" t="s">
        <v>48</v>
      </c>
      <c r="G1620" s="118">
        <v>0.43304398148148149</v>
      </c>
      <c r="H1620" s="118">
        <v>5.2083333333333333E-4</v>
      </c>
      <c r="I1620" s="118">
        <v>8.6805555555555551E-4</v>
      </c>
      <c r="J1620" s="118">
        <v>7.0717592592592594E-3</v>
      </c>
      <c r="K1620" s="118">
        <v>7.0717592592592594E-3</v>
      </c>
    </row>
    <row r="1621" spans="1:11" x14ac:dyDescent="0.25">
      <c r="A1621">
        <v>5</v>
      </c>
      <c r="B1621">
        <v>7</v>
      </c>
      <c r="C1621"/>
      <c r="D1621" t="s">
        <v>31</v>
      </c>
      <c r="E1621" t="s">
        <v>35</v>
      </c>
      <c r="F1621" t="s">
        <v>39</v>
      </c>
      <c r="G1621" s="118">
        <v>0.43305555555555553</v>
      </c>
      <c r="H1621" s="118">
        <v>9.3750000000000007E-4</v>
      </c>
      <c r="I1621" s="118">
        <v>5.2083333333333333E-4</v>
      </c>
      <c r="J1621"/>
      <c r="K1621"/>
    </row>
    <row r="1622" spans="1:11" x14ac:dyDescent="0.25">
      <c r="A1622">
        <v>1</v>
      </c>
      <c r="B1622">
        <v>6</v>
      </c>
      <c r="C1622"/>
      <c r="D1622" t="s">
        <v>31</v>
      </c>
      <c r="E1622" t="s">
        <v>35</v>
      </c>
      <c r="F1622" t="s">
        <v>34</v>
      </c>
      <c r="G1622" s="118">
        <v>0.43320601851851853</v>
      </c>
      <c r="H1622" s="118">
        <v>8.449074074074075E-4</v>
      </c>
      <c r="I1622" s="118">
        <v>3.4722222222222224E-4</v>
      </c>
      <c r="J1622"/>
      <c r="K1622"/>
    </row>
    <row r="1623" spans="1:11" x14ac:dyDescent="0.25">
      <c r="A1623">
        <v>1</v>
      </c>
      <c r="B1623">
        <v>6</v>
      </c>
      <c r="C1623"/>
      <c r="D1623" t="s">
        <v>31</v>
      </c>
      <c r="E1623" t="s">
        <v>32</v>
      </c>
      <c r="F1623" t="s">
        <v>34</v>
      </c>
      <c r="G1623" s="118">
        <v>0.43355324074074075</v>
      </c>
      <c r="H1623" s="118">
        <v>3.4722222222222224E-4</v>
      </c>
      <c r="I1623" s="118">
        <v>9.1435185185185185E-4</v>
      </c>
      <c r="J1623" s="118">
        <v>7.0717592592592594E-3</v>
      </c>
      <c r="K1623" s="118">
        <v>7.0717592592592594E-3</v>
      </c>
    </row>
    <row r="1624" spans="1:11" x14ac:dyDescent="0.25">
      <c r="A1624">
        <v>5</v>
      </c>
      <c r="B1624">
        <v>7</v>
      </c>
      <c r="C1624"/>
      <c r="D1624" t="s">
        <v>31</v>
      </c>
      <c r="E1624" t="s">
        <v>32</v>
      </c>
      <c r="F1624" t="s">
        <v>39</v>
      </c>
      <c r="G1624" s="118">
        <v>0.43357638888888889</v>
      </c>
      <c r="H1624" s="118">
        <v>5.2083333333333333E-4</v>
      </c>
      <c r="I1624" s="118">
        <v>1.8055555555555557E-3</v>
      </c>
      <c r="J1624" s="118">
        <v>7.0717592592592594E-3</v>
      </c>
      <c r="K1624" s="118">
        <v>7.0717592592592594E-3</v>
      </c>
    </row>
    <row r="1625" spans="1:11" x14ac:dyDescent="0.25">
      <c r="A1625">
        <v>4</v>
      </c>
      <c r="B1625">
        <v>6</v>
      </c>
      <c r="C1625"/>
      <c r="D1625" t="s">
        <v>31</v>
      </c>
      <c r="E1625" t="s">
        <v>35</v>
      </c>
      <c r="F1625" t="s">
        <v>44</v>
      </c>
      <c r="G1625" s="118">
        <v>0.43384259259259261</v>
      </c>
      <c r="H1625" s="118">
        <v>1.0069444444444444E-3</v>
      </c>
      <c r="I1625" s="118">
        <v>3.4722222222222224E-4</v>
      </c>
      <c r="J1625"/>
      <c r="K1625"/>
    </row>
    <row r="1626" spans="1:11" x14ac:dyDescent="0.25">
      <c r="A1626">
        <v>2</v>
      </c>
      <c r="B1626">
        <v>6</v>
      </c>
      <c r="C1626"/>
      <c r="D1626" t="s">
        <v>31</v>
      </c>
      <c r="E1626" t="s">
        <v>35</v>
      </c>
      <c r="F1626" t="s">
        <v>54</v>
      </c>
      <c r="G1626" s="118">
        <v>0.43391203703703707</v>
      </c>
      <c r="H1626" s="118">
        <v>8.6805555555555551E-4</v>
      </c>
      <c r="I1626" s="118">
        <v>3.4722222222222224E-4</v>
      </c>
      <c r="J1626"/>
      <c r="K1626"/>
    </row>
    <row r="1627" spans="1:11" x14ac:dyDescent="0.25">
      <c r="A1627">
        <v>3</v>
      </c>
      <c r="B1627">
        <v>6</v>
      </c>
      <c r="C1627"/>
      <c r="D1627" t="s">
        <v>31</v>
      </c>
      <c r="E1627" t="s">
        <v>35</v>
      </c>
      <c r="F1627" t="s">
        <v>50</v>
      </c>
      <c r="G1627" s="118">
        <v>0.43416666666666665</v>
      </c>
      <c r="H1627" s="118">
        <v>1.1458333333333333E-3</v>
      </c>
      <c r="I1627" s="118">
        <v>3.4722222222222224E-4</v>
      </c>
      <c r="J1627"/>
      <c r="K1627"/>
    </row>
    <row r="1628" spans="1:11" x14ac:dyDescent="0.25">
      <c r="A1628">
        <v>4</v>
      </c>
      <c r="B1628">
        <v>6</v>
      </c>
      <c r="C1628"/>
      <c r="D1628" t="s">
        <v>31</v>
      </c>
      <c r="E1628" t="s">
        <v>32</v>
      </c>
      <c r="F1628" t="s">
        <v>44</v>
      </c>
      <c r="G1628" s="118">
        <v>0.43418981481481483</v>
      </c>
      <c r="H1628" s="118">
        <v>3.4722222222222224E-4</v>
      </c>
      <c r="I1628" s="118">
        <v>9.2592592592592585E-4</v>
      </c>
      <c r="J1628" s="118">
        <v>7.0717592592592594E-3</v>
      </c>
      <c r="K1628" s="118">
        <v>7.0717592592592594E-3</v>
      </c>
    </row>
    <row r="1629" spans="1:11" x14ac:dyDescent="0.25">
      <c r="A1629">
        <v>2</v>
      </c>
      <c r="B1629">
        <v>6</v>
      </c>
      <c r="C1629"/>
      <c r="D1629" t="s">
        <v>31</v>
      </c>
      <c r="E1629" t="s">
        <v>32</v>
      </c>
      <c r="F1629" t="s">
        <v>54</v>
      </c>
      <c r="G1629" s="118">
        <v>0.43425925925925929</v>
      </c>
      <c r="H1629" s="118">
        <v>3.4722222222222224E-4</v>
      </c>
      <c r="I1629" s="118">
        <v>6.9444444444444447E-4</v>
      </c>
      <c r="J1629" s="118">
        <v>7.0717592592592594E-3</v>
      </c>
      <c r="K1629" s="118">
        <v>7.0717592592592594E-3</v>
      </c>
    </row>
    <row r="1630" spans="1:11" x14ac:dyDescent="0.25">
      <c r="A1630">
        <v>1</v>
      </c>
      <c r="B1630">
        <v>6</v>
      </c>
      <c r="C1630"/>
      <c r="D1630" t="s">
        <v>31</v>
      </c>
      <c r="E1630" t="s">
        <v>35</v>
      </c>
      <c r="F1630" t="s">
        <v>38</v>
      </c>
      <c r="G1630" s="118">
        <v>0.43446759259259254</v>
      </c>
      <c r="H1630" s="118">
        <v>9.1435185185185185E-4</v>
      </c>
      <c r="I1630" s="118">
        <v>3.4722222222222224E-4</v>
      </c>
      <c r="J1630"/>
      <c r="K1630"/>
    </row>
    <row r="1631" spans="1:11" x14ac:dyDescent="0.25">
      <c r="A1631">
        <v>3</v>
      </c>
      <c r="B1631">
        <v>6</v>
      </c>
      <c r="C1631"/>
      <c r="D1631" t="s">
        <v>31</v>
      </c>
      <c r="E1631" t="s">
        <v>32</v>
      </c>
      <c r="F1631" t="s">
        <v>50</v>
      </c>
      <c r="G1631" s="118">
        <v>0.43451388888888887</v>
      </c>
      <c r="H1631" s="118">
        <v>3.4722222222222224E-4</v>
      </c>
      <c r="I1631" s="118">
        <v>1.261574074074074E-3</v>
      </c>
      <c r="J1631" s="118">
        <v>7.0717592592592594E-3</v>
      </c>
      <c r="K1631" s="118">
        <v>7.0717592592592594E-3</v>
      </c>
    </row>
    <row r="1632" spans="1:11" x14ac:dyDescent="0.25">
      <c r="A1632">
        <v>1</v>
      </c>
      <c r="B1632">
        <v>6</v>
      </c>
      <c r="C1632"/>
      <c r="D1632" t="s">
        <v>31</v>
      </c>
      <c r="E1632" t="s">
        <v>32</v>
      </c>
      <c r="F1632" t="s">
        <v>38</v>
      </c>
      <c r="G1632" s="118">
        <v>0.43481481481481482</v>
      </c>
      <c r="H1632" s="118">
        <v>3.4722222222222224E-4</v>
      </c>
      <c r="I1632" s="118">
        <v>1.2384259259259258E-3</v>
      </c>
      <c r="J1632" s="118">
        <v>7.0717592592592594E-3</v>
      </c>
      <c r="K1632" s="118">
        <v>7.0717592592592594E-3</v>
      </c>
    </row>
    <row r="1633" spans="1:11" x14ac:dyDescent="0.25">
      <c r="A1633">
        <v>2</v>
      </c>
      <c r="B1633">
        <v>6</v>
      </c>
      <c r="C1633"/>
      <c r="D1633" t="s">
        <v>31</v>
      </c>
      <c r="E1633" t="s">
        <v>35</v>
      </c>
      <c r="F1633" t="s">
        <v>92</v>
      </c>
      <c r="G1633" s="118">
        <v>0.43495370370370368</v>
      </c>
      <c r="H1633" s="118">
        <v>6.9444444444444447E-4</v>
      </c>
      <c r="I1633" s="118">
        <v>5.2083333333333333E-4</v>
      </c>
      <c r="J1633"/>
      <c r="K1633"/>
    </row>
    <row r="1634" spans="1:11" x14ac:dyDescent="0.25">
      <c r="A1634">
        <v>4</v>
      </c>
      <c r="B1634">
        <v>6</v>
      </c>
      <c r="C1634"/>
      <c r="D1634" t="s">
        <v>31</v>
      </c>
      <c r="E1634" t="s">
        <v>35</v>
      </c>
      <c r="F1634" t="s">
        <v>49</v>
      </c>
      <c r="G1634" s="118">
        <v>0.43511574074074072</v>
      </c>
      <c r="H1634" s="118">
        <v>9.2592592592592585E-4</v>
      </c>
      <c r="I1634" s="118">
        <v>3.4722222222222224E-4</v>
      </c>
      <c r="J1634"/>
      <c r="K1634"/>
    </row>
    <row r="1635" spans="1:11" x14ac:dyDescent="0.25">
      <c r="A1635">
        <v>5</v>
      </c>
      <c r="B1635">
        <v>7</v>
      </c>
      <c r="C1635"/>
      <c r="D1635" t="s">
        <v>31</v>
      </c>
      <c r="E1635" t="s">
        <v>35</v>
      </c>
      <c r="F1635" t="s">
        <v>46</v>
      </c>
      <c r="G1635" s="118">
        <v>0.43538194444444445</v>
      </c>
      <c r="H1635" s="118">
        <v>1.8055555555555557E-3</v>
      </c>
      <c r="I1635" s="118">
        <v>3.4722222222222224E-4</v>
      </c>
      <c r="J1635"/>
      <c r="K1635"/>
    </row>
    <row r="1636" spans="1:11" x14ac:dyDescent="0.25">
      <c r="A1636">
        <v>4</v>
      </c>
      <c r="B1636">
        <v>6</v>
      </c>
      <c r="C1636"/>
      <c r="D1636" t="s">
        <v>31</v>
      </c>
      <c r="E1636" t="s">
        <v>32</v>
      </c>
      <c r="F1636" t="s">
        <v>49</v>
      </c>
      <c r="G1636" s="118">
        <v>0.43546296296296294</v>
      </c>
      <c r="H1636" s="118">
        <v>3.4722222222222224E-4</v>
      </c>
      <c r="I1636" s="118">
        <v>1.3541666666666667E-3</v>
      </c>
      <c r="J1636" s="118">
        <v>7.0717592592592594E-3</v>
      </c>
      <c r="K1636" s="118">
        <v>7.0717592592592594E-3</v>
      </c>
    </row>
    <row r="1637" spans="1:11" x14ac:dyDescent="0.25">
      <c r="A1637">
        <v>2</v>
      </c>
      <c r="B1637">
        <v>7</v>
      </c>
      <c r="C1637"/>
      <c r="D1637" t="s">
        <v>31</v>
      </c>
      <c r="E1637" t="s">
        <v>32</v>
      </c>
      <c r="F1637" t="s">
        <v>92</v>
      </c>
      <c r="G1637" s="118">
        <v>0.43547453703703703</v>
      </c>
      <c r="H1637" s="118">
        <v>5.2083333333333333E-4</v>
      </c>
      <c r="I1637" s="118">
        <v>1.0069444444444444E-3</v>
      </c>
      <c r="J1637" s="118">
        <v>7.0717592592592594E-3</v>
      </c>
      <c r="K1637" s="118">
        <v>7.0717592592592594E-3</v>
      </c>
    </row>
    <row r="1638" spans="1:11" x14ac:dyDescent="0.25">
      <c r="A1638">
        <v>5</v>
      </c>
      <c r="B1638">
        <v>7</v>
      </c>
      <c r="C1638"/>
      <c r="D1638" t="s">
        <v>31</v>
      </c>
      <c r="E1638" t="s">
        <v>32</v>
      </c>
      <c r="F1638" t="s">
        <v>46</v>
      </c>
      <c r="G1638" s="118">
        <v>0.43572916666666667</v>
      </c>
      <c r="H1638" s="118">
        <v>3.4722222222222224E-4</v>
      </c>
      <c r="I1638" s="118">
        <v>9.1435185185185185E-4</v>
      </c>
      <c r="J1638" s="118">
        <v>7.0717592592592594E-3</v>
      </c>
      <c r="K1638" s="118">
        <v>7.0717592592592594E-3</v>
      </c>
    </row>
    <row r="1639" spans="1:11" x14ac:dyDescent="0.25">
      <c r="A1639">
        <v>3</v>
      </c>
      <c r="B1639">
        <v>6</v>
      </c>
      <c r="C1639"/>
      <c r="D1639" t="s">
        <v>31</v>
      </c>
      <c r="E1639" t="s">
        <v>35</v>
      </c>
      <c r="F1639" t="s">
        <v>56</v>
      </c>
      <c r="G1639" s="118">
        <v>0.43577546296296293</v>
      </c>
      <c r="H1639" s="118">
        <v>1.261574074074074E-3</v>
      </c>
      <c r="I1639" s="118">
        <v>3.4722222222222224E-4</v>
      </c>
      <c r="J1639"/>
      <c r="K1639"/>
    </row>
    <row r="1640" spans="1:11" x14ac:dyDescent="0.25">
      <c r="A1640">
        <v>1</v>
      </c>
      <c r="B1640">
        <v>6</v>
      </c>
      <c r="C1640"/>
      <c r="D1640" t="s">
        <v>31</v>
      </c>
      <c r="E1640" t="s">
        <v>35</v>
      </c>
      <c r="F1640" t="s">
        <v>45</v>
      </c>
      <c r="G1640" s="118">
        <v>0.43605324074074076</v>
      </c>
      <c r="H1640" s="118">
        <v>1.2384259259259258E-3</v>
      </c>
      <c r="I1640" s="118">
        <v>3.4722222222222224E-4</v>
      </c>
      <c r="J1640"/>
      <c r="K1640"/>
    </row>
    <row r="1641" spans="1:11" x14ac:dyDescent="0.25">
      <c r="A1641">
        <v>3</v>
      </c>
      <c r="B1641">
        <v>6</v>
      </c>
      <c r="C1641"/>
      <c r="D1641" t="s">
        <v>31</v>
      </c>
      <c r="E1641" t="s">
        <v>32</v>
      </c>
      <c r="F1641" t="s">
        <v>56</v>
      </c>
      <c r="G1641" s="118">
        <v>0.43612268518518515</v>
      </c>
      <c r="H1641" s="118">
        <v>3.4722222222222224E-4</v>
      </c>
      <c r="I1641" s="118">
        <v>9.6064814814814808E-4</v>
      </c>
      <c r="J1641" s="118">
        <v>7.0717592592592594E-3</v>
      </c>
      <c r="K1641" s="118">
        <v>7.0717592592592594E-3</v>
      </c>
    </row>
    <row r="1642" spans="1:11" x14ac:dyDescent="0.25">
      <c r="A1642">
        <v>1</v>
      </c>
      <c r="B1642">
        <v>6</v>
      </c>
      <c r="C1642"/>
      <c r="D1642" t="s">
        <v>31</v>
      </c>
      <c r="E1642" t="s">
        <v>32</v>
      </c>
      <c r="F1642" t="s">
        <v>45</v>
      </c>
      <c r="G1642" s="118">
        <v>0.43640046296296298</v>
      </c>
      <c r="H1642" s="118">
        <v>3.4722222222222224E-4</v>
      </c>
      <c r="I1642" s="118">
        <v>1.0416666666666667E-3</v>
      </c>
      <c r="J1642" s="118">
        <v>7.0717592592592594E-3</v>
      </c>
      <c r="K1642" s="118">
        <v>7.0717592592592594E-3</v>
      </c>
    </row>
    <row r="1643" spans="1:11" x14ac:dyDescent="0.25">
      <c r="A1643">
        <v>2</v>
      </c>
      <c r="B1643">
        <v>7</v>
      </c>
      <c r="C1643"/>
      <c r="D1643" t="s">
        <v>31</v>
      </c>
      <c r="E1643" t="s">
        <v>35</v>
      </c>
      <c r="F1643" t="s">
        <v>41</v>
      </c>
      <c r="G1643" s="118">
        <v>0.43648148148148147</v>
      </c>
      <c r="H1643" s="118">
        <v>1.0069444444444444E-3</v>
      </c>
      <c r="I1643" s="118">
        <v>3.4722222222222224E-4</v>
      </c>
      <c r="J1643"/>
      <c r="K1643"/>
    </row>
    <row r="1644" spans="1:11" x14ac:dyDescent="0.25">
      <c r="A1644">
        <v>5</v>
      </c>
      <c r="B1644">
        <v>7</v>
      </c>
      <c r="C1644"/>
      <c r="D1644" t="s">
        <v>31</v>
      </c>
      <c r="E1644" t="s">
        <v>35</v>
      </c>
      <c r="F1644" t="s">
        <v>51</v>
      </c>
      <c r="G1644" s="118">
        <v>0.43664351851851851</v>
      </c>
      <c r="H1644" s="118">
        <v>9.1435185185185185E-4</v>
      </c>
      <c r="I1644" s="118">
        <v>3.4722222222222224E-4</v>
      </c>
      <c r="J1644"/>
      <c r="K1644"/>
    </row>
    <row r="1645" spans="1:11" x14ac:dyDescent="0.25">
      <c r="A1645">
        <v>4</v>
      </c>
      <c r="B1645">
        <v>6</v>
      </c>
      <c r="C1645"/>
      <c r="D1645" t="s">
        <v>31</v>
      </c>
      <c r="E1645" t="s">
        <v>35</v>
      </c>
      <c r="F1645" t="s">
        <v>33</v>
      </c>
      <c r="G1645" s="118">
        <v>0.43681712962962965</v>
      </c>
      <c r="H1645" s="118">
        <v>1.3541666666666667E-3</v>
      </c>
      <c r="I1645" s="118">
        <v>5.2083333333333333E-4</v>
      </c>
      <c r="J1645"/>
      <c r="K1645"/>
    </row>
    <row r="1646" spans="1:11" x14ac:dyDescent="0.25">
      <c r="A1646">
        <v>2</v>
      </c>
      <c r="B1646">
        <v>7</v>
      </c>
      <c r="C1646"/>
      <c r="D1646" t="s">
        <v>31</v>
      </c>
      <c r="E1646" t="s">
        <v>32</v>
      </c>
      <c r="F1646" t="s">
        <v>41</v>
      </c>
      <c r="G1646" s="118">
        <v>0.43682870370370369</v>
      </c>
      <c r="H1646" s="118">
        <v>3.4722222222222224E-4</v>
      </c>
      <c r="I1646" s="118">
        <v>8.564814814814815E-4</v>
      </c>
      <c r="J1646" s="118">
        <v>7.0717592592592594E-3</v>
      </c>
      <c r="K1646" s="118">
        <v>7.0717592592592594E-3</v>
      </c>
    </row>
    <row r="1647" spans="1:11" x14ac:dyDescent="0.25">
      <c r="A1647">
        <v>5</v>
      </c>
      <c r="B1647">
        <v>7</v>
      </c>
      <c r="C1647"/>
      <c r="D1647" t="s">
        <v>31</v>
      </c>
      <c r="E1647" t="s">
        <v>32</v>
      </c>
      <c r="F1647" t="s">
        <v>51</v>
      </c>
      <c r="G1647" s="118">
        <v>0.43699074074074074</v>
      </c>
      <c r="H1647" s="118">
        <v>3.4722222222222224E-4</v>
      </c>
      <c r="I1647" s="118">
        <v>1.0069444444444444E-3</v>
      </c>
      <c r="J1647" s="118">
        <v>7.0717592592592594E-3</v>
      </c>
      <c r="K1647" s="118">
        <v>7.0717592592592594E-3</v>
      </c>
    </row>
    <row r="1648" spans="1:11" x14ac:dyDescent="0.25">
      <c r="A1648">
        <v>3</v>
      </c>
      <c r="B1648">
        <v>6</v>
      </c>
      <c r="C1648"/>
      <c r="D1648" t="s">
        <v>31</v>
      </c>
      <c r="E1648" t="s">
        <v>35</v>
      </c>
      <c r="F1648" t="s">
        <v>37</v>
      </c>
      <c r="G1648" s="118">
        <v>0.43708333333333332</v>
      </c>
      <c r="H1648" s="118">
        <v>9.6064814814814808E-4</v>
      </c>
      <c r="I1648" s="118">
        <v>3.4722222222222224E-4</v>
      </c>
      <c r="J1648"/>
      <c r="K1648"/>
    </row>
    <row r="1649" spans="1:11" x14ac:dyDescent="0.25">
      <c r="A1649">
        <v>4</v>
      </c>
      <c r="B1649">
        <v>6</v>
      </c>
      <c r="C1649"/>
      <c r="D1649" t="s">
        <v>31</v>
      </c>
      <c r="E1649" t="s">
        <v>32</v>
      </c>
      <c r="F1649" t="s">
        <v>33</v>
      </c>
      <c r="G1649" s="118">
        <v>0.43733796296296296</v>
      </c>
      <c r="H1649" s="118">
        <v>5.2083333333333333E-4</v>
      </c>
      <c r="I1649" s="118">
        <v>9.6064814814814808E-4</v>
      </c>
      <c r="J1649" s="118">
        <v>7.0717592592592594E-3</v>
      </c>
      <c r="K1649" s="118">
        <v>7.0717592592592594E-3</v>
      </c>
    </row>
    <row r="1650" spans="1:11" x14ac:dyDescent="0.25">
      <c r="A1650">
        <v>3</v>
      </c>
      <c r="B1650">
        <v>6</v>
      </c>
      <c r="C1650"/>
      <c r="D1650" t="s">
        <v>31</v>
      </c>
      <c r="E1650" t="s">
        <v>32</v>
      </c>
      <c r="F1650" t="s">
        <v>37</v>
      </c>
      <c r="G1650" s="118">
        <v>0.43743055555555554</v>
      </c>
      <c r="H1650" s="118">
        <v>3.4722222222222224E-4</v>
      </c>
      <c r="I1650" s="118">
        <v>9.0277777777777784E-4</v>
      </c>
      <c r="J1650" s="118">
        <v>7.0717592592592594E-3</v>
      </c>
      <c r="K1650" s="118">
        <v>7.0717592592592594E-3</v>
      </c>
    </row>
    <row r="1651" spans="1:11" x14ac:dyDescent="0.25">
      <c r="A1651">
        <v>1</v>
      </c>
      <c r="B1651">
        <v>6</v>
      </c>
      <c r="C1651"/>
      <c r="D1651" t="s">
        <v>31</v>
      </c>
      <c r="E1651" t="s">
        <v>35</v>
      </c>
      <c r="F1651" t="s">
        <v>52</v>
      </c>
      <c r="G1651" s="118">
        <v>0.43744212962962964</v>
      </c>
      <c r="H1651" s="118">
        <v>1.0416666666666667E-3</v>
      </c>
      <c r="I1651" s="118">
        <v>3.4722222222222224E-4</v>
      </c>
      <c r="J1651"/>
      <c r="K1651"/>
    </row>
    <row r="1652" spans="1:11" x14ac:dyDescent="0.25">
      <c r="A1652">
        <v>2</v>
      </c>
      <c r="B1652">
        <v>7</v>
      </c>
      <c r="C1652"/>
      <c r="D1652" t="s">
        <v>31</v>
      </c>
      <c r="E1652" t="s">
        <v>35</v>
      </c>
      <c r="F1652" t="s">
        <v>47</v>
      </c>
      <c r="G1652" s="118">
        <v>0.43768518518518523</v>
      </c>
      <c r="H1652" s="118">
        <v>8.564814814814815E-4</v>
      </c>
      <c r="I1652" s="118">
        <v>5.2083333333333333E-4</v>
      </c>
      <c r="J1652"/>
      <c r="K1652"/>
    </row>
    <row r="1653" spans="1:11" x14ac:dyDescent="0.25">
      <c r="A1653">
        <v>1</v>
      </c>
      <c r="B1653">
        <v>6</v>
      </c>
      <c r="C1653"/>
      <c r="D1653" t="s">
        <v>31</v>
      </c>
      <c r="E1653" t="s">
        <v>32</v>
      </c>
      <c r="F1653" t="s">
        <v>52</v>
      </c>
      <c r="G1653" s="118">
        <v>0.43778935185185186</v>
      </c>
      <c r="H1653" s="118">
        <v>3.4722222222222224E-4</v>
      </c>
      <c r="I1653" s="118">
        <v>1.0532407407407407E-3</v>
      </c>
      <c r="J1653" s="118">
        <v>7.0717592592592594E-3</v>
      </c>
      <c r="K1653" s="118">
        <v>7.0717592592592594E-3</v>
      </c>
    </row>
    <row r="1654" spans="1:11" x14ac:dyDescent="0.25">
      <c r="A1654">
        <v>5</v>
      </c>
      <c r="B1654">
        <v>7</v>
      </c>
      <c r="C1654"/>
      <c r="D1654" t="s">
        <v>31</v>
      </c>
      <c r="E1654" t="s">
        <v>35</v>
      </c>
      <c r="F1654" t="s">
        <v>55</v>
      </c>
      <c r="G1654" s="118">
        <v>0.43799768518518517</v>
      </c>
      <c r="H1654" s="118">
        <v>1.0069444444444444E-3</v>
      </c>
      <c r="I1654" s="118">
        <v>4.6296296296296293E-4</v>
      </c>
      <c r="J1654"/>
      <c r="K1654"/>
    </row>
    <row r="1655" spans="1:11" x14ac:dyDescent="0.25">
      <c r="A1655">
        <v>2</v>
      </c>
      <c r="B1655">
        <v>7</v>
      </c>
      <c r="C1655"/>
      <c r="D1655" t="s">
        <v>31</v>
      </c>
      <c r="E1655" t="s">
        <v>32</v>
      </c>
      <c r="F1655" t="s">
        <v>47</v>
      </c>
      <c r="G1655" s="118">
        <v>0.43820601851851854</v>
      </c>
      <c r="H1655" s="118">
        <v>5.2083333333333333E-4</v>
      </c>
      <c r="I1655" s="118">
        <v>8.7962962962962962E-4</v>
      </c>
      <c r="J1655" s="118">
        <v>7.0717592592592594E-3</v>
      </c>
      <c r="K1655" s="118">
        <v>7.0717592592592594E-3</v>
      </c>
    </row>
    <row r="1656" spans="1:11" x14ac:dyDescent="0.25">
      <c r="A1656">
        <v>4</v>
      </c>
      <c r="B1656">
        <v>6</v>
      </c>
      <c r="C1656"/>
      <c r="D1656" t="s">
        <v>31</v>
      </c>
      <c r="E1656" t="s">
        <v>35</v>
      </c>
      <c r="F1656" t="s">
        <v>36</v>
      </c>
      <c r="G1656" s="118">
        <v>0.43829861111111112</v>
      </c>
      <c r="H1656" s="118">
        <v>9.6064814814814808E-4</v>
      </c>
      <c r="I1656" s="118">
        <v>3.4722222222222224E-4</v>
      </c>
      <c r="J1656"/>
      <c r="K1656"/>
    </row>
    <row r="1657" spans="1:11" x14ac:dyDescent="0.25">
      <c r="A1657">
        <v>3</v>
      </c>
      <c r="B1657">
        <v>6</v>
      </c>
      <c r="C1657"/>
      <c r="D1657" t="s">
        <v>31</v>
      </c>
      <c r="E1657" t="s">
        <v>35</v>
      </c>
      <c r="F1657" t="s">
        <v>42</v>
      </c>
      <c r="G1657" s="118">
        <v>0.4383333333333333</v>
      </c>
      <c r="H1657" s="118">
        <v>9.0277777777777784E-4</v>
      </c>
      <c r="I1657" s="118">
        <v>3.4722222222222224E-4</v>
      </c>
      <c r="J1657"/>
      <c r="K1657"/>
    </row>
    <row r="1658" spans="1:11" x14ac:dyDescent="0.25">
      <c r="A1658">
        <v>5</v>
      </c>
      <c r="B1658">
        <v>7</v>
      </c>
      <c r="C1658"/>
      <c r="D1658" t="s">
        <v>31</v>
      </c>
      <c r="E1658" t="s">
        <v>32</v>
      </c>
      <c r="F1658" t="s">
        <v>55</v>
      </c>
      <c r="G1658" s="118">
        <v>0.43846064814814811</v>
      </c>
      <c r="H1658" s="118">
        <v>4.6296296296296293E-4</v>
      </c>
      <c r="I1658" s="118">
        <v>4.3981481481481481E-4</v>
      </c>
      <c r="J1658" s="118">
        <v>7.0717592592592594E-3</v>
      </c>
      <c r="K1658" s="118">
        <v>7.0717592592592594E-3</v>
      </c>
    </row>
    <row r="1659" spans="1:11" x14ac:dyDescent="0.25">
      <c r="A1659">
        <v>4</v>
      </c>
      <c r="B1659">
        <v>6</v>
      </c>
      <c r="C1659"/>
      <c r="D1659" t="s">
        <v>31</v>
      </c>
      <c r="E1659" t="s">
        <v>32</v>
      </c>
      <c r="F1659" t="s">
        <v>36</v>
      </c>
      <c r="G1659" s="118">
        <v>0.43864583333333335</v>
      </c>
      <c r="H1659" s="118">
        <v>3.4722222222222224E-4</v>
      </c>
      <c r="I1659" s="118">
        <v>1.0995370370370371E-3</v>
      </c>
      <c r="J1659" s="118">
        <v>7.0717592592592594E-3</v>
      </c>
      <c r="K1659" s="118">
        <v>7.0717592592592594E-3</v>
      </c>
    </row>
    <row r="1660" spans="1:11" x14ac:dyDescent="0.25">
      <c r="A1660">
        <v>3</v>
      </c>
      <c r="B1660">
        <v>6</v>
      </c>
      <c r="C1660"/>
      <c r="D1660" t="s">
        <v>31</v>
      </c>
      <c r="E1660" t="s">
        <v>32</v>
      </c>
      <c r="F1660" t="s">
        <v>42</v>
      </c>
      <c r="G1660" s="118">
        <v>0.43868055555555552</v>
      </c>
      <c r="H1660" s="118">
        <v>3.4722222222222224E-4</v>
      </c>
      <c r="I1660" s="118">
        <v>9.1435185185185185E-4</v>
      </c>
      <c r="J1660" s="118">
        <v>7.0717592592592594E-3</v>
      </c>
      <c r="K1660" s="118">
        <v>7.0717592592592594E-3</v>
      </c>
    </row>
    <row r="1661" spans="1:11" x14ac:dyDescent="0.25">
      <c r="A1661">
        <v>1</v>
      </c>
      <c r="B1661">
        <v>6</v>
      </c>
      <c r="C1661"/>
      <c r="D1661" t="s">
        <v>31</v>
      </c>
      <c r="E1661" t="s">
        <v>35</v>
      </c>
      <c r="F1661" t="s">
        <v>57</v>
      </c>
      <c r="G1661" s="118">
        <v>0.43884259259259256</v>
      </c>
      <c r="H1661" s="118">
        <v>1.0532407407407407E-3</v>
      </c>
      <c r="I1661" s="118">
        <v>3.4722222222222224E-4</v>
      </c>
      <c r="J1661"/>
      <c r="K1661"/>
    </row>
    <row r="1662" spans="1:11" x14ac:dyDescent="0.25">
      <c r="A1662">
        <v>5</v>
      </c>
      <c r="B1662">
        <v>7</v>
      </c>
      <c r="C1662"/>
      <c r="D1662" t="s">
        <v>31</v>
      </c>
      <c r="E1662" t="s">
        <v>35</v>
      </c>
      <c r="F1662" t="s">
        <v>58</v>
      </c>
      <c r="G1662" s="118">
        <v>0.43890046296296298</v>
      </c>
      <c r="H1662" s="118">
        <v>4.3981481481481481E-4</v>
      </c>
      <c r="I1662" s="118">
        <v>5.7870370370370366E-5</v>
      </c>
      <c r="J1662"/>
      <c r="K1662"/>
    </row>
    <row r="1663" spans="1:11" x14ac:dyDescent="0.25">
      <c r="A1663">
        <v>5</v>
      </c>
      <c r="B1663">
        <v>7</v>
      </c>
      <c r="C1663"/>
      <c r="D1663" t="s">
        <v>31</v>
      </c>
      <c r="E1663" t="s">
        <v>32</v>
      </c>
      <c r="F1663" t="s">
        <v>58</v>
      </c>
      <c r="G1663" s="118">
        <v>0.43895833333333334</v>
      </c>
      <c r="H1663" s="118">
        <v>5.7870370370370366E-5</v>
      </c>
      <c r="I1663" s="118">
        <v>4.8611111111111104E-4</v>
      </c>
      <c r="J1663" s="118">
        <v>7.0717592592592594E-3</v>
      </c>
      <c r="K1663" s="118">
        <v>7.0717592592592594E-3</v>
      </c>
    </row>
    <row r="1664" spans="1:11" x14ac:dyDescent="0.25">
      <c r="A1664">
        <v>2</v>
      </c>
      <c r="B1664">
        <v>7</v>
      </c>
      <c r="C1664"/>
      <c r="D1664" t="s">
        <v>31</v>
      </c>
      <c r="E1664" t="s">
        <v>35</v>
      </c>
      <c r="F1664" t="s">
        <v>53</v>
      </c>
      <c r="G1664" s="118">
        <v>0.43908564814814816</v>
      </c>
      <c r="H1664" s="118">
        <v>8.7962962962962962E-4</v>
      </c>
      <c r="I1664" s="118">
        <v>3.4722222222222224E-4</v>
      </c>
      <c r="J1664"/>
      <c r="K1664"/>
    </row>
    <row r="1665" spans="1:11" x14ac:dyDescent="0.25">
      <c r="A1665">
        <v>1</v>
      </c>
      <c r="B1665">
        <v>6</v>
      </c>
      <c r="C1665"/>
      <c r="D1665" t="s">
        <v>31</v>
      </c>
      <c r="E1665" t="s">
        <v>32</v>
      </c>
      <c r="F1665" t="s">
        <v>57</v>
      </c>
      <c r="G1665" s="118">
        <v>0.43918981481481478</v>
      </c>
      <c r="H1665" s="118">
        <v>3.4722222222222224E-4</v>
      </c>
      <c r="I1665" s="118">
        <v>9.3750000000000007E-4</v>
      </c>
      <c r="J1665" s="118">
        <v>7.0717592592592594E-3</v>
      </c>
      <c r="K1665" s="118">
        <v>7.0717592592592594E-3</v>
      </c>
    </row>
    <row r="1666" spans="1:11" x14ac:dyDescent="0.25">
      <c r="A1666">
        <v>2</v>
      </c>
      <c r="B1666">
        <v>7</v>
      </c>
      <c r="C1666"/>
      <c r="D1666" t="s">
        <v>31</v>
      </c>
      <c r="E1666" t="s">
        <v>32</v>
      </c>
      <c r="F1666" t="s">
        <v>53</v>
      </c>
      <c r="G1666" s="118">
        <v>0.43943287037037032</v>
      </c>
      <c r="H1666" s="118">
        <v>3.4722222222222224E-4</v>
      </c>
      <c r="I1666" s="118">
        <v>8.449074074074075E-4</v>
      </c>
      <c r="J1666" s="118">
        <v>7.0717592592592594E-3</v>
      </c>
      <c r="K1666" s="118">
        <v>7.0717592592592594E-3</v>
      </c>
    </row>
    <row r="1667" spans="1:11" x14ac:dyDescent="0.25">
      <c r="A1667">
        <v>5</v>
      </c>
      <c r="B1667">
        <v>7</v>
      </c>
      <c r="C1667"/>
      <c r="D1667" t="s">
        <v>31</v>
      </c>
      <c r="E1667" t="s">
        <v>35</v>
      </c>
      <c r="F1667" t="s">
        <v>40</v>
      </c>
      <c r="G1667" s="118">
        <v>0.43944444444444447</v>
      </c>
      <c r="H1667" s="118">
        <v>4.8611111111111104E-4</v>
      </c>
      <c r="I1667" s="118">
        <v>4.6296296296296293E-4</v>
      </c>
      <c r="J1667"/>
      <c r="K1667"/>
    </row>
    <row r="1668" spans="1:11" x14ac:dyDescent="0.25">
      <c r="A1668">
        <v>3</v>
      </c>
      <c r="B1668">
        <v>6</v>
      </c>
      <c r="C1668"/>
      <c r="D1668" t="s">
        <v>31</v>
      </c>
      <c r="E1668" t="s">
        <v>35</v>
      </c>
      <c r="F1668" t="s">
        <v>48</v>
      </c>
      <c r="G1668" s="118">
        <v>0.43959490740740742</v>
      </c>
      <c r="H1668" s="118">
        <v>9.1435185185185185E-4</v>
      </c>
      <c r="I1668" s="118">
        <v>5.2083333333333333E-4</v>
      </c>
      <c r="J1668"/>
      <c r="K1668"/>
    </row>
    <row r="1669" spans="1:11" x14ac:dyDescent="0.25">
      <c r="A1669">
        <v>4</v>
      </c>
      <c r="B1669">
        <v>6</v>
      </c>
      <c r="C1669"/>
      <c r="D1669" t="s">
        <v>31</v>
      </c>
      <c r="E1669" t="s">
        <v>35</v>
      </c>
      <c r="F1669" t="s">
        <v>43</v>
      </c>
      <c r="G1669" s="118">
        <v>0.43974537037037037</v>
      </c>
      <c r="H1669" s="118">
        <v>1.0995370370370371E-3</v>
      </c>
      <c r="I1669" s="118">
        <v>3.4722222222222224E-4</v>
      </c>
      <c r="J1669"/>
      <c r="K1669"/>
    </row>
    <row r="1670" spans="1:11" x14ac:dyDescent="0.25">
      <c r="A1670">
        <v>5</v>
      </c>
      <c r="B1670">
        <v>7</v>
      </c>
      <c r="C1670"/>
      <c r="D1670" t="s">
        <v>31</v>
      </c>
      <c r="E1670" t="s">
        <v>32</v>
      </c>
      <c r="F1670" t="s">
        <v>40</v>
      </c>
      <c r="G1670" s="118">
        <v>0.43990740740740741</v>
      </c>
      <c r="H1670" s="118">
        <v>4.6296296296296293E-4</v>
      </c>
      <c r="I1670" s="118">
        <v>1.0069444444444444E-3</v>
      </c>
      <c r="J1670" s="118">
        <v>7.0717592592592594E-3</v>
      </c>
      <c r="K1670" s="118">
        <v>7.0717592592592594E-3</v>
      </c>
    </row>
    <row r="1671" spans="1:11" x14ac:dyDescent="0.25">
      <c r="A1671">
        <v>4</v>
      </c>
      <c r="B1671">
        <v>6</v>
      </c>
      <c r="C1671"/>
      <c r="D1671" t="s">
        <v>31</v>
      </c>
      <c r="E1671" t="s">
        <v>32</v>
      </c>
      <c r="F1671" t="s">
        <v>43</v>
      </c>
      <c r="G1671" s="118">
        <v>0.44009259259259265</v>
      </c>
      <c r="H1671" s="118">
        <v>3.4722222222222224E-4</v>
      </c>
      <c r="I1671" s="118">
        <v>1.1458333333333333E-3</v>
      </c>
      <c r="J1671" s="118">
        <v>7.0717592592592594E-3</v>
      </c>
      <c r="K1671" s="118">
        <v>7.0717592592592594E-3</v>
      </c>
    </row>
    <row r="1672" spans="1:11" x14ac:dyDescent="0.25">
      <c r="A1672">
        <v>3</v>
      </c>
      <c r="B1672">
        <v>6</v>
      </c>
      <c r="C1672"/>
      <c r="D1672" t="s">
        <v>31</v>
      </c>
      <c r="E1672" t="s">
        <v>32</v>
      </c>
      <c r="F1672" t="s">
        <v>48</v>
      </c>
      <c r="G1672" s="118">
        <v>0.44011574074074072</v>
      </c>
      <c r="H1672" s="118">
        <v>5.2083333333333333E-4</v>
      </c>
      <c r="I1672" s="118">
        <v>8.6805555555555551E-4</v>
      </c>
      <c r="J1672" s="118">
        <v>7.0717592592592594E-3</v>
      </c>
      <c r="K1672" s="118">
        <v>7.0717592592592594E-3</v>
      </c>
    </row>
    <row r="1673" spans="1:11" x14ac:dyDescent="0.25">
      <c r="A1673">
        <v>1</v>
      </c>
      <c r="B1673">
        <v>6</v>
      </c>
      <c r="C1673"/>
      <c r="D1673" t="s">
        <v>31</v>
      </c>
      <c r="E1673" t="s">
        <v>35</v>
      </c>
      <c r="F1673" t="s">
        <v>39</v>
      </c>
      <c r="G1673" s="118">
        <v>0.44012731481481482</v>
      </c>
      <c r="H1673" s="118">
        <v>9.3750000000000007E-4</v>
      </c>
      <c r="I1673" s="118">
        <v>5.2083333333333333E-4</v>
      </c>
      <c r="J1673"/>
      <c r="K1673"/>
    </row>
    <row r="1674" spans="1:11" x14ac:dyDescent="0.25">
      <c r="A1674">
        <v>2</v>
      </c>
      <c r="B1674">
        <v>7</v>
      </c>
      <c r="C1674"/>
      <c r="D1674" t="s">
        <v>31</v>
      </c>
      <c r="E1674" t="s">
        <v>35</v>
      </c>
      <c r="F1674" t="s">
        <v>34</v>
      </c>
      <c r="G1674" s="118">
        <v>0.44027777777777777</v>
      </c>
      <c r="H1674" s="118">
        <v>8.449074074074075E-4</v>
      </c>
      <c r="I1674" s="118">
        <v>3.4722222222222224E-4</v>
      </c>
      <c r="J1674"/>
      <c r="K1674"/>
    </row>
    <row r="1675" spans="1:11" x14ac:dyDescent="0.25">
      <c r="A1675">
        <v>2</v>
      </c>
      <c r="B1675">
        <v>7</v>
      </c>
      <c r="C1675"/>
      <c r="D1675" t="s">
        <v>31</v>
      </c>
      <c r="E1675" t="s">
        <v>32</v>
      </c>
      <c r="F1675" t="s">
        <v>34</v>
      </c>
      <c r="G1675" s="118">
        <v>0.44062499999999999</v>
      </c>
      <c r="H1675" s="118">
        <v>3.4722222222222224E-4</v>
      </c>
      <c r="I1675" s="118">
        <v>9.1435185185185185E-4</v>
      </c>
      <c r="J1675" s="118">
        <v>7.0717592592592594E-3</v>
      </c>
      <c r="K1675" s="118">
        <v>7.0717592592592594E-3</v>
      </c>
    </row>
    <row r="1676" spans="1:11" x14ac:dyDescent="0.25">
      <c r="A1676">
        <v>1</v>
      </c>
      <c r="B1676">
        <v>6</v>
      </c>
      <c r="C1676"/>
      <c r="D1676" t="s">
        <v>31</v>
      </c>
      <c r="E1676" t="s">
        <v>32</v>
      </c>
      <c r="F1676" t="s">
        <v>39</v>
      </c>
      <c r="G1676" s="118">
        <v>0.44064814814814812</v>
      </c>
      <c r="H1676" s="118">
        <v>5.2083333333333333E-4</v>
      </c>
      <c r="I1676" s="118">
        <v>1.8055555555555557E-3</v>
      </c>
      <c r="J1676" s="118">
        <v>7.0717592592592594E-3</v>
      </c>
      <c r="K1676" s="118">
        <v>7.0717592592592594E-3</v>
      </c>
    </row>
    <row r="1677" spans="1:11" x14ac:dyDescent="0.25">
      <c r="A1677">
        <v>5</v>
      </c>
      <c r="B1677">
        <v>7</v>
      </c>
      <c r="C1677"/>
      <c r="D1677" t="s">
        <v>31</v>
      </c>
      <c r="E1677" t="s">
        <v>35</v>
      </c>
      <c r="F1677" t="s">
        <v>44</v>
      </c>
      <c r="G1677" s="118">
        <v>0.44091435185185185</v>
      </c>
      <c r="H1677" s="118">
        <v>1.0069444444444444E-3</v>
      </c>
      <c r="I1677" s="118">
        <v>3.4722222222222224E-4</v>
      </c>
      <c r="J1677"/>
      <c r="K1677"/>
    </row>
    <row r="1678" spans="1:11" x14ac:dyDescent="0.25">
      <c r="A1678">
        <v>3</v>
      </c>
      <c r="B1678">
        <v>6</v>
      </c>
      <c r="C1678"/>
      <c r="D1678" t="s">
        <v>31</v>
      </c>
      <c r="E1678" t="s">
        <v>35</v>
      </c>
      <c r="F1678" t="s">
        <v>54</v>
      </c>
      <c r="G1678" s="118">
        <v>0.4409837962962963</v>
      </c>
      <c r="H1678" s="118">
        <v>8.6805555555555551E-4</v>
      </c>
      <c r="I1678" s="118">
        <v>3.4722222222222224E-4</v>
      </c>
      <c r="J1678"/>
      <c r="K1678"/>
    </row>
    <row r="1679" spans="1:11" x14ac:dyDescent="0.25">
      <c r="A1679">
        <v>4</v>
      </c>
      <c r="B1679">
        <v>6</v>
      </c>
      <c r="C1679"/>
      <c r="D1679" t="s">
        <v>31</v>
      </c>
      <c r="E1679" t="s">
        <v>35</v>
      </c>
      <c r="F1679" t="s">
        <v>50</v>
      </c>
      <c r="G1679" s="118">
        <v>0.44123842592592594</v>
      </c>
      <c r="H1679" s="118">
        <v>1.1458333333333333E-3</v>
      </c>
      <c r="I1679" s="118">
        <v>3.4722222222222224E-4</v>
      </c>
      <c r="J1679"/>
      <c r="K1679"/>
    </row>
    <row r="1680" spans="1:11" x14ac:dyDescent="0.25">
      <c r="A1680">
        <v>5</v>
      </c>
      <c r="B1680">
        <v>7</v>
      </c>
      <c r="C1680"/>
      <c r="D1680" t="s">
        <v>31</v>
      </c>
      <c r="E1680" t="s">
        <v>32</v>
      </c>
      <c r="F1680" t="s">
        <v>44</v>
      </c>
      <c r="G1680" s="118">
        <v>0.44126157407407413</v>
      </c>
      <c r="H1680" s="118">
        <v>3.4722222222222224E-4</v>
      </c>
      <c r="I1680" s="118">
        <v>9.2592592592592585E-4</v>
      </c>
      <c r="J1680" s="118">
        <v>7.0717592592592594E-3</v>
      </c>
      <c r="K1680" s="118">
        <v>7.0717592592592594E-3</v>
      </c>
    </row>
    <row r="1681" spans="1:11" x14ac:dyDescent="0.25">
      <c r="A1681">
        <v>3</v>
      </c>
      <c r="B1681">
        <v>6</v>
      </c>
      <c r="C1681"/>
      <c r="D1681" t="s">
        <v>31</v>
      </c>
      <c r="E1681" t="s">
        <v>32</v>
      </c>
      <c r="F1681" t="s">
        <v>54</v>
      </c>
      <c r="G1681" s="118">
        <v>0.44133101851851847</v>
      </c>
      <c r="H1681" s="118">
        <v>3.4722222222222224E-4</v>
      </c>
      <c r="I1681" s="118">
        <v>6.9444444444444447E-4</v>
      </c>
      <c r="J1681" s="118">
        <v>7.0717592592592594E-3</v>
      </c>
      <c r="K1681" s="118">
        <v>7.0717592592592594E-3</v>
      </c>
    </row>
    <row r="1682" spans="1:11" x14ac:dyDescent="0.25">
      <c r="A1682">
        <v>2</v>
      </c>
      <c r="B1682">
        <v>7</v>
      </c>
      <c r="C1682"/>
      <c r="D1682" t="s">
        <v>31</v>
      </c>
      <c r="E1682" t="s">
        <v>35</v>
      </c>
      <c r="F1682" t="s">
        <v>38</v>
      </c>
      <c r="G1682" s="118">
        <v>0.44153935185185184</v>
      </c>
      <c r="H1682" s="118">
        <v>9.1435185185185185E-4</v>
      </c>
      <c r="I1682" s="118">
        <v>3.4722222222222224E-4</v>
      </c>
      <c r="J1682"/>
      <c r="K1682"/>
    </row>
    <row r="1683" spans="1:11" x14ac:dyDescent="0.25">
      <c r="A1683">
        <v>4</v>
      </c>
      <c r="B1683">
        <v>6</v>
      </c>
      <c r="C1683"/>
      <c r="D1683" t="s">
        <v>31</v>
      </c>
      <c r="E1683" t="s">
        <v>32</v>
      </c>
      <c r="F1683" t="s">
        <v>50</v>
      </c>
      <c r="G1683" s="118">
        <v>0.44158564814814816</v>
      </c>
      <c r="H1683" s="118">
        <v>3.4722222222222224E-4</v>
      </c>
      <c r="I1683" s="118">
        <v>1.261574074074074E-3</v>
      </c>
      <c r="J1683" s="118">
        <v>7.0717592592592594E-3</v>
      </c>
      <c r="K1683" s="118">
        <v>7.0717592592592594E-3</v>
      </c>
    </row>
    <row r="1684" spans="1:11" x14ac:dyDescent="0.25">
      <c r="A1684">
        <v>2</v>
      </c>
      <c r="B1684">
        <v>7</v>
      </c>
      <c r="C1684"/>
      <c r="D1684" t="s">
        <v>31</v>
      </c>
      <c r="E1684" t="s">
        <v>32</v>
      </c>
      <c r="F1684" t="s">
        <v>38</v>
      </c>
      <c r="G1684" s="118">
        <v>0.44188657407407406</v>
      </c>
      <c r="H1684" s="118">
        <v>3.4722222222222224E-4</v>
      </c>
      <c r="I1684" s="118">
        <v>1.2384259259259258E-3</v>
      </c>
      <c r="J1684" s="118">
        <v>7.0717592592592594E-3</v>
      </c>
      <c r="K1684" s="118">
        <v>7.0717592592592594E-3</v>
      </c>
    </row>
    <row r="1685" spans="1:11" x14ac:dyDescent="0.25">
      <c r="A1685">
        <v>3</v>
      </c>
      <c r="B1685">
        <v>6</v>
      </c>
      <c r="C1685"/>
      <c r="D1685" t="s">
        <v>31</v>
      </c>
      <c r="E1685" t="s">
        <v>35</v>
      </c>
      <c r="F1685" t="s">
        <v>92</v>
      </c>
      <c r="G1685" s="118">
        <v>0.44202546296296297</v>
      </c>
      <c r="H1685" s="118">
        <v>6.9444444444444447E-4</v>
      </c>
      <c r="I1685" s="118">
        <v>5.2083333333333333E-4</v>
      </c>
      <c r="J1685"/>
      <c r="K1685"/>
    </row>
    <row r="1686" spans="1:11" x14ac:dyDescent="0.25">
      <c r="A1686">
        <v>5</v>
      </c>
      <c r="B1686">
        <v>7</v>
      </c>
      <c r="C1686"/>
      <c r="D1686" t="s">
        <v>31</v>
      </c>
      <c r="E1686" t="s">
        <v>35</v>
      </c>
      <c r="F1686" t="s">
        <v>49</v>
      </c>
      <c r="G1686" s="118">
        <v>0.44218750000000001</v>
      </c>
      <c r="H1686" s="118">
        <v>9.2592592592592585E-4</v>
      </c>
      <c r="I1686" s="118">
        <v>3.4722222222222224E-4</v>
      </c>
      <c r="J1686"/>
      <c r="K1686"/>
    </row>
    <row r="1687" spans="1:11" x14ac:dyDescent="0.25">
      <c r="A1687">
        <v>1</v>
      </c>
      <c r="B1687">
        <v>6</v>
      </c>
      <c r="C1687"/>
      <c r="D1687" t="s">
        <v>31</v>
      </c>
      <c r="E1687" t="s">
        <v>35</v>
      </c>
      <c r="F1687" t="s">
        <v>46</v>
      </c>
      <c r="G1687" s="118">
        <v>0.44245370370370374</v>
      </c>
      <c r="H1687" s="118">
        <v>1.8055555555555557E-3</v>
      </c>
      <c r="I1687" s="118">
        <v>3.4722222222222224E-4</v>
      </c>
      <c r="J1687"/>
      <c r="K1687"/>
    </row>
    <row r="1688" spans="1:11" x14ac:dyDescent="0.25">
      <c r="A1688">
        <v>5</v>
      </c>
      <c r="B1688">
        <v>7</v>
      </c>
      <c r="C1688"/>
      <c r="D1688" t="s">
        <v>31</v>
      </c>
      <c r="E1688" t="s">
        <v>32</v>
      </c>
      <c r="F1688" t="s">
        <v>49</v>
      </c>
      <c r="G1688" s="118">
        <v>0.44253472222222223</v>
      </c>
      <c r="H1688" s="118">
        <v>3.4722222222222224E-4</v>
      </c>
      <c r="I1688" s="118">
        <v>1.3541666666666667E-3</v>
      </c>
      <c r="J1688" s="118">
        <v>7.0717592592592594E-3</v>
      </c>
      <c r="K1688" s="118">
        <v>7.0717592592592594E-3</v>
      </c>
    </row>
    <row r="1689" spans="1:11" x14ac:dyDescent="0.25">
      <c r="A1689">
        <v>3</v>
      </c>
      <c r="B1689">
        <v>7</v>
      </c>
      <c r="C1689"/>
      <c r="D1689" t="s">
        <v>31</v>
      </c>
      <c r="E1689" t="s">
        <v>32</v>
      </c>
      <c r="F1689" t="s">
        <v>92</v>
      </c>
      <c r="G1689" s="118">
        <v>0.44254629629629627</v>
      </c>
      <c r="H1689" s="118">
        <v>5.2083333333333333E-4</v>
      </c>
      <c r="I1689" s="118">
        <v>1.0069444444444444E-3</v>
      </c>
      <c r="J1689" s="118">
        <v>7.0717592592592594E-3</v>
      </c>
      <c r="K1689" s="118">
        <v>7.0717592592592594E-3</v>
      </c>
    </row>
    <row r="1690" spans="1:11" x14ac:dyDescent="0.25">
      <c r="A1690">
        <v>1</v>
      </c>
      <c r="B1690">
        <v>6</v>
      </c>
      <c r="C1690"/>
      <c r="D1690" t="s">
        <v>31</v>
      </c>
      <c r="E1690" t="s">
        <v>32</v>
      </c>
      <c r="F1690" t="s">
        <v>46</v>
      </c>
      <c r="G1690" s="118">
        <v>0.44280092592592596</v>
      </c>
      <c r="H1690" s="118">
        <v>3.4722222222222224E-4</v>
      </c>
      <c r="I1690" s="118">
        <v>9.1435185185185185E-4</v>
      </c>
      <c r="J1690" s="118">
        <v>7.0717592592592594E-3</v>
      </c>
      <c r="K1690" s="118">
        <v>7.0717592592592594E-3</v>
      </c>
    </row>
    <row r="1691" spans="1:11" x14ac:dyDescent="0.25">
      <c r="A1691">
        <v>4</v>
      </c>
      <c r="B1691">
        <v>6</v>
      </c>
      <c r="C1691"/>
      <c r="D1691" t="s">
        <v>31</v>
      </c>
      <c r="E1691" t="s">
        <v>35</v>
      </c>
      <c r="F1691" t="s">
        <v>56</v>
      </c>
      <c r="G1691" s="118">
        <v>0.44284722222222223</v>
      </c>
      <c r="H1691" s="118">
        <v>1.261574074074074E-3</v>
      </c>
      <c r="I1691" s="118">
        <v>3.4722222222222224E-4</v>
      </c>
      <c r="J1691"/>
      <c r="K1691"/>
    </row>
    <row r="1692" spans="1:11" x14ac:dyDescent="0.25">
      <c r="A1692">
        <v>2</v>
      </c>
      <c r="B1692">
        <v>7</v>
      </c>
      <c r="C1692"/>
      <c r="D1692" t="s">
        <v>31</v>
      </c>
      <c r="E1692" t="s">
        <v>35</v>
      </c>
      <c r="F1692" t="s">
        <v>45</v>
      </c>
      <c r="G1692" s="118">
        <v>0.44312499999999999</v>
      </c>
      <c r="H1692" s="118">
        <v>1.2384259259259258E-3</v>
      </c>
      <c r="I1692" s="118">
        <v>3.4722222222222224E-4</v>
      </c>
      <c r="J1692"/>
      <c r="K1692"/>
    </row>
    <row r="1693" spans="1:11" x14ac:dyDescent="0.25">
      <c r="A1693">
        <v>4</v>
      </c>
      <c r="B1693">
        <v>6</v>
      </c>
      <c r="C1693"/>
      <c r="D1693" t="s">
        <v>31</v>
      </c>
      <c r="E1693" t="s">
        <v>32</v>
      </c>
      <c r="F1693" t="s">
        <v>56</v>
      </c>
      <c r="G1693" s="118">
        <v>0.44319444444444445</v>
      </c>
      <c r="H1693" s="118">
        <v>3.4722222222222224E-4</v>
      </c>
      <c r="I1693" s="118">
        <v>9.6064814814814808E-4</v>
      </c>
      <c r="J1693" s="118">
        <v>7.0717592592592594E-3</v>
      </c>
      <c r="K1693" s="118">
        <v>7.0717592592592594E-3</v>
      </c>
    </row>
    <row r="1694" spans="1:11" x14ac:dyDescent="0.25">
      <c r="A1694">
        <v>2</v>
      </c>
      <c r="B1694">
        <v>7</v>
      </c>
      <c r="C1694"/>
      <c r="D1694" t="s">
        <v>31</v>
      </c>
      <c r="E1694" t="s">
        <v>32</v>
      </c>
      <c r="F1694" t="s">
        <v>45</v>
      </c>
      <c r="G1694" s="118">
        <v>0.44347222222222221</v>
      </c>
      <c r="H1694" s="118">
        <v>3.4722222222222224E-4</v>
      </c>
      <c r="I1694" s="118">
        <v>1.0416666666666667E-3</v>
      </c>
      <c r="J1694" s="118">
        <v>7.0717592592592594E-3</v>
      </c>
      <c r="K1694" s="118">
        <v>7.0717592592592594E-3</v>
      </c>
    </row>
    <row r="1695" spans="1:11" x14ac:dyDescent="0.25">
      <c r="A1695">
        <v>3</v>
      </c>
      <c r="B1695">
        <v>7</v>
      </c>
      <c r="C1695"/>
      <c r="D1695" t="s">
        <v>31</v>
      </c>
      <c r="E1695" t="s">
        <v>35</v>
      </c>
      <c r="F1695" t="s">
        <v>41</v>
      </c>
      <c r="G1695" s="118">
        <v>0.44355324074074076</v>
      </c>
      <c r="H1695" s="118">
        <v>1.0069444444444444E-3</v>
      </c>
      <c r="I1695" s="118">
        <v>3.4722222222222224E-4</v>
      </c>
      <c r="J1695"/>
      <c r="K1695"/>
    </row>
    <row r="1696" spans="1:11" x14ac:dyDescent="0.25">
      <c r="A1696">
        <v>1</v>
      </c>
      <c r="B1696">
        <v>6</v>
      </c>
      <c r="C1696"/>
      <c r="D1696" t="s">
        <v>31</v>
      </c>
      <c r="E1696" t="s">
        <v>35</v>
      </c>
      <c r="F1696" t="s">
        <v>51</v>
      </c>
      <c r="G1696" s="118">
        <v>0.44371527777777775</v>
      </c>
      <c r="H1696" s="118">
        <v>9.1435185185185185E-4</v>
      </c>
      <c r="I1696" s="118">
        <v>3.4722222222222224E-4</v>
      </c>
      <c r="J1696"/>
      <c r="K1696"/>
    </row>
    <row r="1697" spans="1:11" x14ac:dyDescent="0.25">
      <c r="A1697">
        <v>5</v>
      </c>
      <c r="B1697">
        <v>7</v>
      </c>
      <c r="C1697"/>
      <c r="D1697" t="s">
        <v>31</v>
      </c>
      <c r="E1697" t="s">
        <v>35</v>
      </c>
      <c r="F1697" t="s">
        <v>33</v>
      </c>
      <c r="G1697" s="118">
        <v>0.44388888888888894</v>
      </c>
      <c r="H1697" s="118">
        <v>1.3541666666666667E-3</v>
      </c>
      <c r="I1697" s="118">
        <v>5.2083333333333333E-4</v>
      </c>
      <c r="J1697"/>
      <c r="K1697"/>
    </row>
    <row r="1698" spans="1:11" x14ac:dyDescent="0.25">
      <c r="A1698">
        <v>3</v>
      </c>
      <c r="B1698">
        <v>7</v>
      </c>
      <c r="C1698"/>
      <c r="D1698" t="s">
        <v>31</v>
      </c>
      <c r="E1698" t="s">
        <v>32</v>
      </c>
      <c r="F1698" t="s">
        <v>41</v>
      </c>
      <c r="G1698" s="118">
        <v>0.44390046296296298</v>
      </c>
      <c r="H1698" s="118">
        <v>3.4722222222222224E-4</v>
      </c>
      <c r="I1698" s="118">
        <v>8.564814814814815E-4</v>
      </c>
      <c r="J1698" s="118">
        <v>7.0717592592592594E-3</v>
      </c>
      <c r="K1698" s="118">
        <v>7.0717592592592594E-3</v>
      </c>
    </row>
    <row r="1699" spans="1:11" x14ac:dyDescent="0.25">
      <c r="A1699">
        <v>1</v>
      </c>
      <c r="B1699">
        <v>6</v>
      </c>
      <c r="C1699"/>
      <c r="D1699" t="s">
        <v>31</v>
      </c>
      <c r="E1699" t="s">
        <v>32</v>
      </c>
      <c r="F1699" t="s">
        <v>51</v>
      </c>
      <c r="G1699" s="118">
        <v>0.44406250000000003</v>
      </c>
      <c r="H1699" s="118">
        <v>3.4722222222222224E-4</v>
      </c>
      <c r="I1699" s="118">
        <v>1.0069444444444444E-3</v>
      </c>
      <c r="J1699" s="118">
        <v>7.0717592592592594E-3</v>
      </c>
      <c r="K1699" s="118">
        <v>7.0717592592592594E-3</v>
      </c>
    </row>
    <row r="1700" spans="1:11" x14ac:dyDescent="0.25">
      <c r="A1700">
        <v>4</v>
      </c>
      <c r="B1700">
        <v>6</v>
      </c>
      <c r="C1700"/>
      <c r="D1700" t="s">
        <v>31</v>
      </c>
      <c r="E1700" t="s">
        <v>35</v>
      </c>
      <c r="F1700" t="s">
        <v>37</v>
      </c>
      <c r="G1700" s="118">
        <v>0.44415509259259256</v>
      </c>
      <c r="H1700" s="118">
        <v>9.6064814814814808E-4</v>
      </c>
      <c r="I1700" s="118">
        <v>3.4722222222222224E-4</v>
      </c>
      <c r="J1700"/>
      <c r="K1700"/>
    </row>
    <row r="1701" spans="1:11" x14ac:dyDescent="0.25">
      <c r="A1701">
        <v>5</v>
      </c>
      <c r="B1701">
        <v>7</v>
      </c>
      <c r="C1701"/>
      <c r="D1701" t="s">
        <v>31</v>
      </c>
      <c r="E1701" t="s">
        <v>32</v>
      </c>
      <c r="F1701" t="s">
        <v>33</v>
      </c>
      <c r="G1701" s="118">
        <v>0.44440972222222225</v>
      </c>
      <c r="H1701" s="118">
        <v>5.2083333333333333E-4</v>
      </c>
      <c r="I1701" s="118">
        <v>9.6064814814814808E-4</v>
      </c>
      <c r="J1701" s="118">
        <v>7.0717592592592594E-3</v>
      </c>
      <c r="K1701" s="118">
        <v>7.0717592592592594E-3</v>
      </c>
    </row>
    <row r="1702" spans="1:11" x14ac:dyDescent="0.25">
      <c r="A1702">
        <v>4</v>
      </c>
      <c r="B1702">
        <v>6</v>
      </c>
      <c r="C1702"/>
      <c r="D1702" t="s">
        <v>31</v>
      </c>
      <c r="E1702" t="s">
        <v>32</v>
      </c>
      <c r="F1702" t="s">
        <v>37</v>
      </c>
      <c r="G1702" s="118">
        <v>0.44450231481481484</v>
      </c>
      <c r="H1702" s="118">
        <v>3.4722222222222224E-4</v>
      </c>
      <c r="I1702" s="118">
        <v>9.0277777777777784E-4</v>
      </c>
      <c r="J1702" s="118">
        <v>7.0717592592592594E-3</v>
      </c>
      <c r="K1702" s="118">
        <v>7.0717592592592594E-3</v>
      </c>
    </row>
    <row r="1703" spans="1:11" x14ac:dyDescent="0.25">
      <c r="A1703">
        <v>2</v>
      </c>
      <c r="B1703">
        <v>7</v>
      </c>
      <c r="C1703"/>
      <c r="D1703" t="s">
        <v>31</v>
      </c>
      <c r="E1703" t="s">
        <v>35</v>
      </c>
      <c r="F1703" t="s">
        <v>52</v>
      </c>
      <c r="G1703" s="118">
        <v>0.44451388888888888</v>
      </c>
      <c r="H1703" s="118">
        <v>1.0416666666666667E-3</v>
      </c>
      <c r="I1703" s="118">
        <v>3.4722222222222224E-4</v>
      </c>
      <c r="J1703"/>
      <c r="K1703"/>
    </row>
    <row r="1704" spans="1:11" x14ac:dyDescent="0.25">
      <c r="A1704">
        <v>3</v>
      </c>
      <c r="B1704">
        <v>7</v>
      </c>
      <c r="C1704"/>
      <c r="D1704" t="s">
        <v>31</v>
      </c>
      <c r="E1704" t="s">
        <v>35</v>
      </c>
      <c r="F1704" t="s">
        <v>47</v>
      </c>
      <c r="G1704" s="118">
        <v>0.44475694444444441</v>
      </c>
      <c r="H1704" s="118">
        <v>8.564814814814815E-4</v>
      </c>
      <c r="I1704" s="118">
        <v>5.2083333333333333E-4</v>
      </c>
      <c r="J1704"/>
      <c r="K1704"/>
    </row>
    <row r="1705" spans="1:11" x14ac:dyDescent="0.25">
      <c r="A1705">
        <v>2</v>
      </c>
      <c r="B1705">
        <v>7</v>
      </c>
      <c r="C1705"/>
      <c r="D1705" t="s">
        <v>31</v>
      </c>
      <c r="E1705" t="s">
        <v>32</v>
      </c>
      <c r="F1705" t="s">
        <v>52</v>
      </c>
      <c r="G1705" s="118">
        <v>0.4448611111111111</v>
      </c>
      <c r="H1705" s="118">
        <v>3.4722222222222224E-4</v>
      </c>
      <c r="I1705" s="118">
        <v>1.0532407407407407E-3</v>
      </c>
      <c r="J1705" s="118">
        <v>7.0717592592592594E-3</v>
      </c>
      <c r="K1705" s="118">
        <v>7.0717592592592594E-3</v>
      </c>
    </row>
    <row r="1706" spans="1:11" x14ac:dyDescent="0.25">
      <c r="A1706">
        <v>1</v>
      </c>
      <c r="B1706">
        <v>6</v>
      </c>
      <c r="C1706"/>
      <c r="D1706" t="s">
        <v>31</v>
      </c>
      <c r="E1706" t="s">
        <v>35</v>
      </c>
      <c r="F1706" t="s">
        <v>55</v>
      </c>
      <c r="G1706" s="118">
        <v>0.44506944444444446</v>
      </c>
      <c r="H1706" s="118">
        <v>1.0069444444444444E-3</v>
      </c>
      <c r="I1706" s="118">
        <v>4.6296296296296293E-4</v>
      </c>
      <c r="J1706"/>
      <c r="K1706"/>
    </row>
    <row r="1707" spans="1:11" x14ac:dyDescent="0.25">
      <c r="A1707">
        <v>3</v>
      </c>
      <c r="B1707">
        <v>7</v>
      </c>
      <c r="C1707"/>
      <c r="D1707" t="s">
        <v>31</v>
      </c>
      <c r="E1707" t="s">
        <v>32</v>
      </c>
      <c r="F1707" t="s">
        <v>47</v>
      </c>
      <c r="G1707" s="118">
        <v>0.44527777777777783</v>
      </c>
      <c r="H1707" s="118">
        <v>5.2083333333333333E-4</v>
      </c>
      <c r="I1707" s="118">
        <v>8.7962962962962962E-4</v>
      </c>
      <c r="J1707" s="118">
        <v>7.0717592592592594E-3</v>
      </c>
      <c r="K1707" s="118">
        <v>7.0717592592592594E-3</v>
      </c>
    </row>
    <row r="1708" spans="1:11" x14ac:dyDescent="0.25">
      <c r="A1708">
        <v>5</v>
      </c>
      <c r="B1708">
        <v>7</v>
      </c>
      <c r="C1708"/>
      <c r="D1708" t="s">
        <v>31</v>
      </c>
      <c r="E1708" t="s">
        <v>35</v>
      </c>
      <c r="F1708" t="s">
        <v>36</v>
      </c>
      <c r="G1708" s="118">
        <v>0.44537037037037036</v>
      </c>
      <c r="H1708" s="118">
        <v>9.6064814814814808E-4</v>
      </c>
      <c r="I1708" s="118">
        <v>3.4722222222222224E-4</v>
      </c>
      <c r="J1708"/>
      <c r="K1708"/>
    </row>
    <row r="1709" spans="1:11" x14ac:dyDescent="0.25">
      <c r="A1709">
        <v>4</v>
      </c>
      <c r="B1709">
        <v>6</v>
      </c>
      <c r="C1709"/>
      <c r="D1709" t="s">
        <v>31</v>
      </c>
      <c r="E1709" t="s">
        <v>35</v>
      </c>
      <c r="F1709" t="s">
        <v>42</v>
      </c>
      <c r="G1709" s="118">
        <v>0.44540509259259259</v>
      </c>
      <c r="H1709" s="118">
        <v>9.0277777777777784E-4</v>
      </c>
      <c r="I1709" s="118">
        <v>3.4722222222222224E-4</v>
      </c>
      <c r="J1709"/>
      <c r="K1709"/>
    </row>
    <row r="1710" spans="1:11" x14ac:dyDescent="0.25">
      <c r="A1710">
        <v>1</v>
      </c>
      <c r="B1710">
        <v>6</v>
      </c>
      <c r="C1710"/>
      <c r="D1710" t="s">
        <v>31</v>
      </c>
      <c r="E1710" t="s">
        <v>32</v>
      </c>
      <c r="F1710" t="s">
        <v>55</v>
      </c>
      <c r="G1710" s="118">
        <v>0.4455324074074074</v>
      </c>
      <c r="H1710" s="118">
        <v>4.6296296296296293E-4</v>
      </c>
      <c r="I1710" s="118">
        <v>4.3981481481481481E-4</v>
      </c>
      <c r="J1710" s="118">
        <v>7.0717592592592594E-3</v>
      </c>
      <c r="K1710" s="118">
        <v>7.0717592592592594E-3</v>
      </c>
    </row>
    <row r="1711" spans="1:11" x14ac:dyDescent="0.25">
      <c r="A1711">
        <v>5</v>
      </c>
      <c r="B1711">
        <v>7</v>
      </c>
      <c r="C1711"/>
      <c r="D1711" t="s">
        <v>31</v>
      </c>
      <c r="E1711" t="s">
        <v>32</v>
      </c>
      <c r="F1711" t="s">
        <v>36</v>
      </c>
      <c r="G1711" s="118">
        <v>0.44571759259259264</v>
      </c>
      <c r="H1711" s="118">
        <v>3.4722222222222224E-4</v>
      </c>
      <c r="I1711" s="118">
        <v>1.0995370370370371E-3</v>
      </c>
      <c r="J1711" s="118">
        <v>7.0717592592592594E-3</v>
      </c>
      <c r="K1711" s="118">
        <v>7.0717592592592594E-3</v>
      </c>
    </row>
    <row r="1712" spans="1:11" x14ac:dyDescent="0.25">
      <c r="A1712">
        <v>4</v>
      </c>
      <c r="B1712">
        <v>6</v>
      </c>
      <c r="C1712"/>
      <c r="D1712" t="s">
        <v>31</v>
      </c>
      <c r="E1712" t="s">
        <v>32</v>
      </c>
      <c r="F1712" t="s">
        <v>42</v>
      </c>
      <c r="G1712" s="118">
        <v>0.44575231481481481</v>
      </c>
      <c r="H1712" s="118">
        <v>3.4722222222222224E-4</v>
      </c>
      <c r="I1712" s="118">
        <v>9.1435185185185185E-4</v>
      </c>
      <c r="J1712" s="118">
        <v>7.0717592592592594E-3</v>
      </c>
      <c r="K1712" s="118">
        <v>7.0717592592592594E-3</v>
      </c>
    </row>
    <row r="1713" spans="1:11" x14ac:dyDescent="0.25">
      <c r="A1713">
        <v>2</v>
      </c>
      <c r="B1713">
        <v>7</v>
      </c>
      <c r="C1713"/>
      <c r="D1713" t="s">
        <v>31</v>
      </c>
      <c r="E1713" t="s">
        <v>35</v>
      </c>
      <c r="F1713" t="s">
        <v>57</v>
      </c>
      <c r="G1713" s="118">
        <v>0.44591435185185185</v>
      </c>
      <c r="H1713" s="118">
        <v>1.0532407407407407E-3</v>
      </c>
      <c r="I1713" s="118">
        <v>3.4722222222222224E-4</v>
      </c>
      <c r="J1713"/>
      <c r="K1713"/>
    </row>
    <row r="1714" spans="1:11" x14ac:dyDescent="0.25">
      <c r="A1714">
        <v>1</v>
      </c>
      <c r="B1714">
        <v>6</v>
      </c>
      <c r="C1714"/>
      <c r="D1714" t="s">
        <v>31</v>
      </c>
      <c r="E1714" t="s">
        <v>35</v>
      </c>
      <c r="F1714" t="s">
        <v>58</v>
      </c>
      <c r="G1714" s="118">
        <v>0.44597222222222221</v>
      </c>
      <c r="H1714" s="118">
        <v>4.3981481481481481E-4</v>
      </c>
      <c r="I1714" s="118">
        <v>5.7870370370370366E-5</v>
      </c>
      <c r="J1714"/>
      <c r="K1714"/>
    </row>
    <row r="1715" spans="1:11" x14ac:dyDescent="0.25">
      <c r="A1715">
        <v>1</v>
      </c>
      <c r="B1715">
        <v>6</v>
      </c>
      <c r="C1715"/>
      <c r="D1715" t="s">
        <v>31</v>
      </c>
      <c r="E1715" t="s">
        <v>32</v>
      </c>
      <c r="F1715" t="s">
        <v>58</v>
      </c>
      <c r="G1715" s="118">
        <v>0.44603009259259258</v>
      </c>
      <c r="H1715" s="118">
        <v>5.7870370370370366E-5</v>
      </c>
      <c r="I1715" s="118">
        <v>4.8611111111111104E-4</v>
      </c>
      <c r="J1715" s="118">
        <v>7.0717592592592594E-3</v>
      </c>
      <c r="K1715" s="118">
        <v>7.0717592592592594E-3</v>
      </c>
    </row>
    <row r="1716" spans="1:11" x14ac:dyDescent="0.25">
      <c r="A1716">
        <v>3</v>
      </c>
      <c r="B1716">
        <v>7</v>
      </c>
      <c r="C1716"/>
      <c r="D1716" t="s">
        <v>31</v>
      </c>
      <c r="E1716" t="s">
        <v>35</v>
      </c>
      <c r="F1716" t="s">
        <v>53</v>
      </c>
      <c r="G1716" s="118">
        <v>0.44615740740740745</v>
      </c>
      <c r="H1716" s="118">
        <v>8.7962962962962962E-4</v>
      </c>
      <c r="I1716" s="118">
        <v>3.4722222222222224E-4</v>
      </c>
      <c r="J1716"/>
      <c r="K1716"/>
    </row>
    <row r="1717" spans="1:11" x14ac:dyDescent="0.25">
      <c r="A1717">
        <v>2</v>
      </c>
      <c r="B1717">
        <v>7</v>
      </c>
      <c r="C1717"/>
      <c r="D1717" t="s">
        <v>31</v>
      </c>
      <c r="E1717" t="s">
        <v>32</v>
      </c>
      <c r="F1717" t="s">
        <v>57</v>
      </c>
      <c r="G1717" s="118">
        <v>0.44626157407407407</v>
      </c>
      <c r="H1717" s="118">
        <v>3.4722222222222224E-4</v>
      </c>
      <c r="I1717" s="118">
        <v>9.3750000000000007E-4</v>
      </c>
      <c r="J1717" s="118">
        <v>7.0717592592592594E-3</v>
      </c>
      <c r="K1717" s="118">
        <v>7.0717592592592594E-3</v>
      </c>
    </row>
    <row r="1718" spans="1:11" x14ac:dyDescent="0.25">
      <c r="A1718">
        <v>3</v>
      </c>
      <c r="B1718">
        <v>7</v>
      </c>
      <c r="C1718"/>
      <c r="D1718" t="s">
        <v>31</v>
      </c>
      <c r="E1718" t="s">
        <v>32</v>
      </c>
      <c r="F1718" t="s">
        <v>53</v>
      </c>
      <c r="G1718" s="118">
        <v>0.44650462962962961</v>
      </c>
      <c r="H1718" s="118">
        <v>3.4722222222222224E-4</v>
      </c>
      <c r="I1718" s="118">
        <v>8.449074074074075E-4</v>
      </c>
      <c r="J1718" s="118">
        <v>7.0717592592592594E-3</v>
      </c>
      <c r="K1718" s="118">
        <v>7.0717592592592594E-3</v>
      </c>
    </row>
    <row r="1719" spans="1:11" x14ac:dyDescent="0.25">
      <c r="A1719">
        <v>1</v>
      </c>
      <c r="B1719">
        <v>6</v>
      </c>
      <c r="C1719"/>
      <c r="D1719" t="s">
        <v>31</v>
      </c>
      <c r="E1719" t="s">
        <v>35</v>
      </c>
      <c r="F1719" t="s">
        <v>40</v>
      </c>
      <c r="G1719" s="118">
        <v>0.44651620370370365</v>
      </c>
      <c r="H1719" s="118">
        <v>4.8611111111111104E-4</v>
      </c>
      <c r="I1719" s="118">
        <v>4.6296296296296293E-4</v>
      </c>
      <c r="J1719"/>
      <c r="K1719"/>
    </row>
    <row r="1720" spans="1:11" x14ac:dyDescent="0.25">
      <c r="A1720">
        <v>4</v>
      </c>
      <c r="B1720">
        <v>6</v>
      </c>
      <c r="C1720"/>
      <c r="D1720" t="s">
        <v>31</v>
      </c>
      <c r="E1720" t="s">
        <v>35</v>
      </c>
      <c r="F1720" t="s">
        <v>48</v>
      </c>
      <c r="G1720" s="118">
        <v>0.44666666666666671</v>
      </c>
      <c r="H1720" s="118">
        <v>9.1435185185185185E-4</v>
      </c>
      <c r="I1720" s="118">
        <v>5.2083333333333333E-4</v>
      </c>
      <c r="J1720"/>
      <c r="K1720"/>
    </row>
    <row r="1721" spans="1:11" x14ac:dyDescent="0.25">
      <c r="A1721">
        <v>5</v>
      </c>
      <c r="B1721">
        <v>7</v>
      </c>
      <c r="C1721"/>
      <c r="D1721" t="s">
        <v>31</v>
      </c>
      <c r="E1721" t="s">
        <v>35</v>
      </c>
      <c r="F1721" t="s">
        <v>43</v>
      </c>
      <c r="G1721" s="118">
        <v>0.44681712962962966</v>
      </c>
      <c r="H1721" s="118">
        <v>1.0995370370370371E-3</v>
      </c>
      <c r="I1721" s="118">
        <v>3.4722222222222224E-4</v>
      </c>
      <c r="J1721"/>
      <c r="K1721"/>
    </row>
    <row r="1722" spans="1:11" x14ac:dyDescent="0.25">
      <c r="A1722">
        <v>1</v>
      </c>
      <c r="B1722">
        <v>6</v>
      </c>
      <c r="C1722"/>
      <c r="D1722" t="s">
        <v>31</v>
      </c>
      <c r="E1722" t="s">
        <v>32</v>
      </c>
      <c r="F1722" t="s">
        <v>40</v>
      </c>
      <c r="G1722" s="118">
        <v>0.44697916666666665</v>
      </c>
      <c r="H1722" s="118">
        <v>4.6296296296296293E-4</v>
      </c>
      <c r="I1722" s="118">
        <v>1.0069444444444444E-3</v>
      </c>
      <c r="J1722" s="118">
        <v>7.0717592592592594E-3</v>
      </c>
      <c r="K1722" s="118">
        <v>7.0717592592592594E-3</v>
      </c>
    </row>
    <row r="1723" spans="1:11" x14ac:dyDescent="0.25">
      <c r="A1723">
        <v>5</v>
      </c>
      <c r="B1723">
        <v>7</v>
      </c>
      <c r="C1723"/>
      <c r="D1723" t="s">
        <v>31</v>
      </c>
      <c r="E1723" t="s">
        <v>32</v>
      </c>
      <c r="F1723" t="s">
        <v>43</v>
      </c>
      <c r="G1723" s="118">
        <v>0.44716435185185183</v>
      </c>
      <c r="H1723" s="118">
        <v>3.4722222222222224E-4</v>
      </c>
      <c r="I1723" s="118">
        <v>1.1458333333333333E-3</v>
      </c>
      <c r="J1723" s="118">
        <v>7.0717592592592594E-3</v>
      </c>
      <c r="K1723" s="118">
        <v>7.0717592592592594E-3</v>
      </c>
    </row>
    <row r="1724" spans="1:11" x14ac:dyDescent="0.25">
      <c r="A1724">
        <v>4</v>
      </c>
      <c r="B1724">
        <v>6</v>
      </c>
      <c r="C1724"/>
      <c r="D1724" t="s">
        <v>31</v>
      </c>
      <c r="E1724" t="s">
        <v>32</v>
      </c>
      <c r="F1724" t="s">
        <v>48</v>
      </c>
      <c r="G1724" s="118">
        <v>0.44718750000000002</v>
      </c>
      <c r="H1724" s="118">
        <v>5.2083333333333333E-4</v>
      </c>
      <c r="I1724" s="118">
        <v>8.6805555555555551E-4</v>
      </c>
      <c r="J1724" s="118">
        <v>7.0717592592592594E-3</v>
      </c>
      <c r="K1724" s="118">
        <v>7.0717592592592594E-3</v>
      </c>
    </row>
    <row r="1725" spans="1:11" x14ac:dyDescent="0.25">
      <c r="A1725">
        <v>2</v>
      </c>
      <c r="B1725">
        <v>7</v>
      </c>
      <c r="C1725"/>
      <c r="D1725" t="s">
        <v>31</v>
      </c>
      <c r="E1725" t="s">
        <v>35</v>
      </c>
      <c r="F1725" t="s">
        <v>39</v>
      </c>
      <c r="G1725" s="118">
        <v>0.44719907407407411</v>
      </c>
      <c r="H1725" s="118">
        <v>9.3750000000000007E-4</v>
      </c>
      <c r="I1725" s="118">
        <v>5.2083333333333333E-4</v>
      </c>
      <c r="J1725"/>
      <c r="K1725"/>
    </row>
    <row r="1726" spans="1:11" x14ac:dyDescent="0.25">
      <c r="A1726">
        <v>3</v>
      </c>
      <c r="B1726">
        <v>7</v>
      </c>
      <c r="C1726"/>
      <c r="D1726" t="s">
        <v>31</v>
      </c>
      <c r="E1726" t="s">
        <v>35</v>
      </c>
      <c r="F1726" t="s">
        <v>34</v>
      </c>
      <c r="G1726" s="118">
        <v>0.44734953703703706</v>
      </c>
      <c r="H1726" s="118">
        <v>8.449074074074075E-4</v>
      </c>
      <c r="I1726" s="118">
        <v>3.4722222222222224E-4</v>
      </c>
      <c r="J1726"/>
      <c r="K1726"/>
    </row>
    <row r="1727" spans="1:11" x14ac:dyDescent="0.25">
      <c r="A1727">
        <v>3</v>
      </c>
      <c r="B1727">
        <v>7</v>
      </c>
      <c r="C1727"/>
      <c r="D1727" t="s">
        <v>31</v>
      </c>
      <c r="E1727" t="s">
        <v>32</v>
      </c>
      <c r="F1727" t="s">
        <v>34</v>
      </c>
      <c r="G1727" s="118">
        <v>0.44769675925925928</v>
      </c>
      <c r="H1727" s="118">
        <v>3.4722222222222224E-4</v>
      </c>
      <c r="I1727" s="118">
        <v>9.1435185185185185E-4</v>
      </c>
      <c r="J1727" s="118">
        <v>7.0717592592592594E-3</v>
      </c>
      <c r="K1727" s="118">
        <v>7.0717592592592594E-3</v>
      </c>
    </row>
    <row r="1728" spans="1:11" x14ac:dyDescent="0.25">
      <c r="A1728">
        <v>2</v>
      </c>
      <c r="B1728">
        <v>7</v>
      </c>
      <c r="C1728"/>
      <c r="D1728" t="s">
        <v>31</v>
      </c>
      <c r="E1728" t="s">
        <v>32</v>
      </c>
      <c r="F1728" t="s">
        <v>39</v>
      </c>
      <c r="G1728" s="118">
        <v>0.44771990740740741</v>
      </c>
      <c r="H1728" s="118">
        <v>5.2083333333333333E-4</v>
      </c>
      <c r="I1728" s="118">
        <v>1.8055555555555557E-3</v>
      </c>
      <c r="J1728" s="118">
        <v>7.0717592592592594E-3</v>
      </c>
      <c r="K1728" s="118">
        <v>7.0717592592592594E-3</v>
      </c>
    </row>
    <row r="1729" spans="1:11" x14ac:dyDescent="0.25">
      <c r="A1729">
        <v>1</v>
      </c>
      <c r="B1729">
        <v>6</v>
      </c>
      <c r="C1729"/>
      <c r="D1729" t="s">
        <v>31</v>
      </c>
      <c r="E1729" t="s">
        <v>35</v>
      </c>
      <c r="F1729" t="s">
        <v>44</v>
      </c>
      <c r="G1729" s="118">
        <v>0.44798611111111114</v>
      </c>
      <c r="H1729" s="118">
        <v>1.0069444444444444E-3</v>
      </c>
      <c r="I1729" s="118">
        <v>3.4722222222222224E-4</v>
      </c>
      <c r="J1729"/>
      <c r="K1729"/>
    </row>
    <row r="1730" spans="1:11" x14ac:dyDescent="0.25">
      <c r="A1730">
        <v>4</v>
      </c>
      <c r="B1730">
        <v>6</v>
      </c>
      <c r="C1730"/>
      <c r="D1730" t="s">
        <v>31</v>
      </c>
      <c r="E1730" t="s">
        <v>35</v>
      </c>
      <c r="F1730" t="s">
        <v>54</v>
      </c>
      <c r="G1730" s="118">
        <v>0.4480555555555556</v>
      </c>
      <c r="H1730" s="118">
        <v>8.6805555555555551E-4</v>
      </c>
      <c r="I1730" s="118">
        <v>3.4722222222222224E-4</v>
      </c>
      <c r="J1730"/>
      <c r="K1730"/>
    </row>
    <row r="1731" spans="1:11" x14ac:dyDescent="0.25">
      <c r="A1731">
        <v>5</v>
      </c>
      <c r="B1731">
        <v>7</v>
      </c>
      <c r="C1731"/>
      <c r="D1731" t="s">
        <v>31</v>
      </c>
      <c r="E1731" t="s">
        <v>35</v>
      </c>
      <c r="F1731" t="s">
        <v>50</v>
      </c>
      <c r="G1731" s="118">
        <v>0.44831018518518517</v>
      </c>
      <c r="H1731" s="118">
        <v>1.1458333333333333E-3</v>
      </c>
      <c r="I1731" s="118">
        <v>3.4722222222222224E-4</v>
      </c>
      <c r="J1731"/>
      <c r="K1731"/>
    </row>
    <row r="1732" spans="1:11" x14ac:dyDescent="0.25">
      <c r="A1732">
        <v>1</v>
      </c>
      <c r="B1732">
        <v>6</v>
      </c>
      <c r="C1732"/>
      <c r="D1732" t="s">
        <v>31</v>
      </c>
      <c r="E1732" t="s">
        <v>32</v>
      </c>
      <c r="F1732" t="s">
        <v>44</v>
      </c>
      <c r="G1732" s="118">
        <v>0.44833333333333331</v>
      </c>
      <c r="H1732" s="118">
        <v>3.4722222222222224E-4</v>
      </c>
      <c r="I1732" s="118">
        <v>9.2592592592592585E-4</v>
      </c>
      <c r="J1732" s="118">
        <v>7.0717592592592594E-3</v>
      </c>
      <c r="K1732" s="118">
        <v>7.0717592592592594E-3</v>
      </c>
    </row>
    <row r="1733" spans="1:11" x14ac:dyDescent="0.25">
      <c r="A1733">
        <v>4</v>
      </c>
      <c r="B1733">
        <v>6</v>
      </c>
      <c r="C1733"/>
      <c r="D1733" t="s">
        <v>31</v>
      </c>
      <c r="E1733" t="s">
        <v>32</v>
      </c>
      <c r="F1733" t="s">
        <v>54</v>
      </c>
      <c r="G1733" s="118">
        <v>0.44840277777777776</v>
      </c>
      <c r="H1733" s="118">
        <v>3.4722222222222224E-4</v>
      </c>
      <c r="I1733" s="118">
        <v>6.9444444444444447E-4</v>
      </c>
      <c r="J1733" s="118">
        <v>7.0717592592592594E-3</v>
      </c>
      <c r="K1733" s="118">
        <v>7.0717592592592594E-3</v>
      </c>
    </row>
    <row r="1734" spans="1:11" x14ac:dyDescent="0.25">
      <c r="A1734">
        <v>3</v>
      </c>
      <c r="B1734">
        <v>7</v>
      </c>
      <c r="C1734"/>
      <c r="D1734" t="s">
        <v>31</v>
      </c>
      <c r="E1734" t="s">
        <v>35</v>
      </c>
      <c r="F1734" t="s">
        <v>38</v>
      </c>
      <c r="G1734" s="118">
        <v>0.44861111111111113</v>
      </c>
      <c r="H1734" s="118">
        <v>9.1435185185185185E-4</v>
      </c>
      <c r="I1734" s="118">
        <v>3.4722222222222224E-4</v>
      </c>
      <c r="J1734"/>
      <c r="K1734"/>
    </row>
    <row r="1735" spans="1:11" x14ac:dyDescent="0.25">
      <c r="A1735">
        <v>5</v>
      </c>
      <c r="B1735">
        <v>7</v>
      </c>
      <c r="C1735"/>
      <c r="D1735" t="s">
        <v>31</v>
      </c>
      <c r="E1735" t="s">
        <v>32</v>
      </c>
      <c r="F1735" t="s">
        <v>50</v>
      </c>
      <c r="G1735" s="118">
        <v>0.44865740740740739</v>
      </c>
      <c r="H1735" s="118">
        <v>3.4722222222222224E-4</v>
      </c>
      <c r="I1735" s="118">
        <v>1.261574074074074E-3</v>
      </c>
      <c r="J1735" s="118">
        <v>7.0717592592592594E-3</v>
      </c>
      <c r="K1735" s="118">
        <v>7.0717592592592594E-3</v>
      </c>
    </row>
    <row r="1736" spans="1:11" x14ac:dyDescent="0.25">
      <c r="A1736">
        <v>3</v>
      </c>
      <c r="B1736">
        <v>7</v>
      </c>
      <c r="C1736"/>
      <c r="D1736" t="s">
        <v>31</v>
      </c>
      <c r="E1736" t="s">
        <v>32</v>
      </c>
      <c r="F1736" t="s">
        <v>38</v>
      </c>
      <c r="G1736" s="118">
        <v>0.44895833333333335</v>
      </c>
      <c r="H1736" s="118">
        <v>3.4722222222222224E-4</v>
      </c>
      <c r="I1736" s="118">
        <v>1.2384259259259258E-3</v>
      </c>
      <c r="J1736" s="118">
        <v>7.0717592592592594E-3</v>
      </c>
      <c r="K1736" s="118">
        <v>7.0717592592592594E-3</v>
      </c>
    </row>
    <row r="1737" spans="1:11" x14ac:dyDescent="0.25">
      <c r="A1737">
        <v>4</v>
      </c>
      <c r="B1737">
        <v>6</v>
      </c>
      <c r="C1737"/>
      <c r="D1737" t="s">
        <v>31</v>
      </c>
      <c r="E1737" t="s">
        <v>35</v>
      </c>
      <c r="F1737" t="s">
        <v>92</v>
      </c>
      <c r="G1737" s="118">
        <v>0.44909722222222226</v>
      </c>
      <c r="H1737" s="118">
        <v>6.9444444444444447E-4</v>
      </c>
      <c r="I1737" s="118">
        <v>5.2083333333333333E-4</v>
      </c>
      <c r="J1737"/>
      <c r="K1737"/>
    </row>
    <row r="1738" spans="1:11" x14ac:dyDescent="0.25">
      <c r="A1738">
        <v>1</v>
      </c>
      <c r="B1738">
        <v>6</v>
      </c>
      <c r="C1738"/>
      <c r="D1738" t="s">
        <v>31</v>
      </c>
      <c r="E1738" t="s">
        <v>35</v>
      </c>
      <c r="F1738" t="s">
        <v>49</v>
      </c>
      <c r="G1738" s="118">
        <v>0.44925925925925925</v>
      </c>
      <c r="H1738" s="118">
        <v>9.2592592592592585E-4</v>
      </c>
      <c r="I1738" s="118">
        <v>3.4722222222222224E-4</v>
      </c>
      <c r="J1738"/>
      <c r="K1738"/>
    </row>
    <row r="1739" spans="1:11" x14ac:dyDescent="0.25">
      <c r="A1739">
        <v>2</v>
      </c>
      <c r="B1739">
        <v>7</v>
      </c>
      <c r="C1739"/>
      <c r="D1739" t="s">
        <v>31</v>
      </c>
      <c r="E1739" t="s">
        <v>35</v>
      </c>
      <c r="F1739" t="s">
        <v>46</v>
      </c>
      <c r="G1739" s="118">
        <v>0.44952546296296297</v>
      </c>
      <c r="H1739" s="118">
        <v>1.8055555555555557E-3</v>
      </c>
      <c r="I1739" s="118">
        <v>3.4722222222222224E-4</v>
      </c>
      <c r="J1739"/>
      <c r="K1739"/>
    </row>
    <row r="1740" spans="1:11" x14ac:dyDescent="0.25">
      <c r="A1740">
        <v>1</v>
      </c>
      <c r="B1740">
        <v>6</v>
      </c>
      <c r="C1740"/>
      <c r="D1740" t="s">
        <v>31</v>
      </c>
      <c r="E1740" t="s">
        <v>32</v>
      </c>
      <c r="F1740" t="s">
        <v>49</v>
      </c>
      <c r="G1740" s="118">
        <v>0.44960648148148147</v>
      </c>
      <c r="H1740" s="118">
        <v>3.4722222222222224E-4</v>
      </c>
      <c r="I1740" s="118">
        <v>1.3541666666666667E-3</v>
      </c>
      <c r="J1740" s="118">
        <v>7.0717592592592594E-3</v>
      </c>
      <c r="K1740" s="118">
        <v>7.0717592592592594E-3</v>
      </c>
    </row>
    <row r="1741" spans="1:11" x14ac:dyDescent="0.25">
      <c r="A1741">
        <v>4</v>
      </c>
      <c r="B1741">
        <v>7</v>
      </c>
      <c r="C1741"/>
      <c r="D1741" t="s">
        <v>31</v>
      </c>
      <c r="E1741" t="s">
        <v>32</v>
      </c>
      <c r="F1741" t="s">
        <v>92</v>
      </c>
      <c r="G1741" s="118">
        <v>0.44961805555555556</v>
      </c>
      <c r="H1741" s="118">
        <v>5.2083333333333333E-4</v>
      </c>
      <c r="I1741" s="118">
        <v>1.0069444444444444E-3</v>
      </c>
      <c r="J1741" s="118">
        <v>7.0717592592592594E-3</v>
      </c>
      <c r="K1741" s="118">
        <v>7.0717592592592594E-3</v>
      </c>
    </row>
    <row r="1742" spans="1:11" x14ac:dyDescent="0.25">
      <c r="A1742">
        <v>2</v>
      </c>
      <c r="B1742">
        <v>7</v>
      </c>
      <c r="C1742"/>
      <c r="D1742" t="s">
        <v>31</v>
      </c>
      <c r="E1742" t="s">
        <v>32</v>
      </c>
      <c r="F1742" t="s">
        <v>46</v>
      </c>
      <c r="G1742" s="118">
        <v>0.44987268518518514</v>
      </c>
      <c r="H1742" s="118">
        <v>3.4722222222222224E-4</v>
      </c>
      <c r="I1742" s="118">
        <v>9.1435185185185185E-4</v>
      </c>
      <c r="J1742" s="118">
        <v>7.0717592592592594E-3</v>
      </c>
      <c r="K1742" s="118">
        <v>7.0717592592592594E-3</v>
      </c>
    </row>
    <row r="1743" spans="1:11" x14ac:dyDescent="0.25">
      <c r="A1743">
        <v>5</v>
      </c>
      <c r="B1743">
        <v>7</v>
      </c>
      <c r="C1743"/>
      <c r="D1743" t="s">
        <v>31</v>
      </c>
      <c r="E1743" t="s">
        <v>35</v>
      </c>
      <c r="F1743" t="s">
        <v>56</v>
      </c>
      <c r="G1743" s="118">
        <v>0.44991898148148146</v>
      </c>
      <c r="H1743" s="118">
        <v>1.261574074074074E-3</v>
      </c>
      <c r="I1743" s="118">
        <v>3.4722222222222224E-4</v>
      </c>
      <c r="J1743"/>
      <c r="K1743"/>
    </row>
    <row r="1744" spans="1:11" x14ac:dyDescent="0.25">
      <c r="A1744">
        <v>3</v>
      </c>
      <c r="B1744">
        <v>7</v>
      </c>
      <c r="C1744"/>
      <c r="D1744" t="s">
        <v>31</v>
      </c>
      <c r="E1744" t="s">
        <v>35</v>
      </c>
      <c r="F1744" t="s">
        <v>45</v>
      </c>
      <c r="G1744" s="118">
        <v>0.45019675925925928</v>
      </c>
      <c r="H1744" s="118">
        <v>1.2384259259259258E-3</v>
      </c>
      <c r="I1744" s="118">
        <v>3.4722222222222224E-4</v>
      </c>
      <c r="J1744"/>
      <c r="K1744"/>
    </row>
    <row r="1745" spans="1:11" x14ac:dyDescent="0.25">
      <c r="A1745">
        <v>5</v>
      </c>
      <c r="B1745">
        <v>7</v>
      </c>
      <c r="C1745"/>
      <c r="D1745" t="s">
        <v>31</v>
      </c>
      <c r="E1745" t="s">
        <v>32</v>
      </c>
      <c r="F1745" t="s">
        <v>56</v>
      </c>
      <c r="G1745" s="118">
        <v>0.45026620370370374</v>
      </c>
      <c r="H1745" s="118">
        <v>3.4722222222222224E-4</v>
      </c>
      <c r="I1745" s="118">
        <v>9.6064814814814808E-4</v>
      </c>
      <c r="J1745" s="118">
        <v>7.0717592592592594E-3</v>
      </c>
      <c r="K1745" s="118">
        <v>7.0717592592592594E-3</v>
      </c>
    </row>
    <row r="1746" spans="1:11" x14ac:dyDescent="0.25">
      <c r="A1746">
        <v>3</v>
      </c>
      <c r="B1746">
        <v>7</v>
      </c>
      <c r="C1746"/>
      <c r="D1746" t="s">
        <v>31</v>
      </c>
      <c r="E1746" t="s">
        <v>32</v>
      </c>
      <c r="F1746" t="s">
        <v>45</v>
      </c>
      <c r="G1746" s="118">
        <v>0.4505439814814815</v>
      </c>
      <c r="H1746" s="118">
        <v>3.4722222222222224E-4</v>
      </c>
      <c r="I1746" s="118">
        <v>1.0416666666666667E-3</v>
      </c>
      <c r="J1746" s="118">
        <v>7.0717592592592594E-3</v>
      </c>
      <c r="K1746" s="118">
        <v>7.0717592592592594E-3</v>
      </c>
    </row>
    <row r="1747" spans="1:11" x14ac:dyDescent="0.25">
      <c r="A1747">
        <v>4</v>
      </c>
      <c r="B1747">
        <v>7</v>
      </c>
      <c r="C1747"/>
      <c r="D1747" t="s">
        <v>31</v>
      </c>
      <c r="E1747" t="s">
        <v>35</v>
      </c>
      <c r="F1747" t="s">
        <v>41</v>
      </c>
      <c r="G1747" s="118">
        <v>0.450625</v>
      </c>
      <c r="H1747" s="118">
        <v>1.0069444444444444E-3</v>
      </c>
      <c r="I1747" s="118">
        <v>3.4722222222222224E-4</v>
      </c>
      <c r="J1747"/>
      <c r="K1747"/>
    </row>
    <row r="1748" spans="1:11" x14ac:dyDescent="0.25">
      <c r="A1748">
        <v>2</v>
      </c>
      <c r="B1748">
        <v>7</v>
      </c>
      <c r="C1748"/>
      <c r="D1748" t="s">
        <v>31</v>
      </c>
      <c r="E1748" t="s">
        <v>35</v>
      </c>
      <c r="F1748" t="s">
        <v>51</v>
      </c>
      <c r="G1748" s="118">
        <v>0.45078703703703704</v>
      </c>
      <c r="H1748" s="118">
        <v>9.1435185185185185E-4</v>
      </c>
      <c r="I1748" s="118">
        <v>3.4722222222222224E-4</v>
      </c>
      <c r="J1748"/>
      <c r="K1748"/>
    </row>
    <row r="1749" spans="1:11" x14ac:dyDescent="0.25">
      <c r="A1749">
        <v>1</v>
      </c>
      <c r="B1749">
        <v>6</v>
      </c>
      <c r="C1749"/>
      <c r="D1749" t="s">
        <v>31</v>
      </c>
      <c r="E1749" t="s">
        <v>35</v>
      </c>
      <c r="F1749" t="s">
        <v>33</v>
      </c>
      <c r="G1749" s="118">
        <v>0.45096064814814812</v>
      </c>
      <c r="H1749" s="118">
        <v>1.3541666666666667E-3</v>
      </c>
      <c r="I1749" s="118">
        <v>5.2083333333333333E-4</v>
      </c>
      <c r="J1749"/>
      <c r="K1749"/>
    </row>
    <row r="1750" spans="1:11" x14ac:dyDescent="0.25">
      <c r="A1750">
        <v>4</v>
      </c>
      <c r="B1750">
        <v>7</v>
      </c>
      <c r="C1750"/>
      <c r="D1750" t="s">
        <v>31</v>
      </c>
      <c r="E1750" t="s">
        <v>32</v>
      </c>
      <c r="F1750" t="s">
        <v>41</v>
      </c>
      <c r="G1750" s="118">
        <v>0.45097222222222227</v>
      </c>
      <c r="H1750" s="118">
        <v>3.4722222222222224E-4</v>
      </c>
      <c r="I1750" s="118">
        <v>8.564814814814815E-4</v>
      </c>
      <c r="J1750" s="118">
        <v>7.0717592592592594E-3</v>
      </c>
      <c r="K1750" s="118">
        <v>7.0717592592592594E-3</v>
      </c>
    </row>
    <row r="1751" spans="1:11" x14ac:dyDescent="0.25">
      <c r="A1751">
        <v>2</v>
      </c>
      <c r="B1751">
        <v>7</v>
      </c>
      <c r="C1751"/>
      <c r="D1751" t="s">
        <v>31</v>
      </c>
      <c r="E1751" t="s">
        <v>32</v>
      </c>
      <c r="F1751" t="s">
        <v>51</v>
      </c>
      <c r="G1751" s="118">
        <v>0.45113425925925926</v>
      </c>
      <c r="H1751" s="118">
        <v>3.4722222222222224E-4</v>
      </c>
      <c r="I1751" s="118">
        <v>1.0069444444444444E-3</v>
      </c>
      <c r="J1751" s="118">
        <v>7.0717592592592594E-3</v>
      </c>
      <c r="K1751" s="118">
        <v>7.0717592592592594E-3</v>
      </c>
    </row>
    <row r="1752" spans="1:11" x14ac:dyDescent="0.25">
      <c r="A1752">
        <v>5</v>
      </c>
      <c r="B1752">
        <v>7</v>
      </c>
      <c r="C1752"/>
      <c r="D1752" t="s">
        <v>31</v>
      </c>
      <c r="E1752" t="s">
        <v>35</v>
      </c>
      <c r="F1752" t="s">
        <v>37</v>
      </c>
      <c r="G1752" s="118">
        <v>0.45122685185185185</v>
      </c>
      <c r="H1752" s="118">
        <v>9.6064814814814808E-4</v>
      </c>
      <c r="I1752" s="118">
        <v>3.4722222222222224E-4</v>
      </c>
      <c r="J1752"/>
      <c r="K1752"/>
    </row>
    <row r="1753" spans="1:11" x14ac:dyDescent="0.25">
      <c r="A1753">
        <v>1</v>
      </c>
      <c r="B1753">
        <v>6</v>
      </c>
      <c r="C1753"/>
      <c r="D1753" t="s">
        <v>31</v>
      </c>
      <c r="E1753" t="s">
        <v>32</v>
      </c>
      <c r="F1753" t="s">
        <v>33</v>
      </c>
      <c r="G1753" s="118">
        <v>0.45148148148148143</v>
      </c>
      <c r="H1753" s="118">
        <v>5.2083333333333333E-4</v>
      </c>
      <c r="I1753" s="118">
        <v>9.6064814814814808E-4</v>
      </c>
      <c r="J1753" s="118">
        <v>7.0717592592592594E-3</v>
      </c>
      <c r="K1753" s="118">
        <v>7.0717592592592594E-3</v>
      </c>
    </row>
    <row r="1754" spans="1:11" x14ac:dyDescent="0.25">
      <c r="A1754">
        <v>5</v>
      </c>
      <c r="B1754">
        <v>7</v>
      </c>
      <c r="C1754"/>
      <c r="D1754" t="s">
        <v>31</v>
      </c>
      <c r="E1754" t="s">
        <v>32</v>
      </c>
      <c r="F1754" t="s">
        <v>37</v>
      </c>
      <c r="G1754" s="118">
        <v>0.45157407407407407</v>
      </c>
      <c r="H1754" s="118">
        <v>3.4722222222222224E-4</v>
      </c>
      <c r="I1754" s="118">
        <v>9.0277777777777784E-4</v>
      </c>
      <c r="J1754" s="118">
        <v>7.0717592592592594E-3</v>
      </c>
      <c r="K1754" s="118">
        <v>7.0717592592592594E-3</v>
      </c>
    </row>
    <row r="1755" spans="1:11" x14ac:dyDescent="0.25">
      <c r="A1755">
        <v>3</v>
      </c>
      <c r="B1755">
        <v>7</v>
      </c>
      <c r="C1755"/>
      <c r="D1755" t="s">
        <v>31</v>
      </c>
      <c r="E1755" t="s">
        <v>35</v>
      </c>
      <c r="F1755" t="s">
        <v>52</v>
      </c>
      <c r="G1755" s="118">
        <v>0.45158564814814817</v>
      </c>
      <c r="H1755" s="118">
        <v>1.0416666666666667E-3</v>
      </c>
      <c r="I1755" s="118">
        <v>3.4722222222222224E-4</v>
      </c>
      <c r="J1755"/>
      <c r="K1755"/>
    </row>
    <row r="1756" spans="1:11" x14ac:dyDescent="0.25">
      <c r="A1756">
        <v>4</v>
      </c>
      <c r="B1756">
        <v>7</v>
      </c>
      <c r="C1756"/>
      <c r="D1756" t="s">
        <v>31</v>
      </c>
      <c r="E1756" t="s">
        <v>35</v>
      </c>
      <c r="F1756" t="s">
        <v>47</v>
      </c>
      <c r="G1756" s="118">
        <v>0.4518287037037037</v>
      </c>
      <c r="H1756" s="118">
        <v>8.564814814814815E-4</v>
      </c>
      <c r="I1756" s="118">
        <v>5.2083333333333333E-4</v>
      </c>
      <c r="J1756"/>
      <c r="K1756"/>
    </row>
    <row r="1757" spans="1:11" x14ac:dyDescent="0.25">
      <c r="A1757">
        <v>3</v>
      </c>
      <c r="B1757">
        <v>7</v>
      </c>
      <c r="C1757"/>
      <c r="D1757" t="s">
        <v>31</v>
      </c>
      <c r="E1757" t="s">
        <v>32</v>
      </c>
      <c r="F1757" t="s">
        <v>52</v>
      </c>
      <c r="G1757" s="118">
        <v>0.45193287037037039</v>
      </c>
      <c r="H1757" s="118">
        <v>3.4722222222222224E-4</v>
      </c>
      <c r="I1757" s="118">
        <v>1.0532407407407407E-3</v>
      </c>
      <c r="J1757" s="118">
        <v>7.0717592592592594E-3</v>
      </c>
      <c r="K1757" s="118">
        <v>7.0717592592592594E-3</v>
      </c>
    </row>
    <row r="1758" spans="1:11" x14ac:dyDescent="0.25">
      <c r="A1758">
        <v>2</v>
      </c>
      <c r="B1758">
        <v>7</v>
      </c>
      <c r="C1758"/>
      <c r="D1758" t="s">
        <v>31</v>
      </c>
      <c r="E1758" t="s">
        <v>35</v>
      </c>
      <c r="F1758" t="s">
        <v>55</v>
      </c>
      <c r="G1758" s="118">
        <v>0.45214120370370375</v>
      </c>
      <c r="H1758" s="118">
        <v>1.0069444444444444E-3</v>
      </c>
      <c r="I1758" s="118">
        <v>4.6296296296296293E-4</v>
      </c>
      <c r="J1758"/>
      <c r="K1758"/>
    </row>
    <row r="1759" spans="1:11" x14ac:dyDescent="0.25">
      <c r="A1759">
        <v>4</v>
      </c>
      <c r="B1759">
        <v>7</v>
      </c>
      <c r="C1759"/>
      <c r="D1759" t="s">
        <v>31</v>
      </c>
      <c r="E1759" t="s">
        <v>32</v>
      </c>
      <c r="F1759" t="s">
        <v>47</v>
      </c>
      <c r="G1759" s="118">
        <v>0.45234953703703701</v>
      </c>
      <c r="H1759" s="118">
        <v>5.2083333333333333E-4</v>
      </c>
      <c r="I1759" s="118">
        <v>8.7962962962962962E-4</v>
      </c>
      <c r="J1759" s="118">
        <v>7.0717592592592594E-3</v>
      </c>
      <c r="K1759" s="118">
        <v>7.0717592592592594E-3</v>
      </c>
    </row>
    <row r="1760" spans="1:11" x14ac:dyDescent="0.25">
      <c r="A1760">
        <v>1</v>
      </c>
      <c r="B1760">
        <v>6</v>
      </c>
      <c r="C1760"/>
      <c r="D1760" t="s">
        <v>31</v>
      </c>
      <c r="E1760" t="s">
        <v>35</v>
      </c>
      <c r="F1760" t="s">
        <v>36</v>
      </c>
      <c r="G1760" s="118">
        <v>0.45244212962962965</v>
      </c>
      <c r="H1760" s="118">
        <v>9.6064814814814808E-4</v>
      </c>
      <c r="I1760" s="118">
        <v>3.4722222222222224E-4</v>
      </c>
      <c r="J1760"/>
      <c r="K1760"/>
    </row>
    <row r="1761" spans="1:11" x14ac:dyDescent="0.25">
      <c r="A1761">
        <v>5</v>
      </c>
      <c r="B1761">
        <v>7</v>
      </c>
      <c r="C1761"/>
      <c r="D1761" t="s">
        <v>31</v>
      </c>
      <c r="E1761" t="s">
        <v>35</v>
      </c>
      <c r="F1761" t="s">
        <v>42</v>
      </c>
      <c r="G1761" s="118">
        <v>0.45247685185185182</v>
      </c>
      <c r="H1761" s="118">
        <v>9.0277777777777784E-4</v>
      </c>
      <c r="I1761" s="118">
        <v>3.4722222222222224E-4</v>
      </c>
      <c r="J1761"/>
      <c r="K1761"/>
    </row>
    <row r="1762" spans="1:11" x14ac:dyDescent="0.25">
      <c r="A1762">
        <v>2</v>
      </c>
      <c r="B1762">
        <v>7</v>
      </c>
      <c r="C1762"/>
      <c r="D1762" t="s">
        <v>31</v>
      </c>
      <c r="E1762" t="s">
        <v>32</v>
      </c>
      <c r="F1762" t="s">
        <v>55</v>
      </c>
      <c r="G1762" s="118">
        <v>0.4526041666666667</v>
      </c>
      <c r="H1762" s="118">
        <v>4.6296296296296293E-4</v>
      </c>
      <c r="I1762" s="118">
        <v>4.3981481481481481E-4</v>
      </c>
      <c r="J1762" s="118">
        <v>7.0717592592592594E-3</v>
      </c>
      <c r="K1762" s="118">
        <v>7.0717592592592594E-3</v>
      </c>
    </row>
    <row r="1763" spans="1:11" x14ac:dyDescent="0.25">
      <c r="A1763">
        <v>1</v>
      </c>
      <c r="B1763">
        <v>6</v>
      </c>
      <c r="C1763"/>
      <c r="D1763" t="s">
        <v>31</v>
      </c>
      <c r="E1763" t="s">
        <v>32</v>
      </c>
      <c r="F1763" t="s">
        <v>36</v>
      </c>
      <c r="G1763" s="118">
        <v>0.45278935185185182</v>
      </c>
      <c r="H1763" s="118">
        <v>3.4722222222222224E-4</v>
      </c>
      <c r="I1763" s="118">
        <v>1.0995370370370371E-3</v>
      </c>
      <c r="J1763" s="118">
        <v>7.0717592592592594E-3</v>
      </c>
      <c r="K1763" s="118">
        <v>7.0717592592592594E-3</v>
      </c>
    </row>
    <row r="1764" spans="1:11" x14ac:dyDescent="0.25">
      <c r="A1764">
        <v>5</v>
      </c>
      <c r="B1764">
        <v>7</v>
      </c>
      <c r="C1764"/>
      <c r="D1764" t="s">
        <v>31</v>
      </c>
      <c r="E1764" t="s">
        <v>32</v>
      </c>
      <c r="F1764" t="s">
        <v>42</v>
      </c>
      <c r="G1764" s="118">
        <v>0.4528240740740741</v>
      </c>
      <c r="H1764" s="118">
        <v>3.4722222222222224E-4</v>
      </c>
      <c r="I1764" s="118">
        <v>9.1435185185185185E-4</v>
      </c>
      <c r="J1764" s="118">
        <v>7.0717592592592594E-3</v>
      </c>
      <c r="K1764" s="118">
        <v>7.0717592592592594E-3</v>
      </c>
    </row>
    <row r="1765" spans="1:11" x14ac:dyDescent="0.25">
      <c r="A1765">
        <v>3</v>
      </c>
      <c r="B1765">
        <v>7</v>
      </c>
      <c r="C1765"/>
      <c r="D1765" t="s">
        <v>31</v>
      </c>
      <c r="E1765" t="s">
        <v>35</v>
      </c>
      <c r="F1765" t="s">
        <v>57</v>
      </c>
      <c r="G1765" s="118">
        <v>0.45298611111111109</v>
      </c>
      <c r="H1765" s="118">
        <v>1.0532407407407407E-3</v>
      </c>
      <c r="I1765" s="118">
        <v>3.4722222222222224E-4</v>
      </c>
      <c r="J1765"/>
      <c r="K1765"/>
    </row>
    <row r="1766" spans="1:11" x14ac:dyDescent="0.25">
      <c r="A1766">
        <v>2</v>
      </c>
      <c r="B1766">
        <v>7</v>
      </c>
      <c r="C1766"/>
      <c r="D1766" t="s">
        <v>31</v>
      </c>
      <c r="E1766" t="s">
        <v>35</v>
      </c>
      <c r="F1766" t="s">
        <v>58</v>
      </c>
      <c r="G1766" s="118">
        <v>0.45304398148148151</v>
      </c>
      <c r="H1766" s="118">
        <v>4.3981481481481481E-4</v>
      </c>
      <c r="I1766" s="118">
        <v>5.7870370370370366E-5</v>
      </c>
      <c r="J1766"/>
      <c r="K1766"/>
    </row>
    <row r="1767" spans="1:11" x14ac:dyDescent="0.25">
      <c r="A1767">
        <v>2</v>
      </c>
      <c r="B1767">
        <v>7</v>
      </c>
      <c r="C1767"/>
      <c r="D1767" t="s">
        <v>31</v>
      </c>
      <c r="E1767" t="s">
        <v>32</v>
      </c>
      <c r="F1767" t="s">
        <v>58</v>
      </c>
      <c r="G1767" s="118">
        <v>0.45310185185185187</v>
      </c>
      <c r="H1767" s="118">
        <v>5.7870370370370366E-5</v>
      </c>
      <c r="I1767" s="118">
        <v>4.8611111111111104E-4</v>
      </c>
      <c r="J1767" s="118">
        <v>7.0717592592592594E-3</v>
      </c>
      <c r="K1767" s="118">
        <v>7.0717592592592594E-3</v>
      </c>
    </row>
    <row r="1768" spans="1:11" x14ac:dyDescent="0.25">
      <c r="A1768">
        <v>4</v>
      </c>
      <c r="B1768">
        <v>7</v>
      </c>
      <c r="C1768"/>
      <c r="D1768" t="s">
        <v>31</v>
      </c>
      <c r="E1768" t="s">
        <v>35</v>
      </c>
      <c r="F1768" t="s">
        <v>53</v>
      </c>
      <c r="G1768" s="118">
        <v>0.45322916666666663</v>
      </c>
      <c r="H1768" s="118">
        <v>8.7962962962962962E-4</v>
      </c>
      <c r="I1768" s="118">
        <v>3.4722222222222224E-4</v>
      </c>
      <c r="J1768"/>
      <c r="K1768"/>
    </row>
    <row r="1769" spans="1:11" x14ac:dyDescent="0.25">
      <c r="A1769">
        <v>3</v>
      </c>
      <c r="B1769">
        <v>7</v>
      </c>
      <c r="C1769"/>
      <c r="D1769" t="s">
        <v>31</v>
      </c>
      <c r="E1769" t="s">
        <v>32</v>
      </c>
      <c r="F1769" t="s">
        <v>57</v>
      </c>
      <c r="G1769" s="118">
        <v>0.45333333333333337</v>
      </c>
      <c r="H1769" s="118">
        <v>3.4722222222222224E-4</v>
      </c>
      <c r="I1769" s="118">
        <v>9.3750000000000007E-4</v>
      </c>
      <c r="J1769" s="118">
        <v>7.0717592592592594E-3</v>
      </c>
      <c r="K1769" s="118">
        <v>7.0717592592592594E-3</v>
      </c>
    </row>
    <row r="1770" spans="1:11" x14ac:dyDescent="0.25">
      <c r="A1770">
        <v>4</v>
      </c>
      <c r="B1770">
        <v>7</v>
      </c>
      <c r="C1770"/>
      <c r="D1770" t="s">
        <v>31</v>
      </c>
      <c r="E1770" t="s">
        <v>32</v>
      </c>
      <c r="F1770" t="s">
        <v>53</v>
      </c>
      <c r="G1770" s="118">
        <v>0.4535763888888889</v>
      </c>
      <c r="H1770" s="118">
        <v>3.4722222222222224E-4</v>
      </c>
      <c r="I1770" s="118">
        <v>8.449074074074075E-4</v>
      </c>
      <c r="J1770" s="118">
        <v>7.0717592592592594E-3</v>
      </c>
      <c r="K1770" s="118">
        <v>7.0717592592592594E-3</v>
      </c>
    </row>
    <row r="1771" spans="1:11" x14ac:dyDescent="0.25">
      <c r="A1771">
        <v>2</v>
      </c>
      <c r="B1771">
        <v>7</v>
      </c>
      <c r="C1771"/>
      <c r="D1771" t="s">
        <v>31</v>
      </c>
      <c r="E1771" t="s">
        <v>35</v>
      </c>
      <c r="F1771" t="s">
        <v>40</v>
      </c>
      <c r="G1771" s="118">
        <v>0.45358796296296294</v>
      </c>
      <c r="H1771" s="118">
        <v>4.8611111111111104E-4</v>
      </c>
      <c r="I1771" s="118">
        <v>4.6296296296296293E-4</v>
      </c>
      <c r="J1771"/>
      <c r="K1771"/>
    </row>
    <row r="1772" spans="1:11" x14ac:dyDescent="0.25">
      <c r="A1772">
        <v>5</v>
      </c>
      <c r="B1772">
        <v>7</v>
      </c>
      <c r="C1772"/>
      <c r="D1772" t="s">
        <v>31</v>
      </c>
      <c r="E1772" t="s">
        <v>35</v>
      </c>
      <c r="F1772" t="s">
        <v>48</v>
      </c>
      <c r="G1772" s="118">
        <v>0.45373842592592589</v>
      </c>
      <c r="H1772" s="118">
        <v>9.1435185185185185E-4</v>
      </c>
      <c r="I1772" s="118">
        <v>5.2083333333333333E-4</v>
      </c>
      <c r="J1772"/>
      <c r="K1772"/>
    </row>
    <row r="1773" spans="1:11" x14ac:dyDescent="0.25">
      <c r="A1773">
        <v>1</v>
      </c>
      <c r="B1773">
        <v>6</v>
      </c>
      <c r="C1773"/>
      <c r="D1773" t="s">
        <v>31</v>
      </c>
      <c r="E1773" t="s">
        <v>35</v>
      </c>
      <c r="F1773" t="s">
        <v>43</v>
      </c>
      <c r="G1773" s="118">
        <v>0.45388888888888884</v>
      </c>
      <c r="H1773" s="118">
        <v>1.0995370370370371E-3</v>
      </c>
      <c r="I1773" s="118">
        <v>3.4722222222222224E-4</v>
      </c>
      <c r="J1773"/>
      <c r="K1773"/>
    </row>
    <row r="1774" spans="1:11" x14ac:dyDescent="0.25">
      <c r="A1774">
        <v>2</v>
      </c>
      <c r="B1774">
        <v>7</v>
      </c>
      <c r="C1774"/>
      <c r="D1774" t="s">
        <v>31</v>
      </c>
      <c r="E1774" t="s">
        <v>32</v>
      </c>
      <c r="F1774" t="s">
        <v>40</v>
      </c>
      <c r="G1774" s="118">
        <v>0.45405092592592594</v>
      </c>
      <c r="H1774" s="118">
        <v>4.6296296296296293E-4</v>
      </c>
      <c r="I1774" s="118">
        <v>1.0069444444444444E-3</v>
      </c>
      <c r="J1774" s="118">
        <v>7.0717592592592594E-3</v>
      </c>
      <c r="K1774" s="118">
        <v>7.0717592592592594E-3</v>
      </c>
    </row>
    <row r="1775" spans="1:11" x14ac:dyDescent="0.25">
      <c r="A1775">
        <v>1</v>
      </c>
      <c r="B1775">
        <v>6</v>
      </c>
      <c r="C1775"/>
      <c r="D1775" t="s">
        <v>31</v>
      </c>
      <c r="E1775" t="s">
        <v>32</v>
      </c>
      <c r="F1775" t="s">
        <v>43</v>
      </c>
      <c r="G1775" s="118">
        <v>0.45423611111111112</v>
      </c>
      <c r="H1775" s="118">
        <v>3.4722222222222224E-4</v>
      </c>
      <c r="I1775" s="118">
        <v>1.1458333333333333E-3</v>
      </c>
      <c r="J1775" s="118">
        <v>7.0717592592592594E-3</v>
      </c>
      <c r="K1775" s="118">
        <v>7.0717592592592594E-3</v>
      </c>
    </row>
    <row r="1776" spans="1:11" x14ac:dyDescent="0.25">
      <c r="A1776">
        <v>5</v>
      </c>
      <c r="B1776">
        <v>7</v>
      </c>
      <c r="C1776"/>
      <c r="D1776" t="s">
        <v>31</v>
      </c>
      <c r="E1776" t="s">
        <v>32</v>
      </c>
      <c r="F1776" t="s">
        <v>48</v>
      </c>
      <c r="G1776" s="118">
        <v>0.45425925925925931</v>
      </c>
      <c r="H1776" s="118">
        <v>5.2083333333333333E-4</v>
      </c>
      <c r="I1776" s="118">
        <v>8.6805555555555551E-4</v>
      </c>
      <c r="J1776" s="118">
        <v>7.0717592592592594E-3</v>
      </c>
      <c r="K1776" s="118">
        <v>7.0717592592592594E-3</v>
      </c>
    </row>
    <row r="1777" spans="1:11" x14ac:dyDescent="0.25">
      <c r="A1777">
        <v>3</v>
      </c>
      <c r="B1777">
        <v>7</v>
      </c>
      <c r="C1777"/>
      <c r="D1777" t="s">
        <v>31</v>
      </c>
      <c r="E1777" t="s">
        <v>35</v>
      </c>
      <c r="F1777" t="s">
        <v>39</v>
      </c>
      <c r="G1777" s="118">
        <v>0.45427083333333335</v>
      </c>
      <c r="H1777" s="118">
        <v>9.3750000000000007E-4</v>
      </c>
      <c r="I1777" s="118">
        <v>5.2083333333333333E-4</v>
      </c>
      <c r="J1777"/>
      <c r="K1777"/>
    </row>
    <row r="1778" spans="1:11" x14ac:dyDescent="0.25">
      <c r="A1778">
        <v>4</v>
      </c>
      <c r="B1778">
        <v>7</v>
      </c>
      <c r="C1778"/>
      <c r="D1778" t="s">
        <v>31</v>
      </c>
      <c r="E1778" t="s">
        <v>35</v>
      </c>
      <c r="F1778" t="s">
        <v>34</v>
      </c>
      <c r="G1778" s="118">
        <v>0.4544212962962963</v>
      </c>
      <c r="H1778" s="118">
        <v>8.449074074074075E-4</v>
      </c>
      <c r="I1778" s="118">
        <v>3.4722222222222224E-4</v>
      </c>
      <c r="J1778"/>
      <c r="K1778"/>
    </row>
    <row r="1779" spans="1:11" x14ac:dyDescent="0.25">
      <c r="A1779">
        <v>4</v>
      </c>
      <c r="B1779">
        <v>7</v>
      </c>
      <c r="C1779"/>
      <c r="D1779" t="s">
        <v>31</v>
      </c>
      <c r="E1779" t="s">
        <v>32</v>
      </c>
      <c r="F1779" t="s">
        <v>34</v>
      </c>
      <c r="G1779" s="118">
        <v>0.45476851851851857</v>
      </c>
      <c r="H1779" s="118">
        <v>3.4722222222222224E-4</v>
      </c>
      <c r="I1779" s="118">
        <v>9.1435185185185185E-4</v>
      </c>
      <c r="J1779" s="118">
        <v>7.0717592592592594E-3</v>
      </c>
      <c r="K1779" s="118">
        <v>7.0717592592592594E-3</v>
      </c>
    </row>
    <row r="1780" spans="1:11" x14ac:dyDescent="0.25">
      <c r="A1780">
        <v>3</v>
      </c>
      <c r="B1780">
        <v>7</v>
      </c>
      <c r="C1780"/>
      <c r="D1780" t="s">
        <v>31</v>
      </c>
      <c r="E1780" t="s">
        <v>32</v>
      </c>
      <c r="F1780" t="s">
        <v>39</v>
      </c>
      <c r="G1780" s="118">
        <v>0.45479166666666665</v>
      </c>
      <c r="H1780" s="118">
        <v>5.2083333333333333E-4</v>
      </c>
      <c r="I1780" s="118">
        <v>1.8055555555555557E-3</v>
      </c>
      <c r="J1780" s="118">
        <v>7.0717592592592594E-3</v>
      </c>
      <c r="K1780" s="118">
        <v>7.0717592592592594E-3</v>
      </c>
    </row>
    <row r="1781" spans="1:11" x14ac:dyDescent="0.25">
      <c r="A1781">
        <v>2</v>
      </c>
      <c r="B1781">
        <v>7</v>
      </c>
      <c r="C1781"/>
      <c r="D1781" t="s">
        <v>31</v>
      </c>
      <c r="E1781" t="s">
        <v>35</v>
      </c>
      <c r="F1781" t="s">
        <v>44</v>
      </c>
      <c r="G1781" s="118">
        <v>0.45505787037037032</v>
      </c>
      <c r="H1781" s="118">
        <v>1.0069444444444444E-3</v>
      </c>
      <c r="I1781" s="118">
        <v>3.4722222222222224E-4</v>
      </c>
      <c r="J1781"/>
      <c r="K1781"/>
    </row>
    <row r="1782" spans="1:11" x14ac:dyDescent="0.25">
      <c r="A1782">
        <v>5</v>
      </c>
      <c r="B1782">
        <v>7</v>
      </c>
      <c r="C1782"/>
      <c r="D1782" t="s">
        <v>31</v>
      </c>
      <c r="E1782" t="s">
        <v>35</v>
      </c>
      <c r="F1782" t="s">
        <v>54</v>
      </c>
      <c r="G1782" s="118">
        <v>0.45512731481481478</v>
      </c>
      <c r="H1782" s="118">
        <v>8.6805555555555551E-4</v>
      </c>
      <c r="I1782" s="118">
        <v>3.4722222222222224E-4</v>
      </c>
      <c r="J1782"/>
      <c r="K1782"/>
    </row>
    <row r="1783" spans="1:11" x14ac:dyDescent="0.25">
      <c r="A1783">
        <v>1</v>
      </c>
      <c r="B1783">
        <v>6</v>
      </c>
      <c r="C1783"/>
      <c r="D1783" t="s">
        <v>31</v>
      </c>
      <c r="E1783" t="s">
        <v>35</v>
      </c>
      <c r="F1783" t="s">
        <v>50</v>
      </c>
      <c r="G1783" s="118">
        <v>0.45538194444444446</v>
      </c>
      <c r="H1783" s="118">
        <v>1.1458333333333333E-3</v>
      </c>
      <c r="I1783" s="118">
        <v>3.4722222222222224E-4</v>
      </c>
      <c r="J1783"/>
      <c r="K1783"/>
    </row>
    <row r="1784" spans="1:11" x14ac:dyDescent="0.25">
      <c r="A1784">
        <v>2</v>
      </c>
      <c r="B1784">
        <v>7</v>
      </c>
      <c r="C1784"/>
      <c r="D1784" t="s">
        <v>31</v>
      </c>
      <c r="E1784" t="s">
        <v>32</v>
      </c>
      <c r="F1784" t="s">
        <v>44</v>
      </c>
      <c r="G1784" s="118">
        <v>0.4554050925925926</v>
      </c>
      <c r="H1784" s="118">
        <v>3.4722222222222224E-4</v>
      </c>
      <c r="I1784" s="118">
        <v>9.2592592592592585E-4</v>
      </c>
      <c r="J1784" s="118">
        <v>7.0717592592592594E-3</v>
      </c>
      <c r="K1784" s="118">
        <v>7.0717592592592594E-3</v>
      </c>
    </row>
    <row r="1785" spans="1:11" x14ac:dyDescent="0.25">
      <c r="A1785">
        <v>5</v>
      </c>
      <c r="B1785">
        <v>7</v>
      </c>
      <c r="C1785"/>
      <c r="D1785" t="s">
        <v>31</v>
      </c>
      <c r="E1785" t="s">
        <v>32</v>
      </c>
      <c r="F1785" t="s">
        <v>54</v>
      </c>
      <c r="G1785" s="118">
        <v>0.45547453703703705</v>
      </c>
      <c r="H1785" s="118">
        <v>3.4722222222222224E-4</v>
      </c>
      <c r="I1785" s="118">
        <v>6.9444444444444447E-4</v>
      </c>
      <c r="J1785" s="118">
        <v>7.0717592592592594E-3</v>
      </c>
      <c r="K1785" s="118">
        <v>7.0717592592592594E-3</v>
      </c>
    </row>
    <row r="1786" spans="1:11" x14ac:dyDescent="0.25">
      <c r="A1786">
        <v>4</v>
      </c>
      <c r="B1786">
        <v>7</v>
      </c>
      <c r="C1786"/>
      <c r="D1786" t="s">
        <v>31</v>
      </c>
      <c r="E1786" t="s">
        <v>35</v>
      </c>
      <c r="F1786" t="s">
        <v>38</v>
      </c>
      <c r="G1786" s="118">
        <v>0.45568287037037036</v>
      </c>
      <c r="H1786" s="118">
        <v>9.1435185185185185E-4</v>
      </c>
      <c r="I1786" s="118">
        <v>3.4722222222222224E-4</v>
      </c>
      <c r="J1786"/>
      <c r="K1786"/>
    </row>
    <row r="1787" spans="1:11" x14ac:dyDescent="0.25">
      <c r="A1787">
        <v>1</v>
      </c>
      <c r="B1787">
        <v>6</v>
      </c>
      <c r="C1787"/>
      <c r="D1787" t="s">
        <v>31</v>
      </c>
      <c r="E1787" t="s">
        <v>32</v>
      </c>
      <c r="F1787" t="s">
        <v>50</v>
      </c>
      <c r="G1787" s="118">
        <v>0.45572916666666669</v>
      </c>
      <c r="H1787" s="118">
        <v>3.4722222222222224E-4</v>
      </c>
      <c r="I1787" s="118">
        <v>1.261574074074074E-3</v>
      </c>
      <c r="J1787" s="118">
        <v>7.0717592592592594E-3</v>
      </c>
      <c r="K1787" s="118">
        <v>7.0717592592592594E-3</v>
      </c>
    </row>
    <row r="1788" spans="1:11" x14ac:dyDescent="0.25">
      <c r="A1788">
        <v>4</v>
      </c>
      <c r="B1788">
        <v>7</v>
      </c>
      <c r="C1788"/>
      <c r="D1788" t="s">
        <v>31</v>
      </c>
      <c r="E1788" t="s">
        <v>32</v>
      </c>
      <c r="F1788" t="s">
        <v>38</v>
      </c>
      <c r="G1788" s="118">
        <v>0.45603009259259258</v>
      </c>
      <c r="H1788" s="118">
        <v>3.4722222222222224E-4</v>
      </c>
      <c r="I1788" s="118">
        <v>1.2384259259259258E-3</v>
      </c>
      <c r="J1788" s="118">
        <v>7.0717592592592594E-3</v>
      </c>
      <c r="K1788" s="118">
        <v>7.0717592592592594E-3</v>
      </c>
    </row>
    <row r="1789" spans="1:11" x14ac:dyDescent="0.25">
      <c r="A1789">
        <v>5</v>
      </c>
      <c r="B1789">
        <v>7</v>
      </c>
      <c r="C1789"/>
      <c r="D1789" t="s">
        <v>31</v>
      </c>
      <c r="E1789" t="s">
        <v>35</v>
      </c>
      <c r="F1789" t="s">
        <v>92</v>
      </c>
      <c r="G1789" s="118">
        <v>0.45616898148148149</v>
      </c>
      <c r="H1789" s="118">
        <v>6.9444444444444447E-4</v>
      </c>
      <c r="I1789" s="118">
        <v>5.2083333333333333E-4</v>
      </c>
      <c r="J1789"/>
      <c r="K1789"/>
    </row>
    <row r="1790" spans="1:11" x14ac:dyDescent="0.25">
      <c r="A1790">
        <v>2</v>
      </c>
      <c r="B1790">
        <v>7</v>
      </c>
      <c r="C1790"/>
      <c r="D1790" t="s">
        <v>31</v>
      </c>
      <c r="E1790" t="s">
        <v>35</v>
      </c>
      <c r="F1790" t="s">
        <v>49</v>
      </c>
      <c r="G1790" s="118">
        <v>0.45633101851851854</v>
      </c>
      <c r="H1790" s="118">
        <v>9.2592592592592585E-4</v>
      </c>
      <c r="I1790" s="118">
        <v>3.4722222222222224E-4</v>
      </c>
      <c r="J1790"/>
      <c r="K1790"/>
    </row>
    <row r="1791" spans="1:11" x14ac:dyDescent="0.25">
      <c r="A1791">
        <v>3</v>
      </c>
      <c r="B1791">
        <v>7</v>
      </c>
      <c r="C1791"/>
      <c r="D1791" t="s">
        <v>31</v>
      </c>
      <c r="E1791" t="s">
        <v>35</v>
      </c>
      <c r="F1791" t="s">
        <v>46</v>
      </c>
      <c r="G1791" s="118">
        <v>0.45659722222222227</v>
      </c>
      <c r="H1791" s="118">
        <v>1.8055555555555557E-3</v>
      </c>
      <c r="I1791" s="118">
        <v>3.4722222222222224E-4</v>
      </c>
      <c r="J1791"/>
      <c r="K1791"/>
    </row>
    <row r="1792" spans="1:11" x14ac:dyDescent="0.25">
      <c r="A1792">
        <v>2</v>
      </c>
      <c r="B1792">
        <v>7</v>
      </c>
      <c r="C1792"/>
      <c r="D1792" t="s">
        <v>31</v>
      </c>
      <c r="E1792" t="s">
        <v>32</v>
      </c>
      <c r="F1792" t="s">
        <v>49</v>
      </c>
      <c r="G1792" s="118">
        <v>0.45667824074074076</v>
      </c>
      <c r="H1792" s="118">
        <v>3.4722222222222224E-4</v>
      </c>
      <c r="I1792" s="118">
        <v>1.3541666666666667E-3</v>
      </c>
      <c r="J1792" s="118">
        <v>7.0717592592592594E-3</v>
      </c>
      <c r="K1792" s="118">
        <v>7.0717592592592594E-3</v>
      </c>
    </row>
    <row r="1793" spans="1:11" x14ac:dyDescent="0.25">
      <c r="A1793">
        <v>5</v>
      </c>
      <c r="B1793">
        <v>8</v>
      </c>
      <c r="C1793"/>
      <c r="D1793" t="s">
        <v>31</v>
      </c>
      <c r="E1793" t="s">
        <v>32</v>
      </c>
      <c r="F1793" t="s">
        <v>92</v>
      </c>
      <c r="G1793" s="118">
        <v>0.4566898148148148</v>
      </c>
      <c r="H1793" s="118">
        <v>5.2083333333333333E-4</v>
      </c>
      <c r="I1793" s="118">
        <v>1.0069444444444444E-3</v>
      </c>
      <c r="J1793" s="118">
        <v>7.0717592592592594E-3</v>
      </c>
      <c r="K1793" s="118">
        <v>7.0717592592592594E-3</v>
      </c>
    </row>
    <row r="1794" spans="1:11" x14ac:dyDescent="0.25">
      <c r="A1794">
        <v>3</v>
      </c>
      <c r="B1794">
        <v>7</v>
      </c>
      <c r="C1794"/>
      <c r="D1794" t="s">
        <v>31</v>
      </c>
      <c r="E1794" t="s">
        <v>32</v>
      </c>
      <c r="F1794" t="s">
        <v>46</v>
      </c>
      <c r="G1794" s="118">
        <v>0.45694444444444443</v>
      </c>
      <c r="H1794" s="118">
        <v>3.4722222222222224E-4</v>
      </c>
      <c r="I1794" s="118">
        <v>9.1435185185185185E-4</v>
      </c>
      <c r="J1794" s="118">
        <v>7.0717592592592594E-3</v>
      </c>
      <c r="K1794" s="118">
        <v>7.0717592592592594E-3</v>
      </c>
    </row>
    <row r="1795" spans="1:11" x14ac:dyDescent="0.25">
      <c r="A1795">
        <v>1</v>
      </c>
      <c r="B1795">
        <v>6</v>
      </c>
      <c r="C1795"/>
      <c r="D1795" t="s">
        <v>31</v>
      </c>
      <c r="E1795" t="s">
        <v>35</v>
      </c>
      <c r="F1795" t="s">
        <v>56</v>
      </c>
      <c r="G1795" s="118">
        <v>0.45699074074074075</v>
      </c>
      <c r="H1795" s="118">
        <v>1.261574074074074E-3</v>
      </c>
      <c r="I1795" s="118">
        <v>3.4722222222222224E-4</v>
      </c>
      <c r="J1795"/>
      <c r="K1795"/>
    </row>
    <row r="1796" spans="1:11" x14ac:dyDescent="0.25">
      <c r="A1796">
        <v>4</v>
      </c>
      <c r="B1796">
        <v>7</v>
      </c>
      <c r="C1796"/>
      <c r="D1796" t="s">
        <v>31</v>
      </c>
      <c r="E1796" t="s">
        <v>35</v>
      </c>
      <c r="F1796" t="s">
        <v>45</v>
      </c>
      <c r="G1796" s="118">
        <v>0.45726851851851852</v>
      </c>
      <c r="H1796" s="118">
        <v>1.2384259259259258E-3</v>
      </c>
      <c r="I1796" s="118">
        <v>3.4722222222222224E-4</v>
      </c>
      <c r="J1796"/>
      <c r="K1796"/>
    </row>
    <row r="1797" spans="1:11" x14ac:dyDescent="0.25">
      <c r="A1797">
        <v>1</v>
      </c>
      <c r="B1797">
        <v>6</v>
      </c>
      <c r="C1797"/>
      <c r="D1797" t="s">
        <v>31</v>
      </c>
      <c r="E1797" t="s">
        <v>32</v>
      </c>
      <c r="F1797" t="s">
        <v>56</v>
      </c>
      <c r="G1797" s="118">
        <v>0.45733796296296297</v>
      </c>
      <c r="H1797" s="118">
        <v>3.4722222222222224E-4</v>
      </c>
      <c r="I1797" s="118">
        <v>9.6064814814814808E-4</v>
      </c>
      <c r="J1797" s="118">
        <v>7.0717592592592594E-3</v>
      </c>
      <c r="K1797" s="118">
        <v>7.0717592592592594E-3</v>
      </c>
    </row>
    <row r="1798" spans="1:11" x14ac:dyDescent="0.25">
      <c r="A1798">
        <v>4</v>
      </c>
      <c r="B1798">
        <v>7</v>
      </c>
      <c r="C1798"/>
      <c r="D1798" t="s">
        <v>31</v>
      </c>
      <c r="E1798" t="s">
        <v>32</v>
      </c>
      <c r="F1798" t="s">
        <v>45</v>
      </c>
      <c r="G1798" s="118">
        <v>0.4576157407407408</v>
      </c>
      <c r="H1798" s="118">
        <v>3.4722222222222224E-4</v>
      </c>
      <c r="I1798" s="118">
        <v>1.0416666666666667E-3</v>
      </c>
      <c r="J1798" s="118">
        <v>7.0717592592592594E-3</v>
      </c>
      <c r="K1798" s="118">
        <v>7.0717592592592594E-3</v>
      </c>
    </row>
    <row r="1799" spans="1:11" x14ac:dyDescent="0.25">
      <c r="A1799">
        <v>5</v>
      </c>
      <c r="B1799">
        <v>8</v>
      </c>
      <c r="C1799"/>
      <c r="D1799" t="s">
        <v>31</v>
      </c>
      <c r="E1799" t="s">
        <v>35</v>
      </c>
      <c r="F1799" t="s">
        <v>41</v>
      </c>
      <c r="G1799" s="118">
        <v>0.45769675925925929</v>
      </c>
      <c r="H1799" s="118">
        <v>1.0069444444444444E-3</v>
      </c>
      <c r="I1799" s="118">
        <v>3.4722222222222224E-4</v>
      </c>
      <c r="J1799"/>
      <c r="K1799"/>
    </row>
    <row r="1800" spans="1:11" x14ac:dyDescent="0.25">
      <c r="A1800">
        <v>3</v>
      </c>
      <c r="B1800">
        <v>7</v>
      </c>
      <c r="C1800"/>
      <c r="D1800" t="s">
        <v>31</v>
      </c>
      <c r="E1800" t="s">
        <v>35</v>
      </c>
      <c r="F1800" t="s">
        <v>51</v>
      </c>
      <c r="G1800" s="118">
        <v>0.45785879629629633</v>
      </c>
      <c r="H1800" s="118">
        <v>9.1435185185185185E-4</v>
      </c>
      <c r="I1800" s="118">
        <v>3.4722222222222224E-4</v>
      </c>
      <c r="J1800"/>
      <c r="K1800"/>
    </row>
    <row r="1801" spans="1:11" x14ac:dyDescent="0.25">
      <c r="A1801">
        <v>2</v>
      </c>
      <c r="B1801">
        <v>7</v>
      </c>
      <c r="C1801"/>
      <c r="D1801" t="s">
        <v>31</v>
      </c>
      <c r="E1801" t="s">
        <v>35</v>
      </c>
      <c r="F1801" t="s">
        <v>33</v>
      </c>
      <c r="G1801" s="118">
        <v>0.45803240740740742</v>
      </c>
      <c r="H1801" s="118">
        <v>1.3541666666666667E-3</v>
      </c>
      <c r="I1801" s="118">
        <v>5.2083333333333333E-4</v>
      </c>
      <c r="J1801"/>
      <c r="K1801"/>
    </row>
    <row r="1802" spans="1:11" x14ac:dyDescent="0.25">
      <c r="A1802">
        <v>5</v>
      </c>
      <c r="B1802">
        <v>8</v>
      </c>
      <c r="C1802"/>
      <c r="D1802" t="s">
        <v>31</v>
      </c>
      <c r="E1802" t="s">
        <v>32</v>
      </c>
      <c r="F1802" t="s">
        <v>41</v>
      </c>
      <c r="G1802" s="118">
        <v>0.45804398148148145</v>
      </c>
      <c r="H1802" s="118">
        <v>3.4722222222222224E-4</v>
      </c>
      <c r="I1802" s="118">
        <v>8.564814814814815E-4</v>
      </c>
      <c r="J1802" s="118">
        <v>7.0717592592592594E-3</v>
      </c>
      <c r="K1802" s="118">
        <v>7.0717592592592594E-3</v>
      </c>
    </row>
    <row r="1803" spans="1:11" x14ac:dyDescent="0.25">
      <c r="A1803">
        <v>3</v>
      </c>
      <c r="B1803">
        <v>7</v>
      </c>
      <c r="C1803"/>
      <c r="D1803" t="s">
        <v>31</v>
      </c>
      <c r="E1803" t="s">
        <v>32</v>
      </c>
      <c r="F1803" t="s">
        <v>51</v>
      </c>
      <c r="G1803" s="118">
        <v>0.45820601851851855</v>
      </c>
      <c r="H1803" s="118">
        <v>3.4722222222222224E-4</v>
      </c>
      <c r="I1803" s="118">
        <v>1.0069444444444444E-3</v>
      </c>
      <c r="J1803" s="118">
        <v>7.0717592592592594E-3</v>
      </c>
      <c r="K1803" s="118">
        <v>7.0717592592592594E-3</v>
      </c>
    </row>
    <row r="1804" spans="1:11" x14ac:dyDescent="0.25">
      <c r="A1804">
        <v>1</v>
      </c>
      <c r="B1804">
        <v>6</v>
      </c>
      <c r="C1804"/>
      <c r="D1804" t="s">
        <v>31</v>
      </c>
      <c r="E1804" t="s">
        <v>35</v>
      </c>
      <c r="F1804" t="s">
        <v>37</v>
      </c>
      <c r="G1804" s="118">
        <v>0.45829861111111114</v>
      </c>
      <c r="H1804" s="118">
        <v>9.6064814814814808E-4</v>
      </c>
      <c r="I1804" s="118">
        <v>3.4722222222222224E-4</v>
      </c>
      <c r="J1804"/>
      <c r="K1804"/>
    </row>
    <row r="1805" spans="1:11" x14ac:dyDescent="0.25">
      <c r="A1805">
        <v>2</v>
      </c>
      <c r="B1805">
        <v>7</v>
      </c>
      <c r="C1805"/>
      <c r="D1805" t="s">
        <v>31</v>
      </c>
      <c r="E1805" t="s">
        <v>32</v>
      </c>
      <c r="F1805" t="s">
        <v>33</v>
      </c>
      <c r="G1805" s="118">
        <v>0.45855324074074072</v>
      </c>
      <c r="H1805" s="118">
        <v>5.2083333333333333E-4</v>
      </c>
      <c r="I1805" s="118">
        <v>9.6064814814814808E-4</v>
      </c>
      <c r="J1805" s="118">
        <v>7.0717592592592594E-3</v>
      </c>
      <c r="K1805" s="118">
        <v>7.0717592592592594E-3</v>
      </c>
    </row>
    <row r="1806" spans="1:11" x14ac:dyDescent="0.25">
      <c r="A1806">
        <v>1</v>
      </c>
      <c r="B1806">
        <v>6</v>
      </c>
      <c r="C1806"/>
      <c r="D1806" t="s">
        <v>31</v>
      </c>
      <c r="E1806" t="s">
        <v>32</v>
      </c>
      <c r="F1806" t="s">
        <v>37</v>
      </c>
      <c r="G1806" s="118">
        <v>0.45864583333333336</v>
      </c>
      <c r="H1806" s="118">
        <v>3.4722222222222224E-4</v>
      </c>
      <c r="I1806" s="118">
        <v>9.0277777777777784E-4</v>
      </c>
      <c r="J1806" s="118">
        <v>7.0717592592592594E-3</v>
      </c>
      <c r="K1806" s="118">
        <v>7.0717592592592594E-3</v>
      </c>
    </row>
    <row r="1807" spans="1:11" x14ac:dyDescent="0.25">
      <c r="A1807">
        <v>4</v>
      </c>
      <c r="B1807">
        <v>7</v>
      </c>
      <c r="C1807"/>
      <c r="D1807" t="s">
        <v>31</v>
      </c>
      <c r="E1807" t="s">
        <v>35</v>
      </c>
      <c r="F1807" t="s">
        <v>52</v>
      </c>
      <c r="G1807" s="118">
        <v>0.4586574074074074</v>
      </c>
      <c r="H1807" s="118">
        <v>1.0416666666666667E-3</v>
      </c>
      <c r="I1807" s="118">
        <v>3.4722222222222224E-4</v>
      </c>
      <c r="J1807"/>
      <c r="K1807"/>
    </row>
    <row r="1808" spans="1:11" x14ac:dyDescent="0.25">
      <c r="A1808">
        <v>5</v>
      </c>
      <c r="B1808">
        <v>8</v>
      </c>
      <c r="C1808"/>
      <c r="D1808" t="s">
        <v>31</v>
      </c>
      <c r="E1808" t="s">
        <v>35</v>
      </c>
      <c r="F1808" t="s">
        <v>47</v>
      </c>
      <c r="G1808" s="118">
        <v>0.45890046296296294</v>
      </c>
      <c r="H1808" s="118">
        <v>8.564814814814815E-4</v>
      </c>
      <c r="I1808" s="118">
        <v>5.2083333333333333E-4</v>
      </c>
      <c r="J1808"/>
      <c r="K1808"/>
    </row>
    <row r="1809" spans="1:11" x14ac:dyDescent="0.25">
      <c r="A1809">
        <v>4</v>
      </c>
      <c r="B1809">
        <v>7</v>
      </c>
      <c r="C1809"/>
      <c r="D1809" t="s">
        <v>31</v>
      </c>
      <c r="E1809" t="s">
        <v>32</v>
      </c>
      <c r="F1809" t="s">
        <v>52</v>
      </c>
      <c r="G1809" s="118">
        <v>0.45900462962962968</v>
      </c>
      <c r="H1809" s="118">
        <v>3.4722222222222224E-4</v>
      </c>
      <c r="I1809" s="118">
        <v>1.0532407407407407E-3</v>
      </c>
      <c r="J1809" s="118">
        <v>7.0717592592592594E-3</v>
      </c>
      <c r="K1809" s="118">
        <v>7.0717592592592594E-3</v>
      </c>
    </row>
    <row r="1810" spans="1:11" x14ac:dyDescent="0.25">
      <c r="A1810">
        <v>3</v>
      </c>
      <c r="B1810">
        <v>7</v>
      </c>
      <c r="C1810"/>
      <c r="D1810" t="s">
        <v>31</v>
      </c>
      <c r="E1810" t="s">
        <v>35</v>
      </c>
      <c r="F1810" t="s">
        <v>55</v>
      </c>
      <c r="G1810" s="118">
        <v>0.45921296296296293</v>
      </c>
      <c r="H1810" s="118">
        <v>1.0069444444444444E-3</v>
      </c>
      <c r="I1810" s="118">
        <v>4.6296296296296293E-4</v>
      </c>
      <c r="J1810"/>
      <c r="K1810"/>
    </row>
    <row r="1811" spans="1:11" x14ac:dyDescent="0.25">
      <c r="A1811">
        <v>5</v>
      </c>
      <c r="B1811">
        <v>8</v>
      </c>
      <c r="C1811"/>
      <c r="D1811" t="s">
        <v>31</v>
      </c>
      <c r="E1811" t="s">
        <v>32</v>
      </c>
      <c r="F1811" t="s">
        <v>47</v>
      </c>
      <c r="G1811" s="118">
        <v>0.4594212962962963</v>
      </c>
      <c r="H1811" s="118">
        <v>5.2083333333333333E-4</v>
      </c>
      <c r="I1811" s="118">
        <v>8.7962962962962962E-4</v>
      </c>
      <c r="J1811" s="118">
        <v>7.0717592592592594E-3</v>
      </c>
      <c r="K1811" s="118">
        <v>7.0717592592592594E-3</v>
      </c>
    </row>
    <row r="1812" spans="1:11" x14ac:dyDescent="0.25">
      <c r="A1812">
        <v>2</v>
      </c>
      <c r="B1812">
        <v>7</v>
      </c>
      <c r="C1812"/>
      <c r="D1812" t="s">
        <v>31</v>
      </c>
      <c r="E1812" t="s">
        <v>35</v>
      </c>
      <c r="F1812" t="s">
        <v>36</v>
      </c>
      <c r="G1812" s="118">
        <v>0.45951388888888894</v>
      </c>
      <c r="H1812" s="118">
        <v>9.6064814814814808E-4</v>
      </c>
      <c r="I1812" s="118">
        <v>3.4722222222222224E-4</v>
      </c>
      <c r="J1812"/>
      <c r="K1812"/>
    </row>
    <row r="1813" spans="1:11" x14ac:dyDescent="0.25">
      <c r="A1813">
        <v>1</v>
      </c>
      <c r="B1813">
        <v>6</v>
      </c>
      <c r="C1813"/>
      <c r="D1813" t="s">
        <v>31</v>
      </c>
      <c r="E1813" t="s">
        <v>35</v>
      </c>
      <c r="F1813" t="s">
        <v>42</v>
      </c>
      <c r="G1813" s="118">
        <v>0.45954861111111112</v>
      </c>
      <c r="H1813" s="118">
        <v>9.0277777777777784E-4</v>
      </c>
      <c r="I1813" s="118">
        <v>3.4722222222222224E-4</v>
      </c>
      <c r="J1813"/>
      <c r="K1813"/>
    </row>
    <row r="1814" spans="1:11" x14ac:dyDescent="0.25">
      <c r="A1814">
        <v>3</v>
      </c>
      <c r="B1814">
        <v>7</v>
      </c>
      <c r="C1814"/>
      <c r="D1814" t="s">
        <v>31</v>
      </c>
      <c r="E1814" t="s">
        <v>32</v>
      </c>
      <c r="F1814" t="s">
        <v>55</v>
      </c>
      <c r="G1814" s="118">
        <v>0.45967592592592593</v>
      </c>
      <c r="H1814" s="118">
        <v>4.6296296296296293E-4</v>
      </c>
      <c r="I1814" s="118">
        <v>4.3981481481481481E-4</v>
      </c>
      <c r="J1814" s="118">
        <v>7.0717592592592594E-3</v>
      </c>
      <c r="K1814" s="118">
        <v>7.0717592592592594E-3</v>
      </c>
    </row>
    <row r="1815" spans="1:11" x14ac:dyDescent="0.25">
      <c r="A1815">
        <v>2</v>
      </c>
      <c r="B1815">
        <v>7</v>
      </c>
      <c r="C1815"/>
      <c r="D1815" t="s">
        <v>31</v>
      </c>
      <c r="E1815" t="s">
        <v>32</v>
      </c>
      <c r="F1815" t="s">
        <v>36</v>
      </c>
      <c r="G1815" s="118">
        <v>0.45986111111111111</v>
      </c>
      <c r="H1815" s="118">
        <v>3.4722222222222224E-4</v>
      </c>
      <c r="I1815" s="118">
        <v>1.0995370370370371E-3</v>
      </c>
      <c r="J1815" s="118">
        <v>7.0717592592592594E-3</v>
      </c>
      <c r="K1815" s="118">
        <v>7.0717592592592594E-3</v>
      </c>
    </row>
    <row r="1816" spans="1:11" x14ac:dyDescent="0.25">
      <c r="A1816">
        <v>1</v>
      </c>
      <c r="B1816">
        <v>6</v>
      </c>
      <c r="C1816"/>
      <c r="D1816" t="s">
        <v>31</v>
      </c>
      <c r="E1816" t="s">
        <v>32</v>
      </c>
      <c r="F1816" t="s">
        <v>42</v>
      </c>
      <c r="G1816" s="118">
        <v>0.45989583333333334</v>
      </c>
      <c r="H1816" s="118">
        <v>3.4722222222222224E-4</v>
      </c>
      <c r="I1816" s="118">
        <v>9.1435185185185185E-4</v>
      </c>
      <c r="J1816" s="118">
        <v>7.0717592592592594E-3</v>
      </c>
      <c r="K1816" s="118">
        <v>7.0717592592592594E-3</v>
      </c>
    </row>
    <row r="1817" spans="1:11" x14ac:dyDescent="0.25">
      <c r="A1817">
        <v>4</v>
      </c>
      <c r="B1817">
        <v>7</v>
      </c>
      <c r="C1817"/>
      <c r="D1817" t="s">
        <v>31</v>
      </c>
      <c r="E1817" t="s">
        <v>35</v>
      </c>
      <c r="F1817" t="s">
        <v>57</v>
      </c>
      <c r="G1817" s="118">
        <v>0.46005787037037038</v>
      </c>
      <c r="H1817" s="118">
        <v>1.0532407407407407E-3</v>
      </c>
      <c r="I1817" s="118">
        <v>3.4722222222222224E-4</v>
      </c>
      <c r="J1817"/>
      <c r="K1817"/>
    </row>
    <row r="1818" spans="1:11" x14ac:dyDescent="0.25">
      <c r="A1818">
        <v>3</v>
      </c>
      <c r="B1818">
        <v>7</v>
      </c>
      <c r="C1818"/>
      <c r="D1818" t="s">
        <v>31</v>
      </c>
      <c r="E1818" t="s">
        <v>35</v>
      </c>
      <c r="F1818" t="s">
        <v>58</v>
      </c>
      <c r="G1818" s="118">
        <v>0.46011574074074074</v>
      </c>
      <c r="H1818" s="118">
        <v>4.3981481481481481E-4</v>
      </c>
      <c r="I1818" s="118">
        <v>5.7870370370370366E-5</v>
      </c>
      <c r="J1818"/>
      <c r="K1818"/>
    </row>
    <row r="1819" spans="1:11" x14ac:dyDescent="0.25">
      <c r="A1819">
        <v>3</v>
      </c>
      <c r="B1819">
        <v>7</v>
      </c>
      <c r="C1819"/>
      <c r="D1819" t="s">
        <v>31</v>
      </c>
      <c r="E1819" t="s">
        <v>32</v>
      </c>
      <c r="F1819" t="s">
        <v>58</v>
      </c>
      <c r="G1819" s="118">
        <v>0.46017361111111116</v>
      </c>
      <c r="H1819" s="118">
        <v>5.7870370370370366E-5</v>
      </c>
      <c r="I1819" s="118">
        <v>4.8611111111111104E-4</v>
      </c>
      <c r="J1819" s="118">
        <v>7.0717592592592594E-3</v>
      </c>
      <c r="K1819" s="118">
        <v>7.0717592592592594E-3</v>
      </c>
    </row>
    <row r="1820" spans="1:11" x14ac:dyDescent="0.25">
      <c r="A1820">
        <v>5</v>
      </c>
      <c r="B1820">
        <v>8</v>
      </c>
      <c r="C1820"/>
      <c r="D1820" t="s">
        <v>31</v>
      </c>
      <c r="E1820" t="s">
        <v>35</v>
      </c>
      <c r="F1820" t="s">
        <v>53</v>
      </c>
      <c r="G1820" s="118">
        <v>0.46030092592592592</v>
      </c>
      <c r="H1820" s="118">
        <v>8.7962962962962962E-4</v>
      </c>
      <c r="I1820" s="118">
        <v>3.4722222222222224E-4</v>
      </c>
      <c r="J1820"/>
      <c r="K1820"/>
    </row>
    <row r="1821" spans="1:11" x14ac:dyDescent="0.25">
      <c r="A1821">
        <v>4</v>
      </c>
      <c r="B1821">
        <v>7</v>
      </c>
      <c r="C1821"/>
      <c r="D1821" t="s">
        <v>31</v>
      </c>
      <c r="E1821" t="s">
        <v>32</v>
      </c>
      <c r="F1821" t="s">
        <v>57</v>
      </c>
      <c r="G1821" s="118">
        <v>0.4604050925925926</v>
      </c>
      <c r="H1821" s="118">
        <v>3.4722222222222224E-4</v>
      </c>
      <c r="I1821" s="118">
        <v>9.3750000000000007E-4</v>
      </c>
      <c r="J1821" s="118">
        <v>7.0717592592592594E-3</v>
      </c>
      <c r="K1821" s="118">
        <v>7.0717592592592594E-3</v>
      </c>
    </row>
    <row r="1822" spans="1:11" x14ac:dyDescent="0.25">
      <c r="A1822">
        <v>5</v>
      </c>
      <c r="B1822">
        <v>8</v>
      </c>
      <c r="C1822"/>
      <c r="D1822" t="s">
        <v>31</v>
      </c>
      <c r="E1822" t="s">
        <v>32</v>
      </c>
      <c r="F1822" t="s">
        <v>53</v>
      </c>
      <c r="G1822" s="118">
        <v>0.46064814814814814</v>
      </c>
      <c r="H1822" s="118">
        <v>3.4722222222222224E-4</v>
      </c>
      <c r="I1822" s="118">
        <v>8.449074074074075E-4</v>
      </c>
      <c r="J1822" s="118">
        <v>7.0717592592592594E-3</v>
      </c>
      <c r="K1822" s="118">
        <v>7.0717592592592594E-3</v>
      </c>
    </row>
    <row r="1823" spans="1:11" x14ac:dyDescent="0.25">
      <c r="A1823">
        <v>3</v>
      </c>
      <c r="B1823">
        <v>7</v>
      </c>
      <c r="C1823"/>
      <c r="D1823" t="s">
        <v>31</v>
      </c>
      <c r="E1823" t="s">
        <v>35</v>
      </c>
      <c r="F1823" t="s">
        <v>40</v>
      </c>
      <c r="G1823" s="118">
        <v>0.46065972222222223</v>
      </c>
      <c r="H1823" s="118">
        <v>4.8611111111111104E-4</v>
      </c>
      <c r="I1823" s="118">
        <v>4.6296296296296293E-4</v>
      </c>
      <c r="J1823"/>
      <c r="K1823"/>
    </row>
    <row r="1824" spans="1:11" x14ac:dyDescent="0.25">
      <c r="A1824">
        <v>1</v>
      </c>
      <c r="B1824">
        <v>6</v>
      </c>
      <c r="C1824"/>
      <c r="D1824" t="s">
        <v>31</v>
      </c>
      <c r="E1824" t="s">
        <v>35</v>
      </c>
      <c r="F1824" t="s">
        <v>48</v>
      </c>
      <c r="G1824" s="118">
        <v>0.46081018518518518</v>
      </c>
      <c r="H1824" s="118">
        <v>9.1435185185185185E-4</v>
      </c>
      <c r="I1824" s="118">
        <v>5.2083333333333333E-4</v>
      </c>
      <c r="J1824"/>
      <c r="K1824"/>
    </row>
    <row r="1825" spans="1:11" x14ac:dyDescent="0.25">
      <c r="A1825">
        <v>2</v>
      </c>
      <c r="B1825">
        <v>7</v>
      </c>
      <c r="C1825"/>
      <c r="D1825" t="s">
        <v>31</v>
      </c>
      <c r="E1825" t="s">
        <v>35</v>
      </c>
      <c r="F1825" t="s">
        <v>43</v>
      </c>
      <c r="G1825" s="118">
        <v>0.46096064814814813</v>
      </c>
      <c r="H1825" s="118">
        <v>1.0995370370370371E-3</v>
      </c>
      <c r="I1825" s="118">
        <v>3.4722222222222224E-4</v>
      </c>
      <c r="J1825"/>
      <c r="K1825"/>
    </row>
    <row r="1826" spans="1:11" x14ac:dyDescent="0.25">
      <c r="A1826">
        <v>3</v>
      </c>
      <c r="B1826">
        <v>7</v>
      </c>
      <c r="C1826"/>
      <c r="D1826" t="s">
        <v>31</v>
      </c>
      <c r="E1826" t="s">
        <v>32</v>
      </c>
      <c r="F1826" t="s">
        <v>40</v>
      </c>
      <c r="G1826" s="118">
        <v>0.46112268518518523</v>
      </c>
      <c r="H1826" s="118">
        <v>4.6296296296296293E-4</v>
      </c>
      <c r="I1826" s="118">
        <v>1.0069444444444444E-3</v>
      </c>
      <c r="J1826" s="118">
        <v>7.0717592592592594E-3</v>
      </c>
      <c r="K1826" s="118">
        <v>7.0717592592592594E-3</v>
      </c>
    </row>
    <row r="1827" spans="1:11" x14ac:dyDescent="0.25">
      <c r="A1827">
        <v>2</v>
      </c>
      <c r="B1827">
        <v>7</v>
      </c>
      <c r="C1827"/>
      <c r="D1827" t="s">
        <v>31</v>
      </c>
      <c r="E1827" t="s">
        <v>32</v>
      </c>
      <c r="F1827" t="s">
        <v>43</v>
      </c>
      <c r="G1827" s="118">
        <v>0.46130787037037035</v>
      </c>
      <c r="H1827" s="118">
        <v>3.4722222222222224E-4</v>
      </c>
      <c r="I1827" s="118">
        <v>1.1458333333333333E-3</v>
      </c>
      <c r="J1827" s="118">
        <v>7.0717592592592594E-3</v>
      </c>
      <c r="K1827" s="118">
        <v>7.0717592592592594E-3</v>
      </c>
    </row>
    <row r="1828" spans="1:11" x14ac:dyDescent="0.25">
      <c r="A1828">
        <v>1</v>
      </c>
      <c r="B1828">
        <v>6</v>
      </c>
      <c r="C1828"/>
      <c r="D1828" t="s">
        <v>31</v>
      </c>
      <c r="E1828" t="s">
        <v>32</v>
      </c>
      <c r="F1828" t="s">
        <v>48</v>
      </c>
      <c r="G1828" s="118">
        <v>0.46133101851851849</v>
      </c>
      <c r="H1828" s="118">
        <v>5.2083333333333333E-4</v>
      </c>
      <c r="I1828" s="118">
        <v>8.6805555555555551E-4</v>
      </c>
      <c r="J1828" s="118">
        <v>7.0717592592592594E-3</v>
      </c>
      <c r="K1828" s="118">
        <v>7.0717592592592594E-3</v>
      </c>
    </row>
    <row r="1829" spans="1:11" x14ac:dyDescent="0.25">
      <c r="A1829">
        <v>4</v>
      </c>
      <c r="B1829">
        <v>7</v>
      </c>
      <c r="C1829"/>
      <c r="D1829" t="s">
        <v>31</v>
      </c>
      <c r="E1829" t="s">
        <v>35</v>
      </c>
      <c r="F1829" t="s">
        <v>39</v>
      </c>
      <c r="G1829" s="118">
        <v>0.46134259259259264</v>
      </c>
      <c r="H1829" s="118">
        <v>9.3750000000000007E-4</v>
      </c>
      <c r="I1829" s="118">
        <v>5.2083333333333333E-4</v>
      </c>
      <c r="J1829"/>
      <c r="K1829"/>
    </row>
    <row r="1830" spans="1:11" x14ac:dyDescent="0.25">
      <c r="A1830">
        <v>5</v>
      </c>
      <c r="B1830">
        <v>8</v>
      </c>
      <c r="C1830"/>
      <c r="D1830" t="s">
        <v>31</v>
      </c>
      <c r="E1830" t="s">
        <v>35</v>
      </c>
      <c r="F1830" t="s">
        <v>34</v>
      </c>
      <c r="G1830" s="118">
        <v>0.46149305555555559</v>
      </c>
      <c r="H1830" s="118">
        <v>8.449074074074075E-4</v>
      </c>
      <c r="I1830" s="118">
        <v>3.4722222222222224E-4</v>
      </c>
      <c r="J1830"/>
      <c r="K1830"/>
    </row>
    <row r="1831" spans="1:11" x14ac:dyDescent="0.25">
      <c r="A1831">
        <v>5</v>
      </c>
      <c r="B1831">
        <v>8</v>
      </c>
      <c r="C1831"/>
      <c r="D1831" t="s">
        <v>31</v>
      </c>
      <c r="E1831" t="s">
        <v>32</v>
      </c>
      <c r="F1831" t="s">
        <v>34</v>
      </c>
      <c r="G1831" s="118">
        <v>0.46184027777777775</v>
      </c>
      <c r="H1831" s="118">
        <v>3.4722222222222224E-4</v>
      </c>
      <c r="I1831" s="118">
        <v>9.1435185185185185E-4</v>
      </c>
      <c r="J1831" s="118">
        <v>7.0717592592592594E-3</v>
      </c>
      <c r="K1831" s="118">
        <v>7.0717592592592594E-3</v>
      </c>
    </row>
    <row r="1832" spans="1:11" x14ac:dyDescent="0.25">
      <c r="A1832">
        <v>4</v>
      </c>
      <c r="B1832">
        <v>7</v>
      </c>
      <c r="C1832"/>
      <c r="D1832" t="s">
        <v>31</v>
      </c>
      <c r="E1832" t="s">
        <v>32</v>
      </c>
      <c r="F1832" t="s">
        <v>39</v>
      </c>
      <c r="G1832" s="118">
        <v>0.46186342592592594</v>
      </c>
      <c r="H1832" s="118">
        <v>5.2083333333333333E-4</v>
      </c>
      <c r="I1832" s="118">
        <v>1.8055555555555557E-3</v>
      </c>
      <c r="J1832" s="118">
        <v>7.0717592592592594E-3</v>
      </c>
      <c r="K1832" s="118">
        <v>7.0717592592592594E-3</v>
      </c>
    </row>
    <row r="1833" spans="1:11" x14ac:dyDescent="0.25">
      <c r="A1833">
        <v>3</v>
      </c>
      <c r="B1833">
        <v>7</v>
      </c>
      <c r="C1833"/>
      <c r="D1833" t="s">
        <v>31</v>
      </c>
      <c r="E1833" t="s">
        <v>35</v>
      </c>
      <c r="F1833" t="s">
        <v>44</v>
      </c>
      <c r="G1833" s="118">
        <v>0.46212962962962961</v>
      </c>
      <c r="H1833" s="118">
        <v>1.0069444444444444E-3</v>
      </c>
      <c r="I1833" s="118">
        <v>3.4722222222222224E-4</v>
      </c>
      <c r="J1833"/>
      <c r="K1833"/>
    </row>
    <row r="1834" spans="1:11" x14ac:dyDescent="0.25">
      <c r="A1834">
        <v>1</v>
      </c>
      <c r="B1834">
        <v>6</v>
      </c>
      <c r="C1834"/>
      <c r="D1834" t="s">
        <v>31</v>
      </c>
      <c r="E1834" t="s">
        <v>35</v>
      </c>
      <c r="F1834" t="s">
        <v>54</v>
      </c>
      <c r="G1834" s="118">
        <v>0.46219907407407407</v>
      </c>
      <c r="H1834" s="118">
        <v>8.6805555555555551E-4</v>
      </c>
      <c r="I1834" s="118">
        <v>3.4722222222222224E-4</v>
      </c>
      <c r="J1834"/>
      <c r="K1834"/>
    </row>
    <row r="1835" spans="1:11" x14ac:dyDescent="0.25">
      <c r="A1835">
        <v>2</v>
      </c>
      <c r="B1835">
        <v>7</v>
      </c>
      <c r="C1835"/>
      <c r="D1835" t="s">
        <v>31</v>
      </c>
      <c r="E1835" t="s">
        <v>35</v>
      </c>
      <c r="F1835" t="s">
        <v>50</v>
      </c>
      <c r="G1835" s="118">
        <v>0.4624537037037037</v>
      </c>
      <c r="H1835" s="118">
        <v>1.1458333333333333E-3</v>
      </c>
      <c r="I1835" s="118">
        <v>3.4722222222222224E-4</v>
      </c>
      <c r="J1835"/>
      <c r="K1835"/>
    </row>
    <row r="1836" spans="1:11" x14ac:dyDescent="0.25">
      <c r="A1836">
        <v>3</v>
      </c>
      <c r="B1836">
        <v>7</v>
      </c>
      <c r="C1836"/>
      <c r="D1836" t="s">
        <v>31</v>
      </c>
      <c r="E1836" t="s">
        <v>32</v>
      </c>
      <c r="F1836" t="s">
        <v>44</v>
      </c>
      <c r="G1836" s="118">
        <v>0.46247685185185183</v>
      </c>
      <c r="H1836" s="118">
        <v>3.4722222222222224E-4</v>
      </c>
      <c r="I1836" s="118">
        <v>9.2592592592592585E-4</v>
      </c>
      <c r="J1836" s="118">
        <v>7.0717592592592594E-3</v>
      </c>
      <c r="K1836" s="118">
        <v>7.0717592592592594E-3</v>
      </c>
    </row>
    <row r="1837" spans="1:11" x14ac:dyDescent="0.25">
      <c r="A1837">
        <v>1</v>
      </c>
      <c r="B1837">
        <v>6</v>
      </c>
      <c r="C1837"/>
      <c r="D1837" t="s">
        <v>31</v>
      </c>
      <c r="E1837" t="s">
        <v>32</v>
      </c>
      <c r="F1837" t="s">
        <v>54</v>
      </c>
      <c r="G1837" s="118">
        <v>0.46254629629629629</v>
      </c>
      <c r="H1837" s="118">
        <v>3.4722222222222224E-4</v>
      </c>
      <c r="I1837" s="118">
        <v>6.9444444444444447E-4</v>
      </c>
      <c r="J1837" s="118">
        <v>7.0717592592592594E-3</v>
      </c>
      <c r="K1837" s="118">
        <v>7.0717592592592594E-3</v>
      </c>
    </row>
    <row r="1838" spans="1:11" x14ac:dyDescent="0.25">
      <c r="A1838">
        <v>5</v>
      </c>
      <c r="B1838">
        <v>8</v>
      </c>
      <c r="C1838"/>
      <c r="D1838" t="s">
        <v>31</v>
      </c>
      <c r="E1838" t="s">
        <v>35</v>
      </c>
      <c r="F1838" t="s">
        <v>38</v>
      </c>
      <c r="G1838" s="118">
        <v>0.46275462962962965</v>
      </c>
      <c r="H1838" s="118">
        <v>9.1435185185185185E-4</v>
      </c>
      <c r="I1838" s="118">
        <v>3.4722222222222224E-4</v>
      </c>
      <c r="J1838"/>
      <c r="K1838"/>
    </row>
    <row r="1839" spans="1:11" x14ac:dyDescent="0.25">
      <c r="A1839">
        <v>2</v>
      </c>
      <c r="B1839">
        <v>7</v>
      </c>
      <c r="C1839"/>
      <c r="D1839" t="s">
        <v>31</v>
      </c>
      <c r="E1839" t="s">
        <v>32</v>
      </c>
      <c r="F1839" t="s">
        <v>50</v>
      </c>
      <c r="G1839" s="118">
        <v>0.46280092592592598</v>
      </c>
      <c r="H1839" s="118">
        <v>3.4722222222222224E-4</v>
      </c>
      <c r="I1839" s="118">
        <v>1.261574074074074E-3</v>
      </c>
      <c r="J1839" s="118">
        <v>7.0717592592592594E-3</v>
      </c>
      <c r="K1839" s="118">
        <v>7.0717592592592594E-3</v>
      </c>
    </row>
    <row r="1840" spans="1:11" x14ac:dyDescent="0.25">
      <c r="A1840">
        <v>5</v>
      </c>
      <c r="B1840">
        <v>8</v>
      </c>
      <c r="C1840"/>
      <c r="D1840" t="s">
        <v>31</v>
      </c>
      <c r="E1840" t="s">
        <v>32</v>
      </c>
      <c r="F1840" t="s">
        <v>38</v>
      </c>
      <c r="G1840" s="118">
        <v>0.46310185185185188</v>
      </c>
      <c r="H1840" s="118">
        <v>3.4722222222222224E-4</v>
      </c>
      <c r="I1840" s="118">
        <v>1.2384259259259258E-3</v>
      </c>
      <c r="J1840" s="118">
        <v>7.0717592592592594E-3</v>
      </c>
      <c r="K1840" s="118">
        <v>7.0717592592592594E-3</v>
      </c>
    </row>
    <row r="1841" spans="1:11" x14ac:dyDescent="0.25">
      <c r="A1841">
        <v>1</v>
      </c>
      <c r="B1841">
        <v>6</v>
      </c>
      <c r="C1841"/>
      <c r="D1841" t="s">
        <v>31</v>
      </c>
      <c r="E1841" t="s">
        <v>35</v>
      </c>
      <c r="F1841" t="s">
        <v>92</v>
      </c>
      <c r="G1841" s="118">
        <v>0.46324074074074079</v>
      </c>
      <c r="H1841" s="118">
        <v>6.9444444444444447E-4</v>
      </c>
      <c r="I1841" s="118">
        <v>5.2083333333333333E-4</v>
      </c>
      <c r="J1841"/>
      <c r="K1841"/>
    </row>
    <row r="1842" spans="1:11" x14ac:dyDescent="0.25">
      <c r="A1842">
        <v>3</v>
      </c>
      <c r="B1842">
        <v>7</v>
      </c>
      <c r="C1842"/>
      <c r="D1842" t="s">
        <v>31</v>
      </c>
      <c r="E1842" t="s">
        <v>35</v>
      </c>
      <c r="F1842" t="s">
        <v>49</v>
      </c>
      <c r="G1842" s="118">
        <v>0.46340277777777777</v>
      </c>
      <c r="H1842" s="118">
        <v>9.2592592592592585E-4</v>
      </c>
      <c r="I1842" s="118">
        <v>3.4722222222222224E-4</v>
      </c>
      <c r="J1842"/>
      <c r="K1842"/>
    </row>
    <row r="1843" spans="1:11" x14ac:dyDescent="0.25">
      <c r="A1843">
        <v>4</v>
      </c>
      <c r="B1843">
        <v>7</v>
      </c>
      <c r="C1843"/>
      <c r="D1843" t="s">
        <v>31</v>
      </c>
      <c r="E1843" t="s">
        <v>35</v>
      </c>
      <c r="F1843" t="s">
        <v>46</v>
      </c>
      <c r="G1843" s="118">
        <v>0.46366898148148145</v>
      </c>
      <c r="H1843" s="118">
        <v>1.8055555555555557E-3</v>
      </c>
      <c r="I1843" s="118">
        <v>3.4722222222222224E-4</v>
      </c>
      <c r="J1843"/>
      <c r="K1843"/>
    </row>
    <row r="1844" spans="1:11" x14ac:dyDescent="0.25">
      <c r="A1844">
        <v>3</v>
      </c>
      <c r="B1844">
        <v>7</v>
      </c>
      <c r="C1844"/>
      <c r="D1844" t="s">
        <v>31</v>
      </c>
      <c r="E1844" t="s">
        <v>32</v>
      </c>
      <c r="F1844" t="s">
        <v>49</v>
      </c>
      <c r="G1844" s="118">
        <v>0.46375000000000005</v>
      </c>
      <c r="H1844" s="118">
        <v>3.4722222222222224E-4</v>
      </c>
      <c r="I1844" s="118">
        <v>1.3541666666666667E-3</v>
      </c>
      <c r="J1844" s="118">
        <v>7.0717592592592594E-3</v>
      </c>
      <c r="K1844" s="118">
        <v>7.0717592592592594E-3</v>
      </c>
    </row>
    <row r="1845" spans="1:11" x14ac:dyDescent="0.25">
      <c r="A1845">
        <v>1</v>
      </c>
      <c r="B1845">
        <v>7</v>
      </c>
      <c r="C1845"/>
      <c r="D1845" t="s">
        <v>31</v>
      </c>
      <c r="E1845" t="s">
        <v>32</v>
      </c>
      <c r="F1845" t="s">
        <v>92</v>
      </c>
      <c r="G1845" s="118">
        <v>0.46376157407407409</v>
      </c>
      <c r="H1845" s="118">
        <v>5.2083333333333333E-4</v>
      </c>
      <c r="I1845" s="118">
        <v>1.0069444444444444E-3</v>
      </c>
      <c r="J1845" s="118">
        <v>7.0717592592592594E-3</v>
      </c>
      <c r="K1845" s="118">
        <v>7.0717592592592594E-3</v>
      </c>
    </row>
    <row r="1846" spans="1:11" x14ac:dyDescent="0.25">
      <c r="A1846">
        <v>4</v>
      </c>
      <c r="B1846">
        <v>7</v>
      </c>
      <c r="C1846"/>
      <c r="D1846" t="s">
        <v>31</v>
      </c>
      <c r="E1846" t="s">
        <v>32</v>
      </c>
      <c r="F1846" t="s">
        <v>46</v>
      </c>
      <c r="G1846" s="118">
        <v>0.46401620370370367</v>
      </c>
      <c r="H1846" s="118">
        <v>3.4722222222222224E-4</v>
      </c>
      <c r="I1846" s="118">
        <v>9.1435185185185185E-4</v>
      </c>
      <c r="J1846" s="118">
        <v>7.0717592592592594E-3</v>
      </c>
      <c r="K1846" s="118">
        <v>7.0717592592592594E-3</v>
      </c>
    </row>
    <row r="1847" spans="1:11" x14ac:dyDescent="0.25">
      <c r="A1847">
        <v>2</v>
      </c>
      <c r="B1847">
        <v>7</v>
      </c>
      <c r="C1847"/>
      <c r="D1847" t="s">
        <v>31</v>
      </c>
      <c r="E1847" t="s">
        <v>35</v>
      </c>
      <c r="F1847" t="s">
        <v>56</v>
      </c>
      <c r="G1847" s="118">
        <v>0.46406249999999999</v>
      </c>
      <c r="H1847" s="118">
        <v>1.261574074074074E-3</v>
      </c>
      <c r="I1847" s="118">
        <v>3.4722222222222224E-4</v>
      </c>
      <c r="J1847"/>
      <c r="K1847"/>
    </row>
    <row r="1848" spans="1:11" x14ac:dyDescent="0.25">
      <c r="A1848">
        <v>5</v>
      </c>
      <c r="B1848">
        <v>8</v>
      </c>
      <c r="C1848"/>
      <c r="D1848" t="s">
        <v>31</v>
      </c>
      <c r="E1848" t="s">
        <v>35</v>
      </c>
      <c r="F1848" t="s">
        <v>45</v>
      </c>
      <c r="G1848" s="118">
        <v>0.46434027777777781</v>
      </c>
      <c r="H1848" s="118">
        <v>1.2384259259259258E-3</v>
      </c>
      <c r="I1848" s="118">
        <v>3.4722222222222224E-4</v>
      </c>
      <c r="J1848"/>
      <c r="K1848"/>
    </row>
    <row r="1849" spans="1:11" x14ac:dyDescent="0.25">
      <c r="A1849">
        <v>2</v>
      </c>
      <c r="B1849">
        <v>7</v>
      </c>
      <c r="C1849"/>
      <c r="D1849" t="s">
        <v>31</v>
      </c>
      <c r="E1849" t="s">
        <v>32</v>
      </c>
      <c r="F1849" t="s">
        <v>56</v>
      </c>
      <c r="G1849" s="118">
        <v>0.46440972222222227</v>
      </c>
      <c r="H1849" s="118">
        <v>3.4722222222222224E-4</v>
      </c>
      <c r="I1849" s="118">
        <v>9.6064814814814808E-4</v>
      </c>
      <c r="J1849" s="118">
        <v>7.0717592592592594E-3</v>
      </c>
      <c r="K1849" s="118">
        <v>7.0717592592592594E-3</v>
      </c>
    </row>
    <row r="1850" spans="1:11" x14ac:dyDescent="0.25">
      <c r="A1850">
        <v>5</v>
      </c>
      <c r="B1850">
        <v>8</v>
      </c>
      <c r="C1850"/>
      <c r="D1850" t="s">
        <v>31</v>
      </c>
      <c r="E1850" t="s">
        <v>32</v>
      </c>
      <c r="F1850" t="s">
        <v>45</v>
      </c>
      <c r="G1850" s="118">
        <v>0.46468749999999998</v>
      </c>
      <c r="H1850" s="118">
        <v>3.4722222222222224E-4</v>
      </c>
      <c r="I1850" s="118">
        <v>1.0416666666666667E-3</v>
      </c>
      <c r="J1850" s="118">
        <v>7.0717592592592594E-3</v>
      </c>
      <c r="K1850" s="118">
        <v>7.0717592592592594E-3</v>
      </c>
    </row>
    <row r="1851" spans="1:11" x14ac:dyDescent="0.25">
      <c r="A1851">
        <v>1</v>
      </c>
      <c r="B1851">
        <v>7</v>
      </c>
      <c r="C1851"/>
      <c r="D1851" t="s">
        <v>31</v>
      </c>
      <c r="E1851" t="s">
        <v>35</v>
      </c>
      <c r="F1851" t="s">
        <v>41</v>
      </c>
      <c r="G1851" s="118">
        <v>0.46476851851851847</v>
      </c>
      <c r="H1851" s="118">
        <v>1.0069444444444444E-3</v>
      </c>
      <c r="I1851" s="118">
        <v>3.4722222222222224E-4</v>
      </c>
      <c r="J1851"/>
      <c r="K1851"/>
    </row>
    <row r="1852" spans="1:11" x14ac:dyDescent="0.25">
      <c r="A1852">
        <v>4</v>
      </c>
      <c r="B1852">
        <v>7</v>
      </c>
      <c r="C1852"/>
      <c r="D1852" t="s">
        <v>31</v>
      </c>
      <c r="E1852" t="s">
        <v>35</v>
      </c>
      <c r="F1852" t="s">
        <v>51</v>
      </c>
      <c r="G1852" s="118">
        <v>0.46493055555555557</v>
      </c>
      <c r="H1852" s="118">
        <v>9.1435185185185185E-4</v>
      </c>
      <c r="I1852" s="118">
        <v>3.4722222222222224E-4</v>
      </c>
      <c r="J1852"/>
      <c r="K1852"/>
    </row>
    <row r="1853" spans="1:11" x14ac:dyDescent="0.25">
      <c r="A1853">
        <v>3</v>
      </c>
      <c r="B1853">
        <v>7</v>
      </c>
      <c r="C1853"/>
      <c r="D1853" t="s">
        <v>31</v>
      </c>
      <c r="E1853" t="s">
        <v>35</v>
      </c>
      <c r="F1853" t="s">
        <v>33</v>
      </c>
      <c r="G1853" s="118">
        <v>0.46510416666666665</v>
      </c>
      <c r="H1853" s="118">
        <v>1.3541666666666667E-3</v>
      </c>
      <c r="I1853" s="118">
        <v>5.2083333333333333E-4</v>
      </c>
      <c r="J1853"/>
      <c r="K1853"/>
    </row>
    <row r="1854" spans="1:11" x14ac:dyDescent="0.25">
      <c r="A1854">
        <v>1</v>
      </c>
      <c r="B1854">
        <v>7</v>
      </c>
      <c r="C1854"/>
      <c r="D1854" t="s">
        <v>31</v>
      </c>
      <c r="E1854" t="s">
        <v>32</v>
      </c>
      <c r="F1854" t="s">
        <v>41</v>
      </c>
      <c r="G1854" s="118">
        <v>0.46511574074074075</v>
      </c>
      <c r="H1854" s="118">
        <v>3.4722222222222224E-4</v>
      </c>
      <c r="I1854" s="118">
        <v>8.564814814814815E-4</v>
      </c>
      <c r="J1854" s="118">
        <v>7.0717592592592594E-3</v>
      </c>
      <c r="K1854" s="118">
        <v>7.0717592592592594E-3</v>
      </c>
    </row>
    <row r="1855" spans="1:11" x14ac:dyDescent="0.25">
      <c r="A1855">
        <v>4</v>
      </c>
      <c r="B1855">
        <v>7</v>
      </c>
      <c r="C1855"/>
      <c r="D1855" t="s">
        <v>31</v>
      </c>
      <c r="E1855" t="s">
        <v>32</v>
      </c>
      <c r="F1855" t="s">
        <v>51</v>
      </c>
      <c r="G1855" s="118">
        <v>0.46527777777777773</v>
      </c>
      <c r="H1855" s="118">
        <v>3.4722222222222224E-4</v>
      </c>
      <c r="I1855" s="118">
        <v>1.0069444444444444E-3</v>
      </c>
      <c r="J1855" s="118">
        <v>7.0717592592592594E-3</v>
      </c>
      <c r="K1855" s="118">
        <v>7.0717592592592594E-3</v>
      </c>
    </row>
    <row r="1856" spans="1:11" x14ac:dyDescent="0.25">
      <c r="A1856">
        <v>2</v>
      </c>
      <c r="B1856">
        <v>7</v>
      </c>
      <c r="C1856"/>
      <c r="D1856" t="s">
        <v>31</v>
      </c>
      <c r="E1856" t="s">
        <v>35</v>
      </c>
      <c r="F1856" t="s">
        <v>37</v>
      </c>
      <c r="G1856" s="118">
        <v>0.46537037037037038</v>
      </c>
      <c r="H1856" s="118">
        <v>9.6064814814814808E-4</v>
      </c>
      <c r="I1856" s="118">
        <v>3.4722222222222224E-4</v>
      </c>
      <c r="J1856"/>
      <c r="K1856"/>
    </row>
    <row r="1857" spans="1:11" x14ac:dyDescent="0.25">
      <c r="A1857">
        <v>3</v>
      </c>
      <c r="B1857">
        <v>7</v>
      </c>
      <c r="C1857"/>
      <c r="D1857" t="s">
        <v>31</v>
      </c>
      <c r="E1857" t="s">
        <v>32</v>
      </c>
      <c r="F1857" t="s">
        <v>33</v>
      </c>
      <c r="G1857" s="118">
        <v>0.46562500000000001</v>
      </c>
      <c r="H1857" s="118">
        <v>5.2083333333333333E-4</v>
      </c>
      <c r="I1857" s="118">
        <v>9.6064814814814808E-4</v>
      </c>
      <c r="J1857" s="118">
        <v>7.0717592592592594E-3</v>
      </c>
      <c r="K1857" s="118">
        <v>7.0717592592592594E-3</v>
      </c>
    </row>
    <row r="1858" spans="1:11" x14ac:dyDescent="0.25">
      <c r="A1858">
        <v>2</v>
      </c>
      <c r="B1858">
        <v>7</v>
      </c>
      <c r="C1858"/>
      <c r="D1858" t="s">
        <v>31</v>
      </c>
      <c r="E1858" t="s">
        <v>32</v>
      </c>
      <c r="F1858" t="s">
        <v>37</v>
      </c>
      <c r="G1858" s="118">
        <v>0.46571759259259254</v>
      </c>
      <c r="H1858" s="118">
        <v>3.4722222222222224E-4</v>
      </c>
      <c r="I1858" s="118">
        <v>9.0277777777777784E-4</v>
      </c>
      <c r="J1858" s="118">
        <v>7.0717592592592594E-3</v>
      </c>
      <c r="K1858" s="118">
        <v>7.0717592592592594E-3</v>
      </c>
    </row>
    <row r="1859" spans="1:11" x14ac:dyDescent="0.25">
      <c r="A1859">
        <v>5</v>
      </c>
      <c r="B1859">
        <v>8</v>
      </c>
      <c r="C1859"/>
      <c r="D1859" t="s">
        <v>31</v>
      </c>
      <c r="E1859" t="s">
        <v>35</v>
      </c>
      <c r="F1859" t="s">
        <v>52</v>
      </c>
      <c r="G1859" s="118">
        <v>0.46572916666666669</v>
      </c>
      <c r="H1859" s="118">
        <v>1.0416666666666667E-3</v>
      </c>
      <c r="I1859" s="118">
        <v>3.4722222222222224E-4</v>
      </c>
      <c r="J1859"/>
      <c r="K1859"/>
    </row>
    <row r="1860" spans="1:11" x14ac:dyDescent="0.25">
      <c r="A1860">
        <v>1</v>
      </c>
      <c r="B1860">
        <v>7</v>
      </c>
      <c r="C1860"/>
      <c r="D1860" t="s">
        <v>31</v>
      </c>
      <c r="E1860" t="s">
        <v>35</v>
      </c>
      <c r="F1860" t="s">
        <v>47</v>
      </c>
      <c r="G1860" s="118">
        <v>0.46597222222222223</v>
      </c>
      <c r="H1860" s="118">
        <v>8.564814814814815E-4</v>
      </c>
      <c r="I1860" s="118">
        <v>5.2083333333333333E-4</v>
      </c>
      <c r="J1860"/>
      <c r="K1860"/>
    </row>
    <row r="1861" spans="1:11" x14ac:dyDescent="0.25">
      <c r="A1861">
        <v>5</v>
      </c>
      <c r="B1861">
        <v>8</v>
      </c>
      <c r="C1861"/>
      <c r="D1861" t="s">
        <v>31</v>
      </c>
      <c r="E1861" t="s">
        <v>32</v>
      </c>
      <c r="F1861" t="s">
        <v>52</v>
      </c>
      <c r="G1861" s="118">
        <v>0.46607638888888886</v>
      </c>
      <c r="H1861" s="118">
        <v>3.4722222222222224E-4</v>
      </c>
      <c r="I1861" s="118">
        <v>1.0532407407407407E-3</v>
      </c>
      <c r="J1861" s="118">
        <v>7.0717592592592594E-3</v>
      </c>
      <c r="K1861" s="118">
        <v>7.0717592592592594E-3</v>
      </c>
    </row>
    <row r="1862" spans="1:11" x14ac:dyDescent="0.25">
      <c r="A1862">
        <v>4</v>
      </c>
      <c r="B1862">
        <v>7</v>
      </c>
      <c r="C1862"/>
      <c r="D1862" t="s">
        <v>31</v>
      </c>
      <c r="E1862" t="s">
        <v>35</v>
      </c>
      <c r="F1862" t="s">
        <v>55</v>
      </c>
      <c r="G1862" s="118">
        <v>0.46628472222222223</v>
      </c>
      <c r="H1862" s="118">
        <v>1.0069444444444444E-3</v>
      </c>
      <c r="I1862" s="118">
        <v>4.6296296296296293E-4</v>
      </c>
      <c r="J1862"/>
      <c r="K1862"/>
    </row>
    <row r="1863" spans="1:11" x14ac:dyDescent="0.25">
      <c r="A1863">
        <v>1</v>
      </c>
      <c r="B1863">
        <v>7</v>
      </c>
      <c r="C1863"/>
      <c r="D1863" t="s">
        <v>31</v>
      </c>
      <c r="E1863" t="s">
        <v>32</v>
      </c>
      <c r="F1863" t="s">
        <v>47</v>
      </c>
      <c r="G1863" s="118">
        <v>0.46649305555555554</v>
      </c>
      <c r="H1863" s="118">
        <v>5.2083333333333333E-4</v>
      </c>
      <c r="I1863" s="118">
        <v>8.7962962962962962E-4</v>
      </c>
      <c r="J1863" s="118">
        <v>7.0717592592592594E-3</v>
      </c>
      <c r="K1863" s="118">
        <v>7.0717592592592594E-3</v>
      </c>
    </row>
    <row r="1864" spans="1:11" x14ac:dyDescent="0.25">
      <c r="A1864">
        <v>3</v>
      </c>
      <c r="B1864">
        <v>7</v>
      </c>
      <c r="C1864"/>
      <c r="D1864" t="s">
        <v>31</v>
      </c>
      <c r="E1864" t="s">
        <v>35</v>
      </c>
      <c r="F1864" t="s">
        <v>36</v>
      </c>
      <c r="G1864" s="118">
        <v>0.46658564814814812</v>
      </c>
      <c r="H1864" s="118">
        <v>9.6064814814814808E-4</v>
      </c>
      <c r="I1864" s="118">
        <v>3.4722222222222224E-4</v>
      </c>
      <c r="J1864"/>
      <c r="K1864"/>
    </row>
    <row r="1865" spans="1:11" x14ac:dyDescent="0.25">
      <c r="A1865">
        <v>2</v>
      </c>
      <c r="B1865">
        <v>7</v>
      </c>
      <c r="C1865"/>
      <c r="D1865" t="s">
        <v>31</v>
      </c>
      <c r="E1865" t="s">
        <v>35</v>
      </c>
      <c r="F1865" t="s">
        <v>42</v>
      </c>
      <c r="G1865" s="118">
        <v>0.46662037037037035</v>
      </c>
      <c r="H1865" s="118">
        <v>9.0277777777777784E-4</v>
      </c>
      <c r="I1865" s="118">
        <v>3.4722222222222224E-4</v>
      </c>
      <c r="J1865"/>
      <c r="K1865"/>
    </row>
    <row r="1866" spans="1:11" x14ac:dyDescent="0.25">
      <c r="A1866">
        <v>4</v>
      </c>
      <c r="B1866">
        <v>7</v>
      </c>
      <c r="C1866"/>
      <c r="D1866" t="s">
        <v>31</v>
      </c>
      <c r="E1866" t="s">
        <v>32</v>
      </c>
      <c r="F1866" t="s">
        <v>55</v>
      </c>
      <c r="G1866" s="118">
        <v>0.46674768518518522</v>
      </c>
      <c r="H1866" s="118">
        <v>4.6296296296296293E-4</v>
      </c>
      <c r="I1866" s="118">
        <v>4.3981481481481481E-4</v>
      </c>
      <c r="J1866" s="118">
        <v>7.0717592592592594E-3</v>
      </c>
      <c r="K1866" s="118">
        <v>7.0717592592592594E-3</v>
      </c>
    </row>
    <row r="1867" spans="1:11" x14ac:dyDescent="0.25">
      <c r="A1867">
        <v>3</v>
      </c>
      <c r="B1867">
        <v>7</v>
      </c>
      <c r="C1867"/>
      <c r="D1867" t="s">
        <v>31</v>
      </c>
      <c r="E1867" t="s">
        <v>32</v>
      </c>
      <c r="F1867" t="s">
        <v>36</v>
      </c>
      <c r="G1867" s="118">
        <v>0.46693287037037035</v>
      </c>
      <c r="H1867" s="118">
        <v>3.4722222222222224E-4</v>
      </c>
      <c r="I1867" s="118">
        <v>1.0995370370370371E-3</v>
      </c>
      <c r="J1867" s="118">
        <v>7.0717592592592594E-3</v>
      </c>
      <c r="K1867" s="118">
        <v>7.0717592592592594E-3</v>
      </c>
    </row>
    <row r="1868" spans="1:11" x14ac:dyDescent="0.25">
      <c r="A1868">
        <v>2</v>
      </c>
      <c r="B1868">
        <v>7</v>
      </c>
      <c r="C1868"/>
      <c r="D1868" t="s">
        <v>31</v>
      </c>
      <c r="E1868" t="s">
        <v>32</v>
      </c>
      <c r="F1868" t="s">
        <v>42</v>
      </c>
      <c r="G1868" s="118">
        <v>0.46696759259259263</v>
      </c>
      <c r="H1868" s="118">
        <v>3.4722222222222224E-4</v>
      </c>
      <c r="I1868" s="118">
        <v>9.1435185185185185E-4</v>
      </c>
      <c r="J1868" s="118">
        <v>7.0717592592592594E-3</v>
      </c>
      <c r="K1868" s="118">
        <v>7.0717592592592594E-3</v>
      </c>
    </row>
    <row r="1869" spans="1:11" x14ac:dyDescent="0.25">
      <c r="A1869">
        <v>5</v>
      </c>
      <c r="B1869">
        <v>8</v>
      </c>
      <c r="C1869"/>
      <c r="D1869" t="s">
        <v>31</v>
      </c>
      <c r="E1869" t="s">
        <v>35</v>
      </c>
      <c r="F1869" t="s">
        <v>57</v>
      </c>
      <c r="G1869" s="118">
        <v>0.46712962962962962</v>
      </c>
      <c r="H1869" s="118">
        <v>1.0532407407407407E-3</v>
      </c>
      <c r="I1869" s="118">
        <v>3.4722222222222224E-4</v>
      </c>
      <c r="J1869"/>
      <c r="K1869"/>
    </row>
    <row r="1870" spans="1:11" x14ac:dyDescent="0.25">
      <c r="A1870">
        <v>4</v>
      </c>
      <c r="B1870">
        <v>7</v>
      </c>
      <c r="C1870"/>
      <c r="D1870" t="s">
        <v>31</v>
      </c>
      <c r="E1870" t="s">
        <v>35</v>
      </c>
      <c r="F1870" t="s">
        <v>58</v>
      </c>
      <c r="G1870" s="118">
        <v>0.46718750000000003</v>
      </c>
      <c r="H1870" s="118">
        <v>4.3981481481481481E-4</v>
      </c>
      <c r="I1870" s="118">
        <v>5.7870370370370366E-5</v>
      </c>
      <c r="J1870"/>
      <c r="K1870"/>
    </row>
    <row r="1871" spans="1:11" x14ac:dyDescent="0.25">
      <c r="A1871">
        <v>4</v>
      </c>
      <c r="B1871">
        <v>7</v>
      </c>
      <c r="C1871"/>
      <c r="D1871" t="s">
        <v>31</v>
      </c>
      <c r="E1871" t="s">
        <v>32</v>
      </c>
      <c r="F1871" t="s">
        <v>58</v>
      </c>
      <c r="G1871" s="118">
        <v>0.46724537037037034</v>
      </c>
      <c r="H1871" s="118">
        <v>5.7870370370370366E-5</v>
      </c>
      <c r="I1871" s="118">
        <v>4.8611111111111104E-4</v>
      </c>
      <c r="J1871" s="118">
        <v>7.0717592592592594E-3</v>
      </c>
      <c r="K1871" s="118">
        <v>7.0717592592592594E-3</v>
      </c>
    </row>
    <row r="1872" spans="1:11" x14ac:dyDescent="0.25">
      <c r="A1872">
        <v>1</v>
      </c>
      <c r="B1872">
        <v>7</v>
      </c>
      <c r="C1872"/>
      <c r="D1872" t="s">
        <v>31</v>
      </c>
      <c r="E1872" t="s">
        <v>35</v>
      </c>
      <c r="F1872" t="s">
        <v>53</v>
      </c>
      <c r="G1872" s="118">
        <v>0.46737268518518515</v>
      </c>
      <c r="H1872" s="118">
        <v>8.7962962962962962E-4</v>
      </c>
      <c r="I1872" s="118">
        <v>3.4722222222222224E-4</v>
      </c>
      <c r="J1872"/>
      <c r="K1872"/>
    </row>
    <row r="1873" spans="1:11" x14ac:dyDescent="0.25">
      <c r="A1873">
        <v>5</v>
      </c>
      <c r="B1873">
        <v>8</v>
      </c>
      <c r="C1873"/>
      <c r="D1873" t="s">
        <v>31</v>
      </c>
      <c r="E1873" t="s">
        <v>32</v>
      </c>
      <c r="F1873" t="s">
        <v>57</v>
      </c>
      <c r="G1873" s="118">
        <v>0.46747685185185189</v>
      </c>
      <c r="H1873" s="118">
        <v>3.4722222222222224E-4</v>
      </c>
      <c r="I1873" s="118">
        <v>9.3750000000000007E-4</v>
      </c>
      <c r="J1873" s="118">
        <v>7.0717592592592594E-3</v>
      </c>
      <c r="K1873" s="118">
        <v>7.0717592592592594E-3</v>
      </c>
    </row>
    <row r="1874" spans="1:11" x14ac:dyDescent="0.25">
      <c r="A1874">
        <v>1</v>
      </c>
      <c r="B1874">
        <v>7</v>
      </c>
      <c r="C1874"/>
      <c r="D1874" t="s">
        <v>31</v>
      </c>
      <c r="E1874" t="s">
        <v>32</v>
      </c>
      <c r="F1874" t="s">
        <v>53</v>
      </c>
      <c r="G1874" s="118">
        <v>0.46771990740740743</v>
      </c>
      <c r="H1874" s="118">
        <v>3.4722222222222224E-4</v>
      </c>
      <c r="I1874" s="118">
        <v>8.449074074074075E-4</v>
      </c>
      <c r="J1874" s="118">
        <v>7.0717592592592594E-3</v>
      </c>
      <c r="K1874" s="118">
        <v>7.0717592592592594E-3</v>
      </c>
    </row>
    <row r="1875" spans="1:11" x14ac:dyDescent="0.25">
      <c r="A1875">
        <v>4</v>
      </c>
      <c r="B1875">
        <v>7</v>
      </c>
      <c r="C1875"/>
      <c r="D1875" t="s">
        <v>31</v>
      </c>
      <c r="E1875" t="s">
        <v>35</v>
      </c>
      <c r="F1875" t="s">
        <v>40</v>
      </c>
      <c r="G1875" s="118">
        <v>0.46773148148148147</v>
      </c>
      <c r="H1875" s="118">
        <v>4.8611111111111104E-4</v>
      </c>
      <c r="I1875" s="118">
        <v>4.6296296296296293E-4</v>
      </c>
      <c r="J1875"/>
      <c r="K1875"/>
    </row>
    <row r="1876" spans="1:11" x14ac:dyDescent="0.25">
      <c r="A1876">
        <v>2</v>
      </c>
      <c r="B1876">
        <v>7</v>
      </c>
      <c r="C1876"/>
      <c r="D1876" t="s">
        <v>31</v>
      </c>
      <c r="E1876" t="s">
        <v>35</v>
      </c>
      <c r="F1876" t="s">
        <v>48</v>
      </c>
      <c r="G1876" s="118">
        <v>0.46788194444444442</v>
      </c>
      <c r="H1876" s="118">
        <v>9.1435185185185185E-4</v>
      </c>
      <c r="I1876" s="118">
        <v>5.2083333333333333E-4</v>
      </c>
      <c r="J1876"/>
      <c r="K1876"/>
    </row>
    <row r="1877" spans="1:11" x14ac:dyDescent="0.25">
      <c r="A1877">
        <v>3</v>
      </c>
      <c r="B1877">
        <v>7</v>
      </c>
      <c r="C1877"/>
      <c r="D1877" t="s">
        <v>31</v>
      </c>
      <c r="E1877" t="s">
        <v>35</v>
      </c>
      <c r="F1877" t="s">
        <v>43</v>
      </c>
      <c r="G1877" s="118">
        <v>0.46803240740740742</v>
      </c>
      <c r="H1877" s="118">
        <v>1.0995370370370371E-3</v>
      </c>
      <c r="I1877" s="118">
        <v>3.4722222222222224E-4</v>
      </c>
      <c r="J1877"/>
      <c r="K1877"/>
    </row>
    <row r="1878" spans="1:11" x14ac:dyDescent="0.25">
      <c r="A1878">
        <v>4</v>
      </c>
      <c r="B1878">
        <v>7</v>
      </c>
      <c r="C1878"/>
      <c r="D1878" t="s">
        <v>31</v>
      </c>
      <c r="E1878" t="s">
        <v>32</v>
      </c>
      <c r="F1878" t="s">
        <v>40</v>
      </c>
      <c r="G1878" s="118">
        <v>0.46819444444444441</v>
      </c>
      <c r="H1878" s="118">
        <v>4.6296296296296293E-4</v>
      </c>
      <c r="I1878" s="118">
        <v>1.0069444444444444E-3</v>
      </c>
      <c r="J1878" s="118">
        <v>7.0717592592592594E-3</v>
      </c>
      <c r="K1878" s="118">
        <v>7.0717592592592594E-3</v>
      </c>
    </row>
    <row r="1879" spans="1:11" x14ac:dyDescent="0.25">
      <c r="A1879">
        <v>3</v>
      </c>
      <c r="B1879">
        <v>7</v>
      </c>
      <c r="C1879"/>
      <c r="D1879" t="s">
        <v>31</v>
      </c>
      <c r="E1879" t="s">
        <v>32</v>
      </c>
      <c r="F1879" t="s">
        <v>43</v>
      </c>
      <c r="G1879" s="118">
        <v>0.46837962962962965</v>
      </c>
      <c r="H1879" s="118">
        <v>3.4722222222222224E-4</v>
      </c>
      <c r="I1879" s="118">
        <v>1.1458333333333333E-3</v>
      </c>
      <c r="J1879" s="118">
        <v>7.0717592592592594E-3</v>
      </c>
      <c r="K1879" s="118">
        <v>7.0717592592592594E-3</v>
      </c>
    </row>
    <row r="1880" spans="1:11" x14ac:dyDescent="0.25">
      <c r="A1880">
        <v>2</v>
      </c>
      <c r="B1880">
        <v>7</v>
      </c>
      <c r="C1880"/>
      <c r="D1880" t="s">
        <v>31</v>
      </c>
      <c r="E1880" t="s">
        <v>32</v>
      </c>
      <c r="F1880" t="s">
        <v>48</v>
      </c>
      <c r="G1880" s="118">
        <v>0.46840277777777778</v>
      </c>
      <c r="H1880" s="118">
        <v>5.2083333333333333E-4</v>
      </c>
      <c r="I1880" s="118">
        <v>8.6805555555555551E-4</v>
      </c>
      <c r="J1880" s="118">
        <v>7.0717592592592594E-3</v>
      </c>
      <c r="K1880" s="118">
        <v>7.0717592592592594E-3</v>
      </c>
    </row>
    <row r="1881" spans="1:11" x14ac:dyDescent="0.25">
      <c r="A1881">
        <v>5</v>
      </c>
      <c r="B1881">
        <v>8</v>
      </c>
      <c r="C1881"/>
      <c r="D1881" t="s">
        <v>31</v>
      </c>
      <c r="E1881" t="s">
        <v>35</v>
      </c>
      <c r="F1881" t="s">
        <v>39</v>
      </c>
      <c r="G1881" s="118">
        <v>0.46841435185185182</v>
      </c>
      <c r="H1881" s="118">
        <v>9.3750000000000007E-4</v>
      </c>
      <c r="I1881" s="118">
        <v>5.2083333333333333E-4</v>
      </c>
      <c r="J1881"/>
      <c r="K1881"/>
    </row>
    <row r="1882" spans="1:11" x14ac:dyDescent="0.25">
      <c r="A1882">
        <v>1</v>
      </c>
      <c r="B1882">
        <v>7</v>
      </c>
      <c r="C1882"/>
      <c r="D1882" t="s">
        <v>31</v>
      </c>
      <c r="E1882" t="s">
        <v>35</v>
      </c>
      <c r="F1882" t="s">
        <v>34</v>
      </c>
      <c r="G1882" s="118">
        <v>0.46856481481481477</v>
      </c>
      <c r="H1882" s="118">
        <v>8.449074074074075E-4</v>
      </c>
      <c r="I1882" s="118">
        <v>3.4722222222222224E-4</v>
      </c>
      <c r="J1882"/>
      <c r="K1882"/>
    </row>
    <row r="1883" spans="1:11" x14ac:dyDescent="0.25">
      <c r="A1883">
        <v>1</v>
      </c>
      <c r="B1883">
        <v>7</v>
      </c>
      <c r="C1883"/>
      <c r="D1883" t="s">
        <v>31</v>
      </c>
      <c r="E1883" t="s">
        <v>32</v>
      </c>
      <c r="F1883" t="s">
        <v>34</v>
      </c>
      <c r="G1883" s="118">
        <v>0.46891203703703704</v>
      </c>
      <c r="H1883" s="118">
        <v>3.4722222222222224E-4</v>
      </c>
      <c r="I1883" s="118">
        <v>9.1435185185185185E-4</v>
      </c>
      <c r="J1883" s="118">
        <v>7.0717592592592594E-3</v>
      </c>
      <c r="K1883" s="118">
        <v>7.0717592592592594E-3</v>
      </c>
    </row>
    <row r="1884" spans="1:11" x14ac:dyDescent="0.25">
      <c r="A1884">
        <v>5</v>
      </c>
      <c r="B1884">
        <v>8</v>
      </c>
      <c r="C1884"/>
      <c r="D1884" t="s">
        <v>31</v>
      </c>
      <c r="E1884" t="s">
        <v>32</v>
      </c>
      <c r="F1884" t="s">
        <v>39</v>
      </c>
      <c r="G1884" s="118">
        <v>0.46893518518518523</v>
      </c>
      <c r="H1884" s="118">
        <v>5.2083333333333333E-4</v>
      </c>
      <c r="I1884" s="118">
        <v>1.8055555555555557E-3</v>
      </c>
      <c r="J1884" s="118">
        <v>7.0717592592592594E-3</v>
      </c>
      <c r="K1884" s="118">
        <v>7.0717592592592594E-3</v>
      </c>
    </row>
    <row r="1885" spans="1:11" x14ac:dyDescent="0.25">
      <c r="A1885">
        <v>4</v>
      </c>
      <c r="B1885">
        <v>7</v>
      </c>
      <c r="C1885"/>
      <c r="D1885" t="s">
        <v>31</v>
      </c>
      <c r="E1885" t="s">
        <v>35</v>
      </c>
      <c r="F1885" t="s">
        <v>44</v>
      </c>
      <c r="G1885" s="118">
        <v>0.4692013888888889</v>
      </c>
      <c r="H1885" s="118">
        <v>1.0069444444444444E-3</v>
      </c>
      <c r="I1885" s="118">
        <v>3.4722222222222224E-4</v>
      </c>
      <c r="J1885"/>
      <c r="K1885"/>
    </row>
    <row r="1886" spans="1:11" x14ac:dyDescent="0.25">
      <c r="A1886">
        <v>2</v>
      </c>
      <c r="B1886">
        <v>7</v>
      </c>
      <c r="C1886"/>
      <c r="D1886" t="s">
        <v>31</v>
      </c>
      <c r="E1886" t="s">
        <v>35</v>
      </c>
      <c r="F1886" t="s">
        <v>54</v>
      </c>
      <c r="G1886" s="118">
        <v>0.4692708333333333</v>
      </c>
      <c r="H1886" s="118">
        <v>8.6805555555555551E-4</v>
      </c>
      <c r="I1886" s="118">
        <v>3.4722222222222224E-4</v>
      </c>
      <c r="J1886"/>
      <c r="K1886"/>
    </row>
    <row r="1887" spans="1:11" x14ac:dyDescent="0.25">
      <c r="A1887">
        <v>3</v>
      </c>
      <c r="B1887">
        <v>7</v>
      </c>
      <c r="C1887"/>
      <c r="D1887" t="s">
        <v>31</v>
      </c>
      <c r="E1887" t="s">
        <v>35</v>
      </c>
      <c r="F1887" t="s">
        <v>50</v>
      </c>
      <c r="G1887" s="118">
        <v>0.46952546296296299</v>
      </c>
      <c r="H1887" s="118">
        <v>1.1458333333333333E-3</v>
      </c>
      <c r="I1887" s="118">
        <v>3.4722222222222224E-4</v>
      </c>
      <c r="J1887"/>
      <c r="K1887"/>
    </row>
    <row r="1888" spans="1:11" x14ac:dyDescent="0.25">
      <c r="A1888">
        <v>4</v>
      </c>
      <c r="B1888">
        <v>7</v>
      </c>
      <c r="C1888"/>
      <c r="D1888" t="s">
        <v>31</v>
      </c>
      <c r="E1888" t="s">
        <v>32</v>
      </c>
      <c r="F1888" t="s">
        <v>44</v>
      </c>
      <c r="G1888" s="118">
        <v>0.46954861111111112</v>
      </c>
      <c r="H1888" s="118">
        <v>3.4722222222222224E-4</v>
      </c>
      <c r="I1888" s="118">
        <v>9.2592592592592585E-4</v>
      </c>
      <c r="J1888" s="118">
        <v>7.0717592592592594E-3</v>
      </c>
      <c r="K1888" s="118">
        <v>7.0717592592592594E-3</v>
      </c>
    </row>
    <row r="1889" spans="1:11" x14ac:dyDescent="0.25">
      <c r="A1889">
        <v>2</v>
      </c>
      <c r="B1889">
        <v>7</v>
      </c>
      <c r="C1889"/>
      <c r="D1889" t="s">
        <v>31</v>
      </c>
      <c r="E1889" t="s">
        <v>32</v>
      </c>
      <c r="F1889" t="s">
        <v>54</v>
      </c>
      <c r="G1889" s="118">
        <v>0.46961805555555558</v>
      </c>
      <c r="H1889" s="118">
        <v>3.4722222222222224E-4</v>
      </c>
      <c r="I1889" s="118">
        <v>6.9444444444444447E-4</v>
      </c>
      <c r="J1889" s="118">
        <v>7.0717592592592594E-3</v>
      </c>
      <c r="K1889" s="118">
        <v>7.0717592592592594E-3</v>
      </c>
    </row>
    <row r="1890" spans="1:11" x14ac:dyDescent="0.25">
      <c r="A1890">
        <v>1</v>
      </c>
      <c r="B1890">
        <v>7</v>
      </c>
      <c r="C1890"/>
      <c r="D1890" t="s">
        <v>31</v>
      </c>
      <c r="E1890" t="s">
        <v>35</v>
      </c>
      <c r="F1890" t="s">
        <v>38</v>
      </c>
      <c r="G1890" s="118">
        <v>0.46982638888888889</v>
      </c>
      <c r="H1890" s="118">
        <v>9.1435185185185185E-4</v>
      </c>
      <c r="I1890" s="118">
        <v>3.4722222222222224E-4</v>
      </c>
      <c r="J1890"/>
      <c r="K1890"/>
    </row>
    <row r="1891" spans="1:11" x14ac:dyDescent="0.25">
      <c r="A1891">
        <v>3</v>
      </c>
      <c r="B1891">
        <v>7</v>
      </c>
      <c r="C1891"/>
      <c r="D1891" t="s">
        <v>31</v>
      </c>
      <c r="E1891" t="s">
        <v>32</v>
      </c>
      <c r="F1891" t="s">
        <v>50</v>
      </c>
      <c r="G1891" s="118">
        <v>0.46987268518518516</v>
      </c>
      <c r="H1891" s="118">
        <v>3.4722222222222224E-4</v>
      </c>
      <c r="I1891" s="118">
        <v>1.261574074074074E-3</v>
      </c>
      <c r="J1891" s="118">
        <v>7.0717592592592594E-3</v>
      </c>
      <c r="K1891" s="118">
        <v>7.0717592592592594E-3</v>
      </c>
    </row>
    <row r="1892" spans="1:11" x14ac:dyDescent="0.25">
      <c r="A1892">
        <v>1</v>
      </c>
      <c r="B1892">
        <v>7</v>
      </c>
      <c r="C1892"/>
      <c r="D1892" t="s">
        <v>31</v>
      </c>
      <c r="E1892" t="s">
        <v>32</v>
      </c>
      <c r="F1892" t="s">
        <v>38</v>
      </c>
      <c r="G1892" s="118">
        <v>0.47017361111111117</v>
      </c>
      <c r="H1892" s="118">
        <v>3.4722222222222224E-4</v>
      </c>
      <c r="I1892" s="118">
        <v>1.2384259259259258E-3</v>
      </c>
      <c r="J1892" s="118">
        <v>7.0717592592592594E-3</v>
      </c>
      <c r="K1892" s="118">
        <v>7.0717592592592594E-3</v>
      </c>
    </row>
    <row r="1893" spans="1:11" x14ac:dyDescent="0.25">
      <c r="A1893">
        <v>2</v>
      </c>
      <c r="B1893">
        <v>7</v>
      </c>
      <c r="C1893"/>
      <c r="D1893" t="s">
        <v>31</v>
      </c>
      <c r="E1893" t="s">
        <v>35</v>
      </c>
      <c r="F1893" t="s">
        <v>92</v>
      </c>
      <c r="G1893" s="118">
        <v>0.47031249999999997</v>
      </c>
      <c r="H1893" s="118">
        <v>6.9444444444444447E-4</v>
      </c>
      <c r="I1893" s="118">
        <v>5.2083333333333333E-4</v>
      </c>
      <c r="J1893"/>
      <c r="K1893"/>
    </row>
    <row r="1894" spans="1:11" x14ac:dyDescent="0.25">
      <c r="A1894">
        <v>4</v>
      </c>
      <c r="B1894">
        <v>7</v>
      </c>
      <c r="C1894"/>
      <c r="D1894" t="s">
        <v>31</v>
      </c>
      <c r="E1894" t="s">
        <v>35</v>
      </c>
      <c r="F1894" t="s">
        <v>49</v>
      </c>
      <c r="G1894" s="118">
        <v>0.47047453703703707</v>
      </c>
      <c r="H1894" s="118">
        <v>9.2592592592592585E-4</v>
      </c>
      <c r="I1894" s="118">
        <v>3.4722222222222224E-4</v>
      </c>
      <c r="J1894"/>
      <c r="K1894"/>
    </row>
    <row r="1895" spans="1:11" x14ac:dyDescent="0.25">
      <c r="A1895">
        <v>5</v>
      </c>
      <c r="B1895">
        <v>8</v>
      </c>
      <c r="C1895"/>
      <c r="D1895" t="s">
        <v>31</v>
      </c>
      <c r="E1895" t="s">
        <v>35</v>
      </c>
      <c r="F1895" t="s">
        <v>46</v>
      </c>
      <c r="G1895" s="118">
        <v>0.47074074074074074</v>
      </c>
      <c r="H1895" s="118">
        <v>1.8055555555555557E-3</v>
      </c>
      <c r="I1895" s="118">
        <v>3.4722222222222224E-4</v>
      </c>
      <c r="J1895"/>
      <c r="K1895"/>
    </row>
    <row r="1896" spans="1:11" x14ac:dyDescent="0.25">
      <c r="A1896">
        <v>4</v>
      </c>
      <c r="B1896">
        <v>7</v>
      </c>
      <c r="C1896"/>
      <c r="D1896" t="s">
        <v>31</v>
      </c>
      <c r="E1896" t="s">
        <v>32</v>
      </c>
      <c r="F1896" t="s">
        <v>49</v>
      </c>
      <c r="G1896" s="118">
        <v>0.47082175925925923</v>
      </c>
      <c r="H1896" s="118">
        <v>3.4722222222222224E-4</v>
      </c>
      <c r="I1896" s="118">
        <v>1.3541666666666667E-3</v>
      </c>
      <c r="J1896" s="118">
        <v>7.0717592592592594E-3</v>
      </c>
      <c r="K1896" s="118">
        <v>7.0717592592592594E-3</v>
      </c>
    </row>
    <row r="1897" spans="1:11" x14ac:dyDescent="0.25">
      <c r="A1897">
        <v>2</v>
      </c>
      <c r="B1897">
        <v>8</v>
      </c>
      <c r="C1897"/>
      <c r="D1897" t="s">
        <v>31</v>
      </c>
      <c r="E1897" t="s">
        <v>32</v>
      </c>
      <c r="F1897" t="s">
        <v>92</v>
      </c>
      <c r="G1897" s="118">
        <v>0.47083333333333338</v>
      </c>
      <c r="H1897" s="118">
        <v>5.2083333333333333E-4</v>
      </c>
      <c r="I1897" s="118">
        <v>1.0069444444444444E-3</v>
      </c>
      <c r="J1897" s="118">
        <v>7.0717592592592594E-3</v>
      </c>
      <c r="K1897" s="118">
        <v>7.0717592592592594E-3</v>
      </c>
    </row>
    <row r="1898" spans="1:11" x14ac:dyDescent="0.25">
      <c r="A1898">
        <v>5</v>
      </c>
      <c r="B1898">
        <v>8</v>
      </c>
      <c r="C1898"/>
      <c r="D1898" t="s">
        <v>31</v>
      </c>
      <c r="E1898" t="s">
        <v>32</v>
      </c>
      <c r="F1898" t="s">
        <v>46</v>
      </c>
      <c r="G1898" s="118">
        <v>0.47108796296296296</v>
      </c>
      <c r="H1898" s="118">
        <v>3.4722222222222224E-4</v>
      </c>
      <c r="I1898" s="118">
        <v>9.1435185185185185E-4</v>
      </c>
      <c r="J1898" s="118">
        <v>7.0717592592592594E-3</v>
      </c>
      <c r="K1898" s="118">
        <v>7.0717592592592594E-3</v>
      </c>
    </row>
    <row r="1899" spans="1:11" x14ac:dyDescent="0.25">
      <c r="A1899">
        <v>3</v>
      </c>
      <c r="B1899">
        <v>7</v>
      </c>
      <c r="C1899"/>
      <c r="D1899" t="s">
        <v>31</v>
      </c>
      <c r="E1899" t="s">
        <v>35</v>
      </c>
      <c r="F1899" t="s">
        <v>56</v>
      </c>
      <c r="G1899" s="118">
        <v>0.47113425925925928</v>
      </c>
      <c r="H1899" s="118">
        <v>1.261574074074074E-3</v>
      </c>
      <c r="I1899" s="118">
        <v>3.4722222222222224E-4</v>
      </c>
      <c r="J1899"/>
      <c r="K1899"/>
    </row>
    <row r="1900" spans="1:11" x14ac:dyDescent="0.25">
      <c r="A1900">
        <v>1</v>
      </c>
      <c r="B1900">
        <v>7</v>
      </c>
      <c r="C1900"/>
      <c r="D1900" t="s">
        <v>31</v>
      </c>
      <c r="E1900" t="s">
        <v>35</v>
      </c>
      <c r="F1900" t="s">
        <v>45</v>
      </c>
      <c r="G1900" s="118">
        <v>0.47141203703703699</v>
      </c>
      <c r="H1900" s="118">
        <v>1.2384259259259258E-3</v>
      </c>
      <c r="I1900" s="118">
        <v>3.4722222222222224E-4</v>
      </c>
      <c r="J1900"/>
      <c r="K1900"/>
    </row>
    <row r="1901" spans="1:11" x14ac:dyDescent="0.25">
      <c r="A1901">
        <v>3</v>
      </c>
      <c r="B1901">
        <v>7</v>
      </c>
      <c r="C1901"/>
      <c r="D1901" t="s">
        <v>31</v>
      </c>
      <c r="E1901" t="s">
        <v>32</v>
      </c>
      <c r="F1901" t="s">
        <v>56</v>
      </c>
      <c r="G1901" s="118">
        <v>0.47148148148148145</v>
      </c>
      <c r="H1901" s="118">
        <v>3.4722222222222224E-4</v>
      </c>
      <c r="I1901" s="118">
        <v>9.6064814814814808E-4</v>
      </c>
      <c r="J1901" s="118">
        <v>7.0717592592592594E-3</v>
      </c>
      <c r="K1901" s="118">
        <v>7.0717592592592594E-3</v>
      </c>
    </row>
    <row r="1902" spans="1:11" x14ac:dyDescent="0.25">
      <c r="A1902">
        <v>1</v>
      </c>
      <c r="B1902">
        <v>7</v>
      </c>
      <c r="C1902"/>
      <c r="D1902" t="s">
        <v>31</v>
      </c>
      <c r="E1902" t="s">
        <v>32</v>
      </c>
      <c r="F1902" t="s">
        <v>45</v>
      </c>
      <c r="G1902" s="118">
        <v>0.47175925925925927</v>
      </c>
      <c r="H1902" s="118">
        <v>3.4722222222222224E-4</v>
      </c>
      <c r="I1902" s="118">
        <v>1.0416666666666667E-3</v>
      </c>
      <c r="J1902" s="118">
        <v>7.0717592592592594E-3</v>
      </c>
      <c r="K1902" s="118">
        <v>7.0717592592592594E-3</v>
      </c>
    </row>
    <row r="1903" spans="1:11" x14ac:dyDescent="0.25">
      <c r="A1903">
        <v>2</v>
      </c>
      <c r="B1903">
        <v>8</v>
      </c>
      <c r="C1903"/>
      <c r="D1903" t="s">
        <v>31</v>
      </c>
      <c r="E1903" t="s">
        <v>35</v>
      </c>
      <c r="F1903" t="s">
        <v>41</v>
      </c>
      <c r="G1903" s="118">
        <v>0.47184027777777776</v>
      </c>
      <c r="H1903" s="118">
        <v>1.0069444444444444E-3</v>
      </c>
      <c r="I1903" s="118">
        <v>3.4722222222222224E-4</v>
      </c>
      <c r="J1903"/>
      <c r="K1903"/>
    </row>
    <row r="1904" spans="1:11" x14ac:dyDescent="0.25">
      <c r="A1904">
        <v>5</v>
      </c>
      <c r="B1904">
        <v>8</v>
      </c>
      <c r="C1904"/>
      <c r="D1904" t="s">
        <v>31</v>
      </c>
      <c r="E1904" t="s">
        <v>35</v>
      </c>
      <c r="F1904" t="s">
        <v>51</v>
      </c>
      <c r="G1904" s="118">
        <v>0.47200231481481486</v>
      </c>
      <c r="H1904" s="118">
        <v>9.1435185185185185E-4</v>
      </c>
      <c r="I1904" s="118">
        <v>3.4722222222222224E-4</v>
      </c>
      <c r="J1904"/>
      <c r="K1904"/>
    </row>
    <row r="1905" spans="1:11" x14ac:dyDescent="0.25">
      <c r="A1905">
        <v>4</v>
      </c>
      <c r="B1905">
        <v>7</v>
      </c>
      <c r="C1905"/>
      <c r="D1905" t="s">
        <v>31</v>
      </c>
      <c r="E1905" t="s">
        <v>35</v>
      </c>
      <c r="F1905" t="s">
        <v>33</v>
      </c>
      <c r="G1905" s="118">
        <v>0.47217592592592594</v>
      </c>
      <c r="H1905" s="118">
        <v>1.3541666666666667E-3</v>
      </c>
      <c r="I1905" s="118">
        <v>5.2083333333333333E-4</v>
      </c>
      <c r="J1905"/>
      <c r="K1905"/>
    </row>
    <row r="1906" spans="1:11" x14ac:dyDescent="0.25">
      <c r="A1906">
        <v>2</v>
      </c>
      <c r="B1906">
        <v>8</v>
      </c>
      <c r="C1906"/>
      <c r="D1906" t="s">
        <v>31</v>
      </c>
      <c r="E1906" t="s">
        <v>32</v>
      </c>
      <c r="F1906" t="s">
        <v>41</v>
      </c>
      <c r="G1906" s="118">
        <v>0.47218749999999998</v>
      </c>
      <c r="H1906" s="118">
        <v>3.4722222222222224E-4</v>
      </c>
      <c r="I1906" s="118">
        <v>8.564814814814815E-4</v>
      </c>
      <c r="J1906" s="118">
        <v>7.0717592592592594E-3</v>
      </c>
      <c r="K1906" s="118">
        <v>7.0717592592592594E-3</v>
      </c>
    </row>
    <row r="1907" spans="1:11" x14ac:dyDescent="0.25">
      <c r="A1907">
        <v>5</v>
      </c>
      <c r="B1907">
        <v>8</v>
      </c>
      <c r="C1907"/>
      <c r="D1907" t="s">
        <v>31</v>
      </c>
      <c r="E1907" t="s">
        <v>32</v>
      </c>
      <c r="F1907" t="s">
        <v>51</v>
      </c>
      <c r="G1907" s="118">
        <v>0.47234953703703703</v>
      </c>
      <c r="H1907" s="118">
        <v>3.4722222222222224E-4</v>
      </c>
      <c r="I1907" s="118">
        <v>1.0069444444444444E-3</v>
      </c>
      <c r="J1907" s="118">
        <v>7.0717592592592594E-3</v>
      </c>
      <c r="K1907" s="118">
        <v>7.0717592592592594E-3</v>
      </c>
    </row>
    <row r="1908" spans="1:11" x14ac:dyDescent="0.25">
      <c r="A1908">
        <v>3</v>
      </c>
      <c r="B1908">
        <v>7</v>
      </c>
      <c r="C1908"/>
      <c r="D1908" t="s">
        <v>31</v>
      </c>
      <c r="E1908" t="s">
        <v>35</v>
      </c>
      <c r="F1908" t="s">
        <v>37</v>
      </c>
      <c r="G1908" s="118">
        <v>0.47244212962962967</v>
      </c>
      <c r="H1908" s="118">
        <v>9.6064814814814808E-4</v>
      </c>
      <c r="I1908" s="118">
        <v>3.4722222222222224E-4</v>
      </c>
      <c r="J1908"/>
      <c r="K1908"/>
    </row>
    <row r="1909" spans="1:11" x14ac:dyDescent="0.25">
      <c r="A1909">
        <v>4</v>
      </c>
      <c r="B1909">
        <v>7</v>
      </c>
      <c r="C1909"/>
      <c r="D1909" t="s">
        <v>31</v>
      </c>
      <c r="E1909" t="s">
        <v>32</v>
      </c>
      <c r="F1909" t="s">
        <v>33</v>
      </c>
      <c r="G1909" s="118">
        <v>0.47269675925925925</v>
      </c>
      <c r="H1909" s="118">
        <v>5.2083333333333333E-4</v>
      </c>
      <c r="I1909" s="118">
        <v>9.6064814814814808E-4</v>
      </c>
      <c r="J1909" s="118">
        <v>7.0717592592592594E-3</v>
      </c>
      <c r="K1909" s="118">
        <v>7.0717592592592594E-3</v>
      </c>
    </row>
    <row r="1910" spans="1:11" x14ac:dyDescent="0.25">
      <c r="A1910">
        <v>3</v>
      </c>
      <c r="B1910">
        <v>7</v>
      </c>
      <c r="C1910"/>
      <c r="D1910" t="s">
        <v>31</v>
      </c>
      <c r="E1910" t="s">
        <v>32</v>
      </c>
      <c r="F1910" t="s">
        <v>37</v>
      </c>
      <c r="G1910" s="118">
        <v>0.47278935185185184</v>
      </c>
      <c r="H1910" s="118">
        <v>3.4722222222222224E-4</v>
      </c>
      <c r="I1910" s="118">
        <v>9.0277777777777784E-4</v>
      </c>
      <c r="J1910" s="118">
        <v>7.0717592592592594E-3</v>
      </c>
      <c r="K1910" s="118">
        <v>7.0717592592592594E-3</v>
      </c>
    </row>
    <row r="1911" spans="1:11" x14ac:dyDescent="0.25">
      <c r="A1911">
        <v>1</v>
      </c>
      <c r="B1911">
        <v>7</v>
      </c>
      <c r="C1911"/>
      <c r="D1911" t="s">
        <v>31</v>
      </c>
      <c r="E1911" t="s">
        <v>35</v>
      </c>
      <c r="F1911" t="s">
        <v>52</v>
      </c>
      <c r="G1911" s="118">
        <v>0.47280092592592587</v>
      </c>
      <c r="H1911" s="118">
        <v>1.0416666666666667E-3</v>
      </c>
      <c r="I1911" s="118">
        <v>3.4722222222222224E-4</v>
      </c>
      <c r="J1911"/>
      <c r="K1911"/>
    </row>
    <row r="1912" spans="1:11" x14ac:dyDescent="0.25">
      <c r="A1912">
        <v>2</v>
      </c>
      <c r="B1912">
        <v>8</v>
      </c>
      <c r="C1912"/>
      <c r="D1912" t="s">
        <v>31</v>
      </c>
      <c r="E1912" t="s">
        <v>35</v>
      </c>
      <c r="F1912" t="s">
        <v>47</v>
      </c>
      <c r="G1912" s="118">
        <v>0.47304398148148147</v>
      </c>
      <c r="H1912" s="118">
        <v>8.564814814814815E-4</v>
      </c>
      <c r="I1912" s="118">
        <v>5.2083333333333333E-4</v>
      </c>
      <c r="J1912"/>
      <c r="K1912"/>
    </row>
    <row r="1913" spans="1:11" x14ac:dyDescent="0.25">
      <c r="A1913">
        <v>1</v>
      </c>
      <c r="B1913">
        <v>7</v>
      </c>
      <c r="C1913"/>
      <c r="D1913" t="s">
        <v>31</v>
      </c>
      <c r="E1913" t="s">
        <v>32</v>
      </c>
      <c r="F1913" t="s">
        <v>52</v>
      </c>
      <c r="G1913" s="118">
        <v>0.47314814814814815</v>
      </c>
      <c r="H1913" s="118">
        <v>3.4722222222222224E-4</v>
      </c>
      <c r="I1913" s="118">
        <v>1.0532407407407407E-3</v>
      </c>
      <c r="J1913" s="118">
        <v>7.0717592592592594E-3</v>
      </c>
      <c r="K1913" s="118">
        <v>7.0717592592592594E-3</v>
      </c>
    </row>
    <row r="1914" spans="1:11" x14ac:dyDescent="0.25">
      <c r="A1914">
        <v>5</v>
      </c>
      <c r="B1914">
        <v>8</v>
      </c>
      <c r="C1914"/>
      <c r="D1914" t="s">
        <v>31</v>
      </c>
      <c r="E1914" t="s">
        <v>35</v>
      </c>
      <c r="F1914" t="s">
        <v>55</v>
      </c>
      <c r="G1914" s="118">
        <v>0.47335648148148146</v>
      </c>
      <c r="H1914" s="118">
        <v>1.0069444444444444E-3</v>
      </c>
      <c r="I1914" s="118">
        <v>4.6296296296296293E-4</v>
      </c>
      <c r="J1914"/>
      <c r="K1914"/>
    </row>
    <row r="1915" spans="1:11" x14ac:dyDescent="0.25">
      <c r="A1915">
        <v>2</v>
      </c>
      <c r="B1915">
        <v>8</v>
      </c>
      <c r="C1915"/>
      <c r="D1915" t="s">
        <v>31</v>
      </c>
      <c r="E1915" t="s">
        <v>32</v>
      </c>
      <c r="F1915" t="s">
        <v>47</v>
      </c>
      <c r="G1915" s="118">
        <v>0.47356481481481483</v>
      </c>
      <c r="H1915" s="118">
        <v>5.2083333333333333E-4</v>
      </c>
      <c r="I1915" s="118">
        <v>8.7962962962962962E-4</v>
      </c>
      <c r="J1915" s="118">
        <v>7.0717592592592594E-3</v>
      </c>
      <c r="K1915" s="118">
        <v>7.0717592592592594E-3</v>
      </c>
    </row>
    <row r="1916" spans="1:11" x14ac:dyDescent="0.25">
      <c r="A1916">
        <v>4</v>
      </c>
      <c r="B1916">
        <v>7</v>
      </c>
      <c r="C1916"/>
      <c r="D1916" t="s">
        <v>31</v>
      </c>
      <c r="E1916" t="s">
        <v>35</v>
      </c>
      <c r="F1916" t="s">
        <v>36</v>
      </c>
      <c r="G1916" s="118">
        <v>0.47365740740740742</v>
      </c>
      <c r="H1916" s="118">
        <v>9.6064814814814808E-4</v>
      </c>
      <c r="I1916" s="118">
        <v>3.4722222222222224E-4</v>
      </c>
      <c r="J1916"/>
      <c r="K1916"/>
    </row>
    <row r="1917" spans="1:11" x14ac:dyDescent="0.25">
      <c r="A1917">
        <v>3</v>
      </c>
      <c r="B1917">
        <v>7</v>
      </c>
      <c r="C1917"/>
      <c r="D1917" t="s">
        <v>31</v>
      </c>
      <c r="E1917" t="s">
        <v>35</v>
      </c>
      <c r="F1917" t="s">
        <v>42</v>
      </c>
      <c r="G1917" s="118">
        <v>0.47369212962962964</v>
      </c>
      <c r="H1917" s="118">
        <v>9.0277777777777784E-4</v>
      </c>
      <c r="I1917" s="118">
        <v>3.4722222222222224E-4</v>
      </c>
      <c r="J1917"/>
      <c r="K1917"/>
    </row>
    <row r="1918" spans="1:11" x14ac:dyDescent="0.25">
      <c r="A1918">
        <v>5</v>
      </c>
      <c r="B1918">
        <v>8</v>
      </c>
      <c r="C1918"/>
      <c r="D1918" t="s">
        <v>31</v>
      </c>
      <c r="E1918" t="s">
        <v>32</v>
      </c>
      <c r="F1918" t="s">
        <v>55</v>
      </c>
      <c r="G1918" s="118">
        <v>0.4738194444444444</v>
      </c>
      <c r="H1918" s="118">
        <v>4.6296296296296293E-4</v>
      </c>
      <c r="I1918" s="118">
        <v>4.3981481481481481E-4</v>
      </c>
      <c r="J1918" s="118">
        <v>7.0717592592592594E-3</v>
      </c>
      <c r="K1918" s="118">
        <v>7.0717592592592594E-3</v>
      </c>
    </row>
    <row r="1919" spans="1:11" x14ac:dyDescent="0.25">
      <c r="A1919">
        <v>4</v>
      </c>
      <c r="B1919">
        <v>7</v>
      </c>
      <c r="C1919"/>
      <c r="D1919" t="s">
        <v>31</v>
      </c>
      <c r="E1919" t="s">
        <v>32</v>
      </c>
      <c r="F1919" t="s">
        <v>36</v>
      </c>
      <c r="G1919" s="118">
        <v>0.47400462962962964</v>
      </c>
      <c r="H1919" s="118">
        <v>3.4722222222222224E-4</v>
      </c>
      <c r="I1919" s="118">
        <v>1.0995370370370371E-3</v>
      </c>
      <c r="J1919" s="118">
        <v>7.0717592592592594E-3</v>
      </c>
      <c r="K1919" s="118">
        <v>7.0717592592592594E-3</v>
      </c>
    </row>
    <row r="1920" spans="1:11" x14ac:dyDescent="0.25">
      <c r="A1920">
        <v>3</v>
      </c>
      <c r="B1920">
        <v>7</v>
      </c>
      <c r="C1920"/>
      <c r="D1920" t="s">
        <v>31</v>
      </c>
      <c r="E1920" t="s">
        <v>32</v>
      </c>
      <c r="F1920" t="s">
        <v>42</v>
      </c>
      <c r="G1920" s="118">
        <v>0.47403935185185181</v>
      </c>
      <c r="H1920" s="118">
        <v>3.4722222222222224E-4</v>
      </c>
      <c r="I1920" s="118">
        <v>9.1435185185185185E-4</v>
      </c>
      <c r="J1920" s="118">
        <v>7.0717592592592594E-3</v>
      </c>
      <c r="K1920" s="118">
        <v>7.0717592592592594E-3</v>
      </c>
    </row>
    <row r="1921" spans="1:11" x14ac:dyDescent="0.25">
      <c r="A1921">
        <v>1</v>
      </c>
      <c r="B1921">
        <v>7</v>
      </c>
      <c r="C1921"/>
      <c r="D1921" t="s">
        <v>31</v>
      </c>
      <c r="E1921" t="s">
        <v>35</v>
      </c>
      <c r="F1921" t="s">
        <v>57</v>
      </c>
      <c r="G1921" s="118">
        <v>0.47420138888888891</v>
      </c>
      <c r="H1921" s="118">
        <v>1.0532407407407407E-3</v>
      </c>
      <c r="I1921" s="118">
        <v>3.4722222222222224E-4</v>
      </c>
      <c r="J1921"/>
      <c r="K1921"/>
    </row>
    <row r="1922" spans="1:11" x14ac:dyDescent="0.25">
      <c r="A1922">
        <v>5</v>
      </c>
      <c r="B1922">
        <v>8</v>
      </c>
      <c r="C1922"/>
      <c r="D1922" t="s">
        <v>31</v>
      </c>
      <c r="E1922" t="s">
        <v>35</v>
      </c>
      <c r="F1922" t="s">
        <v>58</v>
      </c>
      <c r="G1922" s="118">
        <v>0.47425925925925921</v>
      </c>
      <c r="H1922" s="118">
        <v>4.3981481481481481E-4</v>
      </c>
      <c r="I1922" s="118">
        <v>5.7870370370370366E-5</v>
      </c>
      <c r="J1922"/>
      <c r="K1922"/>
    </row>
    <row r="1923" spans="1:11" x14ac:dyDescent="0.25">
      <c r="A1923">
        <v>5</v>
      </c>
      <c r="B1923">
        <v>8</v>
      </c>
      <c r="C1923"/>
      <c r="D1923" t="s">
        <v>31</v>
      </c>
      <c r="E1923" t="s">
        <v>32</v>
      </c>
      <c r="F1923" t="s">
        <v>58</v>
      </c>
      <c r="G1923" s="118">
        <v>0.47431712962962963</v>
      </c>
      <c r="H1923" s="118">
        <v>5.7870370370370366E-5</v>
      </c>
      <c r="I1923" s="118">
        <v>4.8611111111111104E-4</v>
      </c>
      <c r="J1923" s="118">
        <v>7.0717592592592594E-3</v>
      </c>
      <c r="K1923" s="118">
        <v>7.0717592592592594E-3</v>
      </c>
    </row>
    <row r="1924" spans="1:11" x14ac:dyDescent="0.25">
      <c r="A1924">
        <v>2</v>
      </c>
      <c r="B1924">
        <v>8</v>
      </c>
      <c r="C1924"/>
      <c r="D1924" t="s">
        <v>31</v>
      </c>
      <c r="E1924" t="s">
        <v>35</v>
      </c>
      <c r="F1924" t="s">
        <v>53</v>
      </c>
      <c r="G1924" s="118">
        <v>0.47444444444444445</v>
      </c>
      <c r="H1924" s="118">
        <v>8.7962962962962962E-4</v>
      </c>
      <c r="I1924" s="118">
        <v>3.4722222222222224E-4</v>
      </c>
      <c r="J1924"/>
      <c r="K1924"/>
    </row>
    <row r="1925" spans="1:11" x14ac:dyDescent="0.25">
      <c r="A1925">
        <v>1</v>
      </c>
      <c r="B1925">
        <v>7</v>
      </c>
      <c r="C1925"/>
      <c r="D1925" t="s">
        <v>31</v>
      </c>
      <c r="E1925" t="s">
        <v>32</v>
      </c>
      <c r="F1925" t="s">
        <v>57</v>
      </c>
      <c r="G1925" s="118">
        <v>0.47454861111111107</v>
      </c>
      <c r="H1925" s="118">
        <v>3.4722222222222224E-4</v>
      </c>
      <c r="I1925" s="118">
        <v>9.3750000000000007E-4</v>
      </c>
      <c r="J1925" s="118">
        <v>7.0717592592592594E-3</v>
      </c>
      <c r="K1925" s="118">
        <v>7.0717592592592594E-3</v>
      </c>
    </row>
    <row r="1926" spans="1:11" x14ac:dyDescent="0.25">
      <c r="A1926">
        <v>2</v>
      </c>
      <c r="B1926">
        <v>8</v>
      </c>
      <c r="C1926"/>
      <c r="D1926" t="s">
        <v>31</v>
      </c>
      <c r="E1926" t="s">
        <v>32</v>
      </c>
      <c r="F1926" t="s">
        <v>53</v>
      </c>
      <c r="G1926" s="118">
        <v>0.47479166666666667</v>
      </c>
      <c r="H1926" s="118">
        <v>3.4722222222222224E-4</v>
      </c>
      <c r="I1926" s="118">
        <v>8.449074074074075E-4</v>
      </c>
      <c r="J1926" s="118">
        <v>7.0717592592592594E-3</v>
      </c>
      <c r="K1926" s="118">
        <v>7.0717592592592594E-3</v>
      </c>
    </row>
    <row r="1927" spans="1:11" x14ac:dyDescent="0.25">
      <c r="A1927">
        <v>5</v>
      </c>
      <c r="B1927">
        <v>8</v>
      </c>
      <c r="C1927"/>
      <c r="D1927" t="s">
        <v>31</v>
      </c>
      <c r="E1927" t="s">
        <v>35</v>
      </c>
      <c r="F1927" t="s">
        <v>40</v>
      </c>
      <c r="G1927" s="118">
        <v>0.47480324074074076</v>
      </c>
      <c r="H1927" s="118">
        <v>4.8611111111111104E-4</v>
      </c>
      <c r="I1927" s="118">
        <v>4.6296296296296293E-4</v>
      </c>
      <c r="J1927"/>
      <c r="K1927"/>
    </row>
    <row r="1928" spans="1:11" x14ac:dyDescent="0.25">
      <c r="A1928">
        <v>3</v>
      </c>
      <c r="B1928">
        <v>7</v>
      </c>
      <c r="C1928"/>
      <c r="D1928" t="s">
        <v>31</v>
      </c>
      <c r="E1928" t="s">
        <v>35</v>
      </c>
      <c r="F1928" t="s">
        <v>48</v>
      </c>
      <c r="G1928" s="118">
        <v>0.47495370370370371</v>
      </c>
      <c r="H1928" s="118">
        <v>9.1435185185185185E-4</v>
      </c>
      <c r="I1928" s="118">
        <v>5.2083333333333333E-4</v>
      </c>
      <c r="J1928"/>
      <c r="K1928"/>
    </row>
    <row r="1929" spans="1:11" x14ac:dyDescent="0.25">
      <c r="A1929">
        <v>4</v>
      </c>
      <c r="B1929">
        <v>7</v>
      </c>
      <c r="C1929"/>
      <c r="D1929" t="s">
        <v>31</v>
      </c>
      <c r="E1929" t="s">
        <v>35</v>
      </c>
      <c r="F1929" t="s">
        <v>43</v>
      </c>
      <c r="G1929" s="118">
        <v>0.47510416666666666</v>
      </c>
      <c r="H1929" s="118">
        <v>1.0995370370370371E-3</v>
      </c>
      <c r="I1929" s="118">
        <v>3.4722222222222224E-4</v>
      </c>
      <c r="J1929"/>
      <c r="K1929"/>
    </row>
    <row r="1930" spans="1:11" x14ac:dyDescent="0.25">
      <c r="A1930">
        <v>5</v>
      </c>
      <c r="B1930">
        <v>8</v>
      </c>
      <c r="C1930"/>
      <c r="D1930" t="s">
        <v>31</v>
      </c>
      <c r="E1930" t="s">
        <v>32</v>
      </c>
      <c r="F1930" t="s">
        <v>40</v>
      </c>
      <c r="G1930" s="118">
        <v>0.4752662037037037</v>
      </c>
      <c r="H1930" s="118">
        <v>4.6296296296296293E-4</v>
      </c>
      <c r="I1930" s="118">
        <v>1.0069444444444444E-3</v>
      </c>
      <c r="J1930" s="118">
        <v>7.0717592592592594E-3</v>
      </c>
      <c r="K1930" s="118">
        <v>7.0717592592592594E-3</v>
      </c>
    </row>
    <row r="1931" spans="1:11" x14ac:dyDescent="0.25">
      <c r="A1931">
        <v>4</v>
      </c>
      <c r="B1931">
        <v>7</v>
      </c>
      <c r="C1931"/>
      <c r="D1931" t="s">
        <v>31</v>
      </c>
      <c r="E1931" t="s">
        <v>32</v>
      </c>
      <c r="F1931" t="s">
        <v>43</v>
      </c>
      <c r="G1931" s="118">
        <v>0.47545138888888888</v>
      </c>
      <c r="H1931" s="118">
        <v>3.4722222222222224E-4</v>
      </c>
      <c r="I1931" s="118">
        <v>1.1458333333333333E-3</v>
      </c>
      <c r="J1931" s="118">
        <v>7.0717592592592594E-3</v>
      </c>
      <c r="K1931" s="118">
        <v>7.0717592592592594E-3</v>
      </c>
    </row>
    <row r="1932" spans="1:11" x14ac:dyDescent="0.25">
      <c r="A1932">
        <v>3</v>
      </c>
      <c r="B1932">
        <v>7</v>
      </c>
      <c r="C1932"/>
      <c r="D1932" t="s">
        <v>31</v>
      </c>
      <c r="E1932" t="s">
        <v>32</v>
      </c>
      <c r="F1932" t="s">
        <v>48</v>
      </c>
      <c r="G1932" s="118">
        <v>0.47547453703703701</v>
      </c>
      <c r="H1932" s="118">
        <v>5.2083333333333333E-4</v>
      </c>
      <c r="I1932" s="118">
        <v>8.6805555555555551E-4</v>
      </c>
      <c r="J1932" s="118">
        <v>7.0717592592592594E-3</v>
      </c>
      <c r="K1932" s="118">
        <v>7.0717592592592594E-3</v>
      </c>
    </row>
    <row r="1933" spans="1:11" x14ac:dyDescent="0.25">
      <c r="A1933">
        <v>1</v>
      </c>
      <c r="B1933">
        <v>7</v>
      </c>
      <c r="C1933"/>
      <c r="D1933" t="s">
        <v>31</v>
      </c>
      <c r="E1933" t="s">
        <v>35</v>
      </c>
      <c r="F1933" t="s">
        <v>39</v>
      </c>
      <c r="G1933" s="118">
        <v>0.47548611111111111</v>
      </c>
      <c r="H1933" s="118">
        <v>9.3750000000000007E-4</v>
      </c>
      <c r="I1933" s="118">
        <v>5.2083333333333333E-4</v>
      </c>
      <c r="J1933"/>
      <c r="K1933"/>
    </row>
    <row r="1934" spans="1:11" x14ac:dyDescent="0.25">
      <c r="A1934">
        <v>2</v>
      </c>
      <c r="B1934">
        <v>8</v>
      </c>
      <c r="C1934"/>
      <c r="D1934" t="s">
        <v>31</v>
      </c>
      <c r="E1934" t="s">
        <v>35</v>
      </c>
      <c r="F1934" t="s">
        <v>34</v>
      </c>
      <c r="G1934" s="118">
        <v>0.47563657407407406</v>
      </c>
      <c r="H1934" s="118">
        <v>8.449074074074075E-4</v>
      </c>
      <c r="I1934" s="118">
        <v>3.4722222222222224E-4</v>
      </c>
      <c r="J1934"/>
      <c r="K1934"/>
    </row>
    <row r="1935" spans="1:11" x14ac:dyDescent="0.25">
      <c r="A1935">
        <v>2</v>
      </c>
      <c r="B1935">
        <v>8</v>
      </c>
      <c r="C1935"/>
      <c r="D1935" t="s">
        <v>31</v>
      </c>
      <c r="E1935" t="s">
        <v>32</v>
      </c>
      <c r="F1935" t="s">
        <v>34</v>
      </c>
      <c r="G1935" s="118">
        <v>0.47598379629629628</v>
      </c>
      <c r="H1935" s="118">
        <v>3.4722222222222224E-4</v>
      </c>
      <c r="I1935" s="118">
        <v>9.1435185185185185E-4</v>
      </c>
      <c r="J1935" s="118">
        <v>7.0717592592592594E-3</v>
      </c>
      <c r="K1935" s="118">
        <v>7.0717592592592594E-3</v>
      </c>
    </row>
    <row r="1936" spans="1:11" x14ac:dyDescent="0.25">
      <c r="A1936">
        <v>1</v>
      </c>
      <c r="B1936">
        <v>7</v>
      </c>
      <c r="C1936"/>
      <c r="D1936" t="s">
        <v>31</v>
      </c>
      <c r="E1936" t="s">
        <v>32</v>
      </c>
      <c r="F1936" t="s">
        <v>39</v>
      </c>
      <c r="G1936" s="118">
        <v>0.47600694444444441</v>
      </c>
      <c r="H1936" s="118">
        <v>5.2083333333333333E-4</v>
      </c>
      <c r="I1936" s="118">
        <v>1.8055555555555557E-3</v>
      </c>
      <c r="J1936" s="118">
        <v>7.0717592592592594E-3</v>
      </c>
      <c r="K1936" s="118">
        <v>7.0717592592592594E-3</v>
      </c>
    </row>
    <row r="1937" spans="1:11" x14ac:dyDescent="0.25">
      <c r="A1937">
        <v>5</v>
      </c>
      <c r="B1937">
        <v>8</v>
      </c>
      <c r="C1937"/>
      <c r="D1937" t="s">
        <v>31</v>
      </c>
      <c r="E1937" t="s">
        <v>35</v>
      </c>
      <c r="F1937" t="s">
        <v>44</v>
      </c>
      <c r="G1937" s="118">
        <v>0.47627314814814814</v>
      </c>
      <c r="H1937" s="118">
        <v>1.0069444444444444E-3</v>
      </c>
      <c r="I1937" s="118">
        <v>3.4722222222222224E-4</v>
      </c>
      <c r="J1937"/>
      <c r="K1937"/>
    </row>
    <row r="1938" spans="1:11" x14ac:dyDescent="0.25">
      <c r="A1938">
        <v>3</v>
      </c>
      <c r="B1938">
        <v>7</v>
      </c>
      <c r="C1938"/>
      <c r="D1938" t="s">
        <v>31</v>
      </c>
      <c r="E1938" t="s">
        <v>35</v>
      </c>
      <c r="F1938" t="s">
        <v>54</v>
      </c>
      <c r="G1938" s="118">
        <v>0.4763425925925926</v>
      </c>
      <c r="H1938" s="118">
        <v>8.6805555555555551E-4</v>
      </c>
      <c r="I1938" s="118">
        <v>3.4722222222222224E-4</v>
      </c>
      <c r="J1938"/>
      <c r="K1938"/>
    </row>
    <row r="1939" spans="1:11" x14ac:dyDescent="0.25">
      <c r="A1939">
        <v>4</v>
      </c>
      <c r="B1939">
        <v>7</v>
      </c>
      <c r="C1939"/>
      <c r="D1939" t="s">
        <v>31</v>
      </c>
      <c r="E1939" t="s">
        <v>35</v>
      </c>
      <c r="F1939" t="s">
        <v>50</v>
      </c>
      <c r="G1939" s="118">
        <v>0.47659722222222217</v>
      </c>
      <c r="H1939" s="118">
        <v>1.1458333333333333E-3</v>
      </c>
      <c r="I1939" s="118">
        <v>3.4722222222222224E-4</v>
      </c>
      <c r="J1939"/>
      <c r="K1939"/>
    </row>
    <row r="1940" spans="1:11" x14ac:dyDescent="0.25">
      <c r="A1940">
        <v>5</v>
      </c>
      <c r="B1940">
        <v>8</v>
      </c>
      <c r="C1940"/>
      <c r="D1940" t="s">
        <v>31</v>
      </c>
      <c r="E1940" t="s">
        <v>32</v>
      </c>
      <c r="F1940" t="s">
        <v>44</v>
      </c>
      <c r="G1940" s="118">
        <v>0.47662037037037036</v>
      </c>
      <c r="H1940" s="118">
        <v>3.4722222222222224E-4</v>
      </c>
      <c r="I1940" s="118">
        <v>9.2592592592592585E-4</v>
      </c>
      <c r="J1940" s="118">
        <v>7.0717592592592594E-3</v>
      </c>
      <c r="K1940" s="118">
        <v>7.0717592592592594E-3</v>
      </c>
    </row>
    <row r="1941" spans="1:11" x14ac:dyDescent="0.25">
      <c r="A1941">
        <v>3</v>
      </c>
      <c r="B1941">
        <v>7</v>
      </c>
      <c r="C1941"/>
      <c r="D1941" t="s">
        <v>31</v>
      </c>
      <c r="E1941" t="s">
        <v>32</v>
      </c>
      <c r="F1941" t="s">
        <v>54</v>
      </c>
      <c r="G1941" s="118">
        <v>0.47668981481481482</v>
      </c>
      <c r="H1941" s="118">
        <v>3.4722222222222224E-4</v>
      </c>
      <c r="I1941" s="118">
        <v>6.9444444444444447E-4</v>
      </c>
      <c r="J1941" s="118">
        <v>7.0717592592592594E-3</v>
      </c>
      <c r="K1941" s="118">
        <v>7.0717592592592594E-3</v>
      </c>
    </row>
    <row r="1942" spans="1:11" x14ac:dyDescent="0.25">
      <c r="A1942">
        <v>2</v>
      </c>
      <c r="B1942">
        <v>8</v>
      </c>
      <c r="C1942"/>
      <c r="D1942" t="s">
        <v>31</v>
      </c>
      <c r="E1942" t="s">
        <v>35</v>
      </c>
      <c r="F1942" t="s">
        <v>38</v>
      </c>
      <c r="G1942" s="118">
        <v>0.47689814814814818</v>
      </c>
      <c r="H1942" s="118">
        <v>9.1435185185185185E-4</v>
      </c>
      <c r="I1942" s="118">
        <v>3.4722222222222224E-4</v>
      </c>
      <c r="J1942"/>
      <c r="K1942"/>
    </row>
    <row r="1943" spans="1:11" x14ac:dyDescent="0.25">
      <c r="A1943">
        <v>4</v>
      </c>
      <c r="B1943">
        <v>7</v>
      </c>
      <c r="C1943"/>
      <c r="D1943" t="s">
        <v>31</v>
      </c>
      <c r="E1943" t="s">
        <v>32</v>
      </c>
      <c r="F1943" t="s">
        <v>50</v>
      </c>
      <c r="G1943" s="118">
        <v>0.47694444444444445</v>
      </c>
      <c r="H1943" s="118">
        <v>3.4722222222222224E-4</v>
      </c>
      <c r="I1943" s="118">
        <v>1.261574074074074E-3</v>
      </c>
      <c r="J1943" s="118">
        <v>7.0717592592592594E-3</v>
      </c>
      <c r="K1943" s="118">
        <v>7.0717592592592594E-3</v>
      </c>
    </row>
    <row r="1944" spans="1:11" x14ac:dyDescent="0.25">
      <c r="A1944">
        <v>2</v>
      </c>
      <c r="B1944">
        <v>8</v>
      </c>
      <c r="C1944"/>
      <c r="D1944" t="s">
        <v>31</v>
      </c>
      <c r="E1944" t="s">
        <v>32</v>
      </c>
      <c r="F1944" t="s">
        <v>38</v>
      </c>
      <c r="G1944" s="118">
        <v>0.47724537037037035</v>
      </c>
      <c r="H1944" s="118">
        <v>3.4722222222222224E-4</v>
      </c>
      <c r="I1944" s="118">
        <v>1.2384259259259258E-3</v>
      </c>
      <c r="J1944" s="118">
        <v>7.0717592592592594E-3</v>
      </c>
      <c r="K1944" s="118">
        <v>7.0717592592592594E-3</v>
      </c>
    </row>
    <row r="1945" spans="1:11" x14ac:dyDescent="0.25">
      <c r="A1945">
        <v>3</v>
      </c>
      <c r="B1945">
        <v>7</v>
      </c>
      <c r="C1945"/>
      <c r="D1945" t="s">
        <v>31</v>
      </c>
      <c r="E1945" t="s">
        <v>35</v>
      </c>
      <c r="F1945" t="s">
        <v>92</v>
      </c>
      <c r="G1945" s="118">
        <v>0.47738425925925926</v>
      </c>
      <c r="H1945" s="118">
        <v>6.9444444444444447E-4</v>
      </c>
      <c r="I1945" s="118">
        <v>5.2083333333333333E-4</v>
      </c>
      <c r="J1945"/>
      <c r="K1945"/>
    </row>
    <row r="1946" spans="1:11" x14ac:dyDescent="0.25">
      <c r="A1946">
        <v>5</v>
      </c>
      <c r="B1946">
        <v>8</v>
      </c>
      <c r="C1946"/>
      <c r="D1946" t="s">
        <v>31</v>
      </c>
      <c r="E1946" t="s">
        <v>35</v>
      </c>
      <c r="F1946" t="s">
        <v>49</v>
      </c>
      <c r="G1946" s="118">
        <v>0.47754629629629625</v>
      </c>
      <c r="H1946" s="118">
        <v>9.2592592592592585E-4</v>
      </c>
      <c r="I1946" s="118">
        <v>3.4722222222222224E-4</v>
      </c>
      <c r="J1946"/>
      <c r="K1946"/>
    </row>
    <row r="1947" spans="1:11" x14ac:dyDescent="0.25">
      <c r="A1947">
        <v>1</v>
      </c>
      <c r="B1947">
        <v>7</v>
      </c>
      <c r="C1947"/>
      <c r="D1947" t="s">
        <v>31</v>
      </c>
      <c r="E1947" t="s">
        <v>35</v>
      </c>
      <c r="F1947" t="s">
        <v>46</v>
      </c>
      <c r="G1947" s="118">
        <v>0.47781249999999997</v>
      </c>
      <c r="H1947" s="118">
        <v>1.8055555555555557E-3</v>
      </c>
      <c r="I1947" s="118">
        <v>3.4722222222222224E-4</v>
      </c>
      <c r="J1947"/>
      <c r="K1947"/>
    </row>
    <row r="1948" spans="1:11" x14ac:dyDescent="0.25">
      <c r="A1948">
        <v>5</v>
      </c>
      <c r="B1948">
        <v>8</v>
      </c>
      <c r="C1948"/>
      <c r="D1948" t="s">
        <v>31</v>
      </c>
      <c r="E1948" t="s">
        <v>32</v>
      </c>
      <c r="F1948" t="s">
        <v>49</v>
      </c>
      <c r="G1948" s="118">
        <v>0.47789351851851852</v>
      </c>
      <c r="H1948" s="118">
        <v>3.4722222222222224E-4</v>
      </c>
      <c r="I1948" s="118">
        <v>1.3541666666666667E-3</v>
      </c>
      <c r="J1948" s="118">
        <v>7.0717592592592594E-3</v>
      </c>
      <c r="K1948" s="118">
        <v>7.0717592592592594E-3</v>
      </c>
    </row>
    <row r="1949" spans="1:11" x14ac:dyDescent="0.25">
      <c r="A1949">
        <v>3</v>
      </c>
      <c r="B1949">
        <v>8</v>
      </c>
      <c r="C1949"/>
      <c r="D1949" t="s">
        <v>31</v>
      </c>
      <c r="E1949" t="s">
        <v>32</v>
      </c>
      <c r="F1949" t="s">
        <v>92</v>
      </c>
      <c r="G1949" s="118">
        <v>0.47790509259259256</v>
      </c>
      <c r="H1949" s="118">
        <v>5.2083333333333333E-4</v>
      </c>
      <c r="I1949" s="118">
        <v>1.0069444444444444E-3</v>
      </c>
      <c r="J1949" s="118">
        <v>7.0717592592592594E-3</v>
      </c>
      <c r="K1949" s="118">
        <v>7.0717592592592594E-3</v>
      </c>
    </row>
    <row r="1950" spans="1:11" x14ac:dyDescent="0.25">
      <c r="A1950">
        <v>1</v>
      </c>
      <c r="B1950">
        <v>7</v>
      </c>
      <c r="C1950"/>
      <c r="D1950" t="s">
        <v>31</v>
      </c>
      <c r="E1950" t="s">
        <v>32</v>
      </c>
      <c r="F1950" t="s">
        <v>46</v>
      </c>
      <c r="G1950" s="118">
        <v>0.47815972222222225</v>
      </c>
      <c r="H1950" s="118">
        <v>3.4722222222222224E-4</v>
      </c>
      <c r="I1950" s="118">
        <v>9.1435185185185185E-4</v>
      </c>
      <c r="J1950" s="118">
        <v>7.0717592592592594E-3</v>
      </c>
      <c r="K1950" s="118">
        <v>7.0717592592592594E-3</v>
      </c>
    </row>
    <row r="1951" spans="1:11" x14ac:dyDescent="0.25">
      <c r="A1951">
        <v>4</v>
      </c>
      <c r="B1951">
        <v>7</v>
      </c>
      <c r="C1951"/>
      <c r="D1951" t="s">
        <v>31</v>
      </c>
      <c r="E1951" t="s">
        <v>35</v>
      </c>
      <c r="F1951" t="s">
        <v>56</v>
      </c>
      <c r="G1951" s="118">
        <v>0.47820601851851857</v>
      </c>
      <c r="H1951" s="118">
        <v>1.261574074074074E-3</v>
      </c>
      <c r="I1951" s="118">
        <v>3.4722222222222224E-4</v>
      </c>
      <c r="J1951"/>
      <c r="K1951"/>
    </row>
    <row r="1952" spans="1:11" x14ac:dyDescent="0.25">
      <c r="A1952">
        <v>2</v>
      </c>
      <c r="B1952">
        <v>8</v>
      </c>
      <c r="C1952"/>
      <c r="D1952" t="s">
        <v>31</v>
      </c>
      <c r="E1952" t="s">
        <v>35</v>
      </c>
      <c r="F1952" t="s">
        <v>45</v>
      </c>
      <c r="G1952" s="118">
        <v>0.47848379629629628</v>
      </c>
      <c r="H1952" s="118">
        <v>1.2384259259259258E-3</v>
      </c>
      <c r="I1952" s="118">
        <v>3.4722222222222224E-4</v>
      </c>
      <c r="J1952"/>
      <c r="K1952"/>
    </row>
    <row r="1953" spans="1:11" x14ac:dyDescent="0.25">
      <c r="A1953">
        <v>4</v>
      </c>
      <c r="B1953">
        <v>7</v>
      </c>
      <c r="C1953"/>
      <c r="D1953" t="s">
        <v>31</v>
      </c>
      <c r="E1953" t="s">
        <v>32</v>
      </c>
      <c r="F1953" t="s">
        <v>56</v>
      </c>
      <c r="G1953" s="118">
        <v>0.47855324074074074</v>
      </c>
      <c r="H1953" s="118">
        <v>3.4722222222222224E-4</v>
      </c>
      <c r="I1953" s="118">
        <v>9.6064814814814808E-4</v>
      </c>
      <c r="J1953" s="118">
        <v>7.0717592592592594E-3</v>
      </c>
      <c r="K1953" s="118">
        <v>7.0717592592592594E-3</v>
      </c>
    </row>
    <row r="1954" spans="1:11" x14ac:dyDescent="0.25">
      <c r="A1954">
        <v>2</v>
      </c>
      <c r="B1954">
        <v>8</v>
      </c>
      <c r="C1954"/>
      <c r="D1954" t="s">
        <v>31</v>
      </c>
      <c r="E1954" t="s">
        <v>32</v>
      </c>
      <c r="F1954" t="s">
        <v>45</v>
      </c>
      <c r="G1954" s="118">
        <v>0.4788310185185185</v>
      </c>
      <c r="H1954" s="118">
        <v>3.4722222222222224E-4</v>
      </c>
      <c r="I1954" s="118">
        <v>1.0416666666666667E-3</v>
      </c>
      <c r="J1954" s="118">
        <v>7.0717592592592594E-3</v>
      </c>
      <c r="K1954" s="118">
        <v>7.0717592592592594E-3</v>
      </c>
    </row>
    <row r="1955" spans="1:11" x14ac:dyDescent="0.25">
      <c r="A1955">
        <v>3</v>
      </c>
      <c r="B1955">
        <v>8</v>
      </c>
      <c r="C1955"/>
      <c r="D1955" t="s">
        <v>31</v>
      </c>
      <c r="E1955" t="s">
        <v>35</v>
      </c>
      <c r="F1955" t="s">
        <v>41</v>
      </c>
      <c r="G1955" s="118">
        <v>0.47891203703703705</v>
      </c>
      <c r="H1955" s="118">
        <v>1.0069444444444444E-3</v>
      </c>
      <c r="I1955" s="118">
        <v>3.4722222222222224E-4</v>
      </c>
      <c r="J1955"/>
      <c r="K1955"/>
    </row>
    <row r="1956" spans="1:11" x14ac:dyDescent="0.25">
      <c r="A1956">
        <v>1</v>
      </c>
      <c r="B1956">
        <v>7</v>
      </c>
      <c r="C1956"/>
      <c r="D1956" t="s">
        <v>31</v>
      </c>
      <c r="E1956" t="s">
        <v>35</v>
      </c>
      <c r="F1956" t="s">
        <v>51</v>
      </c>
      <c r="G1956" s="118">
        <v>0.47907407407407404</v>
      </c>
      <c r="H1956" s="118">
        <v>9.1435185185185185E-4</v>
      </c>
      <c r="I1956" s="118">
        <v>3.4722222222222224E-4</v>
      </c>
      <c r="J1956"/>
      <c r="K1956"/>
    </row>
    <row r="1957" spans="1:11" x14ac:dyDescent="0.25">
      <c r="A1957">
        <v>5</v>
      </c>
      <c r="B1957">
        <v>8</v>
      </c>
      <c r="C1957"/>
      <c r="D1957" t="s">
        <v>31</v>
      </c>
      <c r="E1957" t="s">
        <v>35</v>
      </c>
      <c r="F1957" t="s">
        <v>33</v>
      </c>
      <c r="G1957" s="118">
        <v>0.47924768518518518</v>
      </c>
      <c r="H1957" s="118">
        <v>1.3541666666666667E-3</v>
      </c>
      <c r="I1957" s="118">
        <v>5.2083333333333333E-4</v>
      </c>
      <c r="J1957"/>
      <c r="K1957"/>
    </row>
    <row r="1958" spans="1:11" x14ac:dyDescent="0.25">
      <c r="A1958">
        <v>3</v>
      </c>
      <c r="B1958">
        <v>8</v>
      </c>
      <c r="C1958"/>
      <c r="D1958" t="s">
        <v>31</v>
      </c>
      <c r="E1958" t="s">
        <v>32</v>
      </c>
      <c r="F1958" t="s">
        <v>41</v>
      </c>
      <c r="G1958" s="118">
        <v>0.47925925925925927</v>
      </c>
      <c r="H1958" s="118">
        <v>3.4722222222222224E-4</v>
      </c>
      <c r="I1958" s="118">
        <v>8.564814814814815E-4</v>
      </c>
      <c r="J1958" s="118">
        <v>7.0717592592592594E-3</v>
      </c>
      <c r="K1958" s="118">
        <v>7.0717592592592594E-3</v>
      </c>
    </row>
    <row r="1959" spans="1:11" x14ac:dyDescent="0.25">
      <c r="A1959">
        <v>1</v>
      </c>
      <c r="B1959">
        <v>7</v>
      </c>
      <c r="C1959"/>
      <c r="D1959" t="s">
        <v>31</v>
      </c>
      <c r="E1959" t="s">
        <v>32</v>
      </c>
      <c r="F1959" t="s">
        <v>51</v>
      </c>
      <c r="G1959" s="118">
        <v>0.47942129629629626</v>
      </c>
      <c r="H1959" s="118">
        <v>3.4722222222222224E-4</v>
      </c>
      <c r="I1959" s="118">
        <v>1.0069444444444444E-3</v>
      </c>
      <c r="J1959" s="118">
        <v>7.0717592592592594E-3</v>
      </c>
      <c r="K1959" s="118">
        <v>7.0717592592592594E-3</v>
      </c>
    </row>
    <row r="1960" spans="1:11" x14ac:dyDescent="0.25">
      <c r="A1960">
        <v>4</v>
      </c>
      <c r="B1960">
        <v>7</v>
      </c>
      <c r="C1960"/>
      <c r="D1960" t="s">
        <v>31</v>
      </c>
      <c r="E1960" t="s">
        <v>35</v>
      </c>
      <c r="F1960" t="s">
        <v>37</v>
      </c>
      <c r="G1960" s="118">
        <v>0.47951388888888885</v>
      </c>
      <c r="H1960" s="118">
        <v>9.6064814814814808E-4</v>
      </c>
      <c r="I1960" s="118">
        <v>3.4722222222222224E-4</v>
      </c>
      <c r="J1960"/>
      <c r="K1960"/>
    </row>
    <row r="1961" spans="1:11" x14ac:dyDescent="0.25">
      <c r="A1961">
        <v>5</v>
      </c>
      <c r="B1961">
        <v>8</v>
      </c>
      <c r="C1961"/>
      <c r="D1961" t="s">
        <v>31</v>
      </c>
      <c r="E1961" t="s">
        <v>32</v>
      </c>
      <c r="F1961" t="s">
        <v>33</v>
      </c>
      <c r="G1961" s="118">
        <v>0.47976851851851854</v>
      </c>
      <c r="H1961" s="118">
        <v>5.2083333333333333E-4</v>
      </c>
      <c r="I1961" s="118">
        <v>9.6064814814814808E-4</v>
      </c>
      <c r="J1961" s="118">
        <v>7.0717592592592594E-3</v>
      </c>
      <c r="K1961" s="118">
        <v>7.0717592592592594E-3</v>
      </c>
    </row>
    <row r="1962" spans="1:11" x14ac:dyDescent="0.25">
      <c r="A1962">
        <v>4</v>
      </c>
      <c r="B1962">
        <v>7</v>
      </c>
      <c r="C1962"/>
      <c r="D1962" t="s">
        <v>31</v>
      </c>
      <c r="E1962" t="s">
        <v>32</v>
      </c>
      <c r="F1962" t="s">
        <v>37</v>
      </c>
      <c r="G1962" s="118">
        <v>0.47986111111111113</v>
      </c>
      <c r="H1962" s="118">
        <v>3.4722222222222224E-4</v>
      </c>
      <c r="I1962" s="118">
        <v>9.0277777777777784E-4</v>
      </c>
      <c r="J1962" s="118">
        <v>7.0717592592592594E-3</v>
      </c>
      <c r="K1962" s="118">
        <v>7.0717592592592594E-3</v>
      </c>
    </row>
    <row r="1963" spans="1:11" x14ac:dyDescent="0.25">
      <c r="A1963">
        <v>2</v>
      </c>
      <c r="B1963">
        <v>8</v>
      </c>
      <c r="C1963"/>
      <c r="D1963" t="s">
        <v>31</v>
      </c>
      <c r="E1963" t="s">
        <v>35</v>
      </c>
      <c r="F1963" t="s">
        <v>52</v>
      </c>
      <c r="G1963" s="118">
        <v>0.47987268518518517</v>
      </c>
      <c r="H1963" s="118">
        <v>1.0416666666666667E-3</v>
      </c>
      <c r="I1963" s="118">
        <v>3.4722222222222224E-4</v>
      </c>
      <c r="J1963"/>
      <c r="K1963"/>
    </row>
    <row r="1964" spans="1:11" x14ac:dyDescent="0.25">
      <c r="A1964">
        <v>3</v>
      </c>
      <c r="B1964">
        <v>8</v>
      </c>
      <c r="C1964"/>
      <c r="D1964" t="s">
        <v>31</v>
      </c>
      <c r="E1964" t="s">
        <v>35</v>
      </c>
      <c r="F1964" t="s">
        <v>47</v>
      </c>
      <c r="G1964" s="118">
        <v>0.48011574074074076</v>
      </c>
      <c r="H1964" s="118">
        <v>8.564814814814815E-4</v>
      </c>
      <c r="I1964" s="118">
        <v>5.2083333333333333E-4</v>
      </c>
      <c r="J1964"/>
      <c r="K1964"/>
    </row>
    <row r="1965" spans="1:11" x14ac:dyDescent="0.25">
      <c r="A1965">
        <v>2</v>
      </c>
      <c r="B1965">
        <v>8</v>
      </c>
      <c r="C1965"/>
      <c r="D1965" t="s">
        <v>31</v>
      </c>
      <c r="E1965" t="s">
        <v>32</v>
      </c>
      <c r="F1965" t="s">
        <v>52</v>
      </c>
      <c r="G1965" s="118">
        <v>0.48021990740740739</v>
      </c>
      <c r="H1965" s="118">
        <v>3.4722222222222224E-4</v>
      </c>
      <c r="I1965" s="118">
        <v>1.0532407407407407E-3</v>
      </c>
      <c r="J1965" s="118">
        <v>7.0717592592592594E-3</v>
      </c>
      <c r="K1965" s="118">
        <v>7.0717592592592594E-3</v>
      </c>
    </row>
    <row r="1966" spans="1:11" x14ac:dyDescent="0.25">
      <c r="A1966">
        <v>1</v>
      </c>
      <c r="B1966">
        <v>7</v>
      </c>
      <c r="C1966"/>
      <c r="D1966" t="s">
        <v>31</v>
      </c>
      <c r="E1966" t="s">
        <v>35</v>
      </c>
      <c r="F1966" t="s">
        <v>55</v>
      </c>
      <c r="G1966" s="118">
        <v>0.48042824074074075</v>
      </c>
      <c r="H1966" s="118">
        <v>1.0069444444444444E-3</v>
      </c>
      <c r="I1966" s="118">
        <v>4.6296296296296293E-4</v>
      </c>
      <c r="J1966"/>
      <c r="K1966"/>
    </row>
    <row r="1967" spans="1:11" x14ac:dyDescent="0.25">
      <c r="A1967">
        <v>3</v>
      </c>
      <c r="B1967">
        <v>8</v>
      </c>
      <c r="C1967"/>
      <c r="D1967" t="s">
        <v>31</v>
      </c>
      <c r="E1967" t="s">
        <v>32</v>
      </c>
      <c r="F1967" t="s">
        <v>47</v>
      </c>
      <c r="G1967" s="118">
        <v>0.48063657407407406</v>
      </c>
      <c r="H1967" s="118">
        <v>5.2083333333333333E-4</v>
      </c>
      <c r="I1967" s="118">
        <v>8.7962962962962962E-4</v>
      </c>
      <c r="J1967" s="118">
        <v>7.0717592592592594E-3</v>
      </c>
      <c r="K1967" s="118">
        <v>7.0717592592592594E-3</v>
      </c>
    </row>
    <row r="1968" spans="1:11" x14ac:dyDescent="0.25">
      <c r="A1968">
        <v>5</v>
      </c>
      <c r="B1968">
        <v>8</v>
      </c>
      <c r="C1968"/>
      <c r="D1968" t="s">
        <v>31</v>
      </c>
      <c r="E1968" t="s">
        <v>35</v>
      </c>
      <c r="F1968" t="s">
        <v>36</v>
      </c>
      <c r="G1968" s="118">
        <v>0.48072916666666665</v>
      </c>
      <c r="H1968" s="118">
        <v>9.6064814814814808E-4</v>
      </c>
      <c r="I1968" s="118">
        <v>3.4722222222222224E-4</v>
      </c>
      <c r="J1968"/>
      <c r="K1968"/>
    </row>
    <row r="1969" spans="1:11" x14ac:dyDescent="0.25">
      <c r="A1969">
        <v>4</v>
      </c>
      <c r="B1969">
        <v>7</v>
      </c>
      <c r="C1969"/>
      <c r="D1969" t="s">
        <v>31</v>
      </c>
      <c r="E1969" t="s">
        <v>35</v>
      </c>
      <c r="F1969" t="s">
        <v>42</v>
      </c>
      <c r="G1969" s="118">
        <v>0.48076388888888894</v>
      </c>
      <c r="H1969" s="118">
        <v>9.0277777777777784E-4</v>
      </c>
      <c r="I1969" s="118">
        <v>3.4722222222222224E-4</v>
      </c>
      <c r="J1969"/>
      <c r="K1969"/>
    </row>
    <row r="1970" spans="1:11" x14ac:dyDescent="0.25">
      <c r="A1970">
        <v>1</v>
      </c>
      <c r="B1970">
        <v>7</v>
      </c>
      <c r="C1970"/>
      <c r="D1970" t="s">
        <v>31</v>
      </c>
      <c r="E1970" t="s">
        <v>32</v>
      </c>
      <c r="F1970" t="s">
        <v>55</v>
      </c>
      <c r="G1970" s="118">
        <v>0.4808912037037037</v>
      </c>
      <c r="H1970" s="118">
        <v>4.6296296296296293E-4</v>
      </c>
      <c r="I1970" s="118">
        <v>4.3981481481481481E-4</v>
      </c>
      <c r="J1970" s="118">
        <v>7.0717592592592594E-3</v>
      </c>
      <c r="K1970" s="118">
        <v>7.0717592592592594E-3</v>
      </c>
    </row>
    <row r="1971" spans="1:11" x14ac:dyDescent="0.25">
      <c r="A1971">
        <v>5</v>
      </c>
      <c r="B1971">
        <v>8</v>
      </c>
      <c r="C1971"/>
      <c r="D1971" t="s">
        <v>31</v>
      </c>
      <c r="E1971" t="s">
        <v>32</v>
      </c>
      <c r="F1971" t="s">
        <v>36</v>
      </c>
      <c r="G1971" s="118">
        <v>0.48107638888888887</v>
      </c>
      <c r="H1971" s="118">
        <v>3.4722222222222224E-4</v>
      </c>
      <c r="I1971" s="118">
        <v>1.0995370370370371E-3</v>
      </c>
      <c r="J1971" s="118">
        <v>7.0717592592592594E-3</v>
      </c>
      <c r="K1971" s="118">
        <v>7.0717592592592594E-3</v>
      </c>
    </row>
    <row r="1972" spans="1:11" x14ac:dyDescent="0.25">
      <c r="A1972">
        <v>4</v>
      </c>
      <c r="B1972">
        <v>7</v>
      </c>
      <c r="C1972"/>
      <c r="D1972" t="s">
        <v>31</v>
      </c>
      <c r="E1972" t="s">
        <v>32</v>
      </c>
      <c r="F1972" t="s">
        <v>42</v>
      </c>
      <c r="G1972" s="118">
        <v>0.4811111111111111</v>
      </c>
      <c r="H1972" s="118">
        <v>3.4722222222222224E-4</v>
      </c>
      <c r="I1972" s="118">
        <v>9.1435185185185185E-4</v>
      </c>
      <c r="J1972" s="118">
        <v>7.0717592592592594E-3</v>
      </c>
      <c r="K1972" s="118">
        <v>7.0717592592592594E-3</v>
      </c>
    </row>
    <row r="1973" spans="1:11" x14ac:dyDescent="0.25">
      <c r="A1973">
        <v>2</v>
      </c>
      <c r="B1973">
        <v>8</v>
      </c>
      <c r="C1973"/>
      <c r="D1973" t="s">
        <v>31</v>
      </c>
      <c r="E1973" t="s">
        <v>35</v>
      </c>
      <c r="F1973" t="s">
        <v>57</v>
      </c>
      <c r="G1973" s="118">
        <v>0.4812731481481482</v>
      </c>
      <c r="H1973" s="118">
        <v>1.0532407407407407E-3</v>
      </c>
      <c r="I1973" s="118">
        <v>3.4722222222222224E-4</v>
      </c>
      <c r="J1973"/>
      <c r="K1973"/>
    </row>
    <row r="1974" spans="1:11" x14ac:dyDescent="0.25">
      <c r="A1974">
        <v>1</v>
      </c>
      <c r="B1974">
        <v>7</v>
      </c>
      <c r="C1974"/>
      <c r="D1974" t="s">
        <v>31</v>
      </c>
      <c r="E1974" t="s">
        <v>35</v>
      </c>
      <c r="F1974" t="s">
        <v>58</v>
      </c>
      <c r="G1974" s="118">
        <v>0.48133101851851851</v>
      </c>
      <c r="H1974" s="118">
        <v>4.3981481481481481E-4</v>
      </c>
      <c r="I1974" s="118">
        <v>5.7870370370370366E-5</v>
      </c>
      <c r="J1974"/>
      <c r="K1974"/>
    </row>
    <row r="1975" spans="1:11" x14ac:dyDescent="0.25">
      <c r="A1975">
        <v>1</v>
      </c>
      <c r="B1975">
        <v>7</v>
      </c>
      <c r="C1975"/>
      <c r="D1975" t="s">
        <v>31</v>
      </c>
      <c r="E1975" t="s">
        <v>32</v>
      </c>
      <c r="F1975" t="s">
        <v>58</v>
      </c>
      <c r="G1975" s="118">
        <v>0.48138888888888887</v>
      </c>
      <c r="H1975" s="118">
        <v>5.7870370370370366E-5</v>
      </c>
      <c r="I1975" s="118">
        <v>4.8611111111111104E-4</v>
      </c>
      <c r="J1975" s="118">
        <v>7.0717592592592594E-3</v>
      </c>
      <c r="K1975" s="118">
        <v>7.0717592592592594E-3</v>
      </c>
    </row>
    <row r="1976" spans="1:11" x14ac:dyDescent="0.25">
      <c r="A1976">
        <v>3</v>
      </c>
      <c r="B1976">
        <v>8</v>
      </c>
      <c r="C1976"/>
      <c r="D1976" t="s">
        <v>31</v>
      </c>
      <c r="E1976" t="s">
        <v>35</v>
      </c>
      <c r="F1976" t="s">
        <v>53</v>
      </c>
      <c r="G1976" s="118">
        <v>0.48151620370370374</v>
      </c>
      <c r="H1976" s="118">
        <v>8.7962962962962962E-4</v>
      </c>
      <c r="I1976" s="118">
        <v>3.4722222222222224E-4</v>
      </c>
      <c r="J1976"/>
      <c r="K1976"/>
    </row>
    <row r="1977" spans="1:11" x14ac:dyDescent="0.25">
      <c r="A1977">
        <v>2</v>
      </c>
      <c r="B1977">
        <v>8</v>
      </c>
      <c r="C1977"/>
      <c r="D1977" t="s">
        <v>31</v>
      </c>
      <c r="E1977" t="s">
        <v>32</v>
      </c>
      <c r="F1977" t="s">
        <v>57</v>
      </c>
      <c r="G1977" s="118">
        <v>0.48162037037037037</v>
      </c>
      <c r="H1977" s="118">
        <v>3.4722222222222224E-4</v>
      </c>
      <c r="I1977" s="118">
        <v>9.3750000000000007E-4</v>
      </c>
      <c r="J1977" s="118">
        <v>7.0717592592592594E-3</v>
      </c>
      <c r="K1977" s="118">
        <v>7.0717592592592594E-3</v>
      </c>
    </row>
    <row r="1978" spans="1:11" x14ac:dyDescent="0.25">
      <c r="A1978">
        <v>3</v>
      </c>
      <c r="B1978">
        <v>8</v>
      </c>
      <c r="C1978"/>
      <c r="D1978" t="s">
        <v>31</v>
      </c>
      <c r="E1978" t="s">
        <v>32</v>
      </c>
      <c r="F1978" t="s">
        <v>53</v>
      </c>
      <c r="G1978" s="118">
        <v>0.48186342592592596</v>
      </c>
      <c r="H1978" s="118">
        <v>3.4722222222222224E-4</v>
      </c>
      <c r="I1978" s="118">
        <v>8.449074074074075E-4</v>
      </c>
      <c r="J1978" s="118">
        <v>7.0717592592592594E-3</v>
      </c>
      <c r="K1978" s="118">
        <v>7.0717592592592594E-3</v>
      </c>
    </row>
    <row r="1979" spans="1:11" x14ac:dyDescent="0.25">
      <c r="A1979">
        <v>1</v>
      </c>
      <c r="B1979">
        <v>7</v>
      </c>
      <c r="C1979"/>
      <c r="D1979" t="s">
        <v>31</v>
      </c>
      <c r="E1979" t="s">
        <v>35</v>
      </c>
      <c r="F1979" t="s">
        <v>40</v>
      </c>
      <c r="G1979" s="118">
        <v>0.481875</v>
      </c>
      <c r="H1979" s="118">
        <v>4.8611111111111104E-4</v>
      </c>
      <c r="I1979" s="118">
        <v>4.6296296296296293E-4</v>
      </c>
      <c r="J1979"/>
      <c r="K1979"/>
    </row>
    <row r="1980" spans="1:11" x14ac:dyDescent="0.25">
      <c r="A1980">
        <v>4</v>
      </c>
      <c r="B1980">
        <v>7</v>
      </c>
      <c r="C1980"/>
      <c r="D1980" t="s">
        <v>31</v>
      </c>
      <c r="E1980" t="s">
        <v>35</v>
      </c>
      <c r="F1980" t="s">
        <v>48</v>
      </c>
      <c r="G1980" s="118">
        <v>0.48202546296296295</v>
      </c>
      <c r="H1980" s="118">
        <v>9.1435185185185185E-4</v>
      </c>
      <c r="I1980" s="118">
        <v>5.2083333333333333E-4</v>
      </c>
      <c r="J1980"/>
      <c r="K1980"/>
    </row>
    <row r="1981" spans="1:11" x14ac:dyDescent="0.25">
      <c r="A1981">
        <v>5</v>
      </c>
      <c r="B1981">
        <v>8</v>
      </c>
      <c r="C1981"/>
      <c r="D1981" t="s">
        <v>31</v>
      </c>
      <c r="E1981" t="s">
        <v>35</v>
      </c>
      <c r="F1981" t="s">
        <v>43</v>
      </c>
      <c r="G1981" s="118">
        <v>0.48217592592592595</v>
      </c>
      <c r="H1981" s="118">
        <v>1.0995370370370371E-3</v>
      </c>
      <c r="I1981" s="118">
        <v>3.4722222222222224E-4</v>
      </c>
      <c r="J1981"/>
      <c r="K1981"/>
    </row>
    <row r="1982" spans="1:11" x14ac:dyDescent="0.25">
      <c r="A1982">
        <v>1</v>
      </c>
      <c r="B1982">
        <v>7</v>
      </c>
      <c r="C1982"/>
      <c r="D1982" t="s">
        <v>31</v>
      </c>
      <c r="E1982" t="s">
        <v>32</v>
      </c>
      <c r="F1982" t="s">
        <v>40</v>
      </c>
      <c r="G1982" s="118">
        <v>0.48233796296296294</v>
      </c>
      <c r="H1982" s="118">
        <v>4.6296296296296293E-4</v>
      </c>
      <c r="I1982" s="118">
        <v>1.0069444444444444E-3</v>
      </c>
      <c r="J1982" s="118">
        <v>7.0717592592592594E-3</v>
      </c>
      <c r="K1982" s="118">
        <v>7.0717592592592594E-3</v>
      </c>
    </row>
    <row r="1983" spans="1:11" x14ac:dyDescent="0.25">
      <c r="A1983">
        <v>5</v>
      </c>
      <c r="B1983">
        <v>8</v>
      </c>
      <c r="C1983"/>
      <c r="D1983" t="s">
        <v>31</v>
      </c>
      <c r="E1983" t="s">
        <v>32</v>
      </c>
      <c r="F1983" t="s">
        <v>43</v>
      </c>
      <c r="G1983" s="118">
        <v>0.48252314814814817</v>
      </c>
      <c r="H1983" s="118">
        <v>3.4722222222222224E-4</v>
      </c>
      <c r="I1983" s="118">
        <v>1.1458333333333333E-3</v>
      </c>
      <c r="J1983" s="118">
        <v>7.0717592592592594E-3</v>
      </c>
      <c r="K1983" s="118">
        <v>7.0717592592592594E-3</v>
      </c>
    </row>
    <row r="1984" spans="1:11" x14ac:dyDescent="0.25">
      <c r="A1984">
        <v>4</v>
      </c>
      <c r="B1984">
        <v>7</v>
      </c>
      <c r="C1984"/>
      <c r="D1984" t="s">
        <v>31</v>
      </c>
      <c r="E1984" t="s">
        <v>32</v>
      </c>
      <c r="F1984" t="s">
        <v>48</v>
      </c>
      <c r="G1984" s="118">
        <v>0.48254629629629631</v>
      </c>
      <c r="H1984" s="118">
        <v>5.2083333333333333E-4</v>
      </c>
      <c r="I1984" s="118">
        <v>8.6805555555555551E-4</v>
      </c>
      <c r="J1984" s="118">
        <v>7.0717592592592594E-3</v>
      </c>
      <c r="K1984" s="118">
        <v>7.0717592592592594E-3</v>
      </c>
    </row>
    <row r="1985" spans="1:11" x14ac:dyDescent="0.25">
      <c r="A1985">
        <v>2</v>
      </c>
      <c r="B1985">
        <v>8</v>
      </c>
      <c r="C1985"/>
      <c r="D1985" t="s">
        <v>31</v>
      </c>
      <c r="E1985" t="s">
        <v>35</v>
      </c>
      <c r="F1985" t="s">
        <v>39</v>
      </c>
      <c r="G1985" s="118">
        <v>0.48255787037037035</v>
      </c>
      <c r="H1985" s="118">
        <v>9.3750000000000007E-4</v>
      </c>
      <c r="I1985" s="118">
        <v>5.2083333333333333E-4</v>
      </c>
      <c r="J1985"/>
      <c r="K1985"/>
    </row>
    <row r="1986" spans="1:11" x14ac:dyDescent="0.25">
      <c r="A1986">
        <v>3</v>
      </c>
      <c r="B1986">
        <v>8</v>
      </c>
      <c r="C1986"/>
      <c r="D1986" t="s">
        <v>31</v>
      </c>
      <c r="E1986" t="s">
        <v>35</v>
      </c>
      <c r="F1986" t="s">
        <v>34</v>
      </c>
      <c r="G1986" s="118">
        <v>0.48270833333333335</v>
      </c>
      <c r="H1986" s="118">
        <v>8.449074074074075E-4</v>
      </c>
      <c r="I1986" s="118">
        <v>3.4722222222222224E-4</v>
      </c>
      <c r="J1986"/>
      <c r="K1986"/>
    </row>
    <row r="1987" spans="1:11" x14ac:dyDescent="0.25">
      <c r="A1987">
        <v>3</v>
      </c>
      <c r="B1987">
        <v>8</v>
      </c>
      <c r="C1987"/>
      <c r="D1987" t="s">
        <v>31</v>
      </c>
      <c r="E1987" t="s">
        <v>32</v>
      </c>
      <c r="F1987" t="s">
        <v>34</v>
      </c>
      <c r="G1987" s="118">
        <v>0.48305555555555557</v>
      </c>
      <c r="H1987" s="118">
        <v>3.4722222222222224E-4</v>
      </c>
      <c r="I1987" s="118">
        <v>9.1435185185185185E-4</v>
      </c>
      <c r="J1987" s="118">
        <v>7.0717592592592594E-3</v>
      </c>
      <c r="K1987" s="118">
        <v>7.0717592592592594E-3</v>
      </c>
    </row>
    <row r="1988" spans="1:11" x14ac:dyDescent="0.25">
      <c r="A1988">
        <v>2</v>
      </c>
      <c r="B1988">
        <v>8</v>
      </c>
      <c r="C1988"/>
      <c r="D1988" t="s">
        <v>31</v>
      </c>
      <c r="E1988" t="s">
        <v>32</v>
      </c>
      <c r="F1988" t="s">
        <v>39</v>
      </c>
      <c r="G1988" s="118">
        <v>0.4830787037037037</v>
      </c>
      <c r="H1988" s="118">
        <v>5.2083333333333333E-4</v>
      </c>
      <c r="I1988" s="118">
        <v>1.8055555555555557E-3</v>
      </c>
      <c r="J1988" s="118">
        <v>7.0717592592592594E-3</v>
      </c>
      <c r="K1988" s="118">
        <v>7.0717592592592594E-3</v>
      </c>
    </row>
    <row r="1989" spans="1:11" x14ac:dyDescent="0.25">
      <c r="A1989">
        <v>1</v>
      </c>
      <c r="B1989">
        <v>7</v>
      </c>
      <c r="C1989"/>
      <c r="D1989" t="s">
        <v>31</v>
      </c>
      <c r="E1989" t="s">
        <v>35</v>
      </c>
      <c r="F1989" t="s">
        <v>44</v>
      </c>
      <c r="G1989" s="118">
        <v>0.48334490740740743</v>
      </c>
      <c r="H1989" s="118">
        <v>1.0069444444444444E-3</v>
      </c>
      <c r="I1989" s="118">
        <v>3.4722222222222224E-4</v>
      </c>
      <c r="J1989"/>
      <c r="K1989"/>
    </row>
    <row r="1990" spans="1:11" x14ac:dyDescent="0.25">
      <c r="A1990">
        <v>4</v>
      </c>
      <c r="B1990">
        <v>7</v>
      </c>
      <c r="C1990"/>
      <c r="D1990" t="s">
        <v>31</v>
      </c>
      <c r="E1990" t="s">
        <v>35</v>
      </c>
      <c r="F1990" t="s">
        <v>54</v>
      </c>
      <c r="G1990" s="118">
        <v>0.48341435185185189</v>
      </c>
      <c r="H1990" s="118">
        <v>8.6805555555555551E-4</v>
      </c>
      <c r="I1990" s="118">
        <v>3.4722222222222224E-4</v>
      </c>
      <c r="J1990"/>
      <c r="K1990"/>
    </row>
    <row r="1991" spans="1:11" x14ac:dyDescent="0.25">
      <c r="A1991">
        <v>5</v>
      </c>
      <c r="B1991">
        <v>8</v>
      </c>
      <c r="C1991"/>
      <c r="D1991" t="s">
        <v>31</v>
      </c>
      <c r="E1991" t="s">
        <v>35</v>
      </c>
      <c r="F1991" t="s">
        <v>50</v>
      </c>
      <c r="G1991" s="118">
        <v>0.48366898148148146</v>
      </c>
      <c r="H1991" s="118">
        <v>1.1458333333333333E-3</v>
      </c>
      <c r="I1991" s="118">
        <v>3.4722222222222224E-4</v>
      </c>
      <c r="J1991"/>
      <c r="K1991"/>
    </row>
    <row r="1992" spans="1:11" x14ac:dyDescent="0.25">
      <c r="A1992">
        <v>1</v>
      </c>
      <c r="B1992">
        <v>7</v>
      </c>
      <c r="C1992"/>
      <c r="D1992" t="s">
        <v>31</v>
      </c>
      <c r="E1992" t="s">
        <v>32</v>
      </c>
      <c r="F1992" t="s">
        <v>44</v>
      </c>
      <c r="G1992" s="118">
        <v>0.48369212962962965</v>
      </c>
      <c r="H1992" s="118">
        <v>3.4722222222222224E-4</v>
      </c>
      <c r="I1992" s="118">
        <v>9.2592592592592585E-4</v>
      </c>
      <c r="J1992" s="118">
        <v>7.0717592592592594E-3</v>
      </c>
      <c r="K1992" s="118">
        <v>7.0717592592592594E-3</v>
      </c>
    </row>
    <row r="1993" spans="1:11" x14ac:dyDescent="0.25">
      <c r="A1993">
        <v>4</v>
      </c>
      <c r="B1993">
        <v>7</v>
      </c>
      <c r="C1993"/>
      <c r="D1993" t="s">
        <v>31</v>
      </c>
      <c r="E1993" t="s">
        <v>32</v>
      </c>
      <c r="F1993" t="s">
        <v>54</v>
      </c>
      <c r="G1993" s="118">
        <v>0.48376157407407411</v>
      </c>
      <c r="H1993" s="118">
        <v>3.4722222222222224E-4</v>
      </c>
      <c r="I1993" s="118">
        <v>6.9444444444444447E-4</v>
      </c>
      <c r="J1993" s="118">
        <v>7.0717592592592594E-3</v>
      </c>
      <c r="K1993" s="118">
        <v>7.0717592592592594E-3</v>
      </c>
    </row>
    <row r="1994" spans="1:11" x14ac:dyDescent="0.25">
      <c r="A1994">
        <v>3</v>
      </c>
      <c r="B1994">
        <v>8</v>
      </c>
      <c r="C1994"/>
      <c r="D1994" t="s">
        <v>31</v>
      </c>
      <c r="E1994" t="s">
        <v>35</v>
      </c>
      <c r="F1994" t="s">
        <v>38</v>
      </c>
      <c r="G1994" s="118">
        <v>0.48396990740740736</v>
      </c>
      <c r="H1994" s="118">
        <v>9.1435185185185185E-4</v>
      </c>
      <c r="I1994" s="118">
        <v>3.4722222222222224E-4</v>
      </c>
      <c r="J1994"/>
      <c r="K1994"/>
    </row>
    <row r="1995" spans="1:11" x14ac:dyDescent="0.25">
      <c r="A1995">
        <v>5</v>
      </c>
      <c r="B1995">
        <v>8</v>
      </c>
      <c r="C1995"/>
      <c r="D1995" t="s">
        <v>31</v>
      </c>
      <c r="E1995" t="s">
        <v>32</v>
      </c>
      <c r="F1995" t="s">
        <v>50</v>
      </c>
      <c r="G1995" s="118">
        <v>0.48401620370370368</v>
      </c>
      <c r="H1995" s="118">
        <v>3.4722222222222224E-4</v>
      </c>
      <c r="I1995" s="118">
        <v>1.261574074074074E-3</v>
      </c>
      <c r="J1995" s="118">
        <v>7.0717592592592594E-3</v>
      </c>
      <c r="K1995" s="118">
        <v>7.0717592592592594E-3</v>
      </c>
    </row>
    <row r="1996" spans="1:11" x14ac:dyDescent="0.25">
      <c r="A1996">
        <v>3</v>
      </c>
      <c r="B1996">
        <v>8</v>
      </c>
      <c r="C1996"/>
      <c r="D1996" t="s">
        <v>31</v>
      </c>
      <c r="E1996" t="s">
        <v>32</v>
      </c>
      <c r="F1996" t="s">
        <v>38</v>
      </c>
      <c r="G1996" s="118">
        <v>0.48431712962962964</v>
      </c>
      <c r="H1996" s="118">
        <v>3.4722222222222224E-4</v>
      </c>
      <c r="I1996" s="118">
        <v>1.2384259259259258E-3</v>
      </c>
      <c r="J1996" s="118">
        <v>7.0717592592592594E-3</v>
      </c>
      <c r="K1996" s="118">
        <v>7.0717592592592594E-3</v>
      </c>
    </row>
    <row r="1997" spans="1:11" x14ac:dyDescent="0.25">
      <c r="A1997">
        <v>4</v>
      </c>
      <c r="B1997">
        <v>7</v>
      </c>
      <c r="C1997"/>
      <c r="D1997" t="s">
        <v>31</v>
      </c>
      <c r="E1997" t="s">
        <v>35</v>
      </c>
      <c r="F1997" t="s">
        <v>92</v>
      </c>
      <c r="G1997" s="118">
        <v>0.48445601851851849</v>
      </c>
      <c r="H1997" s="118">
        <v>6.9444444444444447E-4</v>
      </c>
      <c r="I1997" s="118">
        <v>5.2083333333333333E-4</v>
      </c>
      <c r="J1997"/>
      <c r="K1997"/>
    </row>
    <row r="1998" spans="1:11" x14ac:dyDescent="0.25">
      <c r="A1998">
        <v>1</v>
      </c>
      <c r="B1998">
        <v>7</v>
      </c>
      <c r="C1998"/>
      <c r="D1998" t="s">
        <v>31</v>
      </c>
      <c r="E1998" t="s">
        <v>35</v>
      </c>
      <c r="F1998" t="s">
        <v>49</v>
      </c>
      <c r="G1998" s="118">
        <v>0.48461805555555554</v>
      </c>
      <c r="H1998" s="118">
        <v>9.2592592592592585E-4</v>
      </c>
      <c r="I1998" s="118">
        <v>3.4722222222222224E-4</v>
      </c>
      <c r="J1998"/>
      <c r="K1998"/>
    </row>
    <row r="1999" spans="1:11" x14ac:dyDescent="0.25">
      <c r="A1999">
        <v>2</v>
      </c>
      <c r="B1999">
        <v>8</v>
      </c>
      <c r="C1999"/>
      <c r="D1999" t="s">
        <v>31</v>
      </c>
      <c r="E1999" t="s">
        <v>35</v>
      </c>
      <c r="F1999" t="s">
        <v>46</v>
      </c>
      <c r="G1999" s="118">
        <v>0.48488425925925926</v>
      </c>
      <c r="H1999" s="118">
        <v>1.8055555555555557E-3</v>
      </c>
      <c r="I1999" s="118">
        <v>3.4722222222222224E-4</v>
      </c>
      <c r="J1999"/>
      <c r="K1999"/>
    </row>
    <row r="2000" spans="1:11" x14ac:dyDescent="0.25">
      <c r="A2000">
        <v>1</v>
      </c>
      <c r="B2000">
        <v>7</v>
      </c>
      <c r="C2000"/>
      <c r="D2000" t="s">
        <v>31</v>
      </c>
      <c r="E2000" t="s">
        <v>32</v>
      </c>
      <c r="F2000" t="s">
        <v>49</v>
      </c>
      <c r="G2000" s="118">
        <v>0.48496527777777776</v>
      </c>
      <c r="H2000" s="118">
        <v>3.4722222222222224E-4</v>
      </c>
      <c r="I2000" s="118">
        <v>1.3541666666666667E-3</v>
      </c>
      <c r="J2000" s="118">
        <v>7.0717592592592594E-3</v>
      </c>
      <c r="K2000" s="118">
        <v>7.0717592592592594E-3</v>
      </c>
    </row>
    <row r="2001" spans="1:11" x14ac:dyDescent="0.25">
      <c r="A2001">
        <v>4</v>
      </c>
      <c r="B2001">
        <v>8</v>
      </c>
      <c r="C2001"/>
      <c r="D2001" t="s">
        <v>31</v>
      </c>
      <c r="E2001" t="s">
        <v>32</v>
      </c>
      <c r="F2001" t="s">
        <v>92</v>
      </c>
      <c r="G2001" s="118">
        <v>0.48497685185185185</v>
      </c>
      <c r="H2001" s="118">
        <v>5.2083333333333333E-4</v>
      </c>
      <c r="I2001" s="118">
        <v>1.0069444444444444E-3</v>
      </c>
      <c r="J2001" s="118">
        <v>7.0717592592592594E-3</v>
      </c>
      <c r="K2001" s="118">
        <v>7.0717592592592594E-3</v>
      </c>
    </row>
    <row r="2002" spans="1:11" x14ac:dyDescent="0.25">
      <c r="A2002">
        <v>2</v>
      </c>
      <c r="B2002">
        <v>8</v>
      </c>
      <c r="C2002"/>
      <c r="D2002" t="s">
        <v>31</v>
      </c>
      <c r="E2002" t="s">
        <v>32</v>
      </c>
      <c r="F2002" t="s">
        <v>46</v>
      </c>
      <c r="G2002" s="118">
        <v>0.48523148148148149</v>
      </c>
      <c r="H2002" s="118">
        <v>3.4722222222222224E-4</v>
      </c>
      <c r="I2002" s="118">
        <v>9.1435185185185185E-4</v>
      </c>
      <c r="J2002" s="118">
        <v>7.0717592592592594E-3</v>
      </c>
      <c r="K2002" s="118">
        <v>7.0717592592592594E-3</v>
      </c>
    </row>
    <row r="2003" spans="1:11" x14ac:dyDescent="0.25">
      <c r="A2003">
        <v>5</v>
      </c>
      <c r="B2003">
        <v>8</v>
      </c>
      <c r="C2003"/>
      <c r="D2003" t="s">
        <v>31</v>
      </c>
      <c r="E2003" t="s">
        <v>35</v>
      </c>
      <c r="F2003" t="s">
        <v>56</v>
      </c>
      <c r="G2003" s="118">
        <v>0.48527777777777775</v>
      </c>
      <c r="H2003" s="118">
        <v>1.261574074074074E-3</v>
      </c>
      <c r="I2003" s="118">
        <v>3.4722222222222224E-4</v>
      </c>
      <c r="J2003"/>
      <c r="K2003"/>
    </row>
    <row r="2004" spans="1:11" x14ac:dyDescent="0.25">
      <c r="A2004">
        <v>3</v>
      </c>
      <c r="B2004">
        <v>8</v>
      </c>
      <c r="C2004"/>
      <c r="D2004" t="s">
        <v>31</v>
      </c>
      <c r="E2004" t="s">
        <v>35</v>
      </c>
      <c r="F2004" t="s">
        <v>45</v>
      </c>
      <c r="G2004" s="118">
        <v>0.48555555555555557</v>
      </c>
      <c r="H2004" s="118">
        <v>1.2384259259259258E-3</v>
      </c>
      <c r="I2004" s="118">
        <v>3.4722222222222224E-4</v>
      </c>
      <c r="J2004"/>
      <c r="K2004"/>
    </row>
    <row r="2005" spans="1:11" x14ac:dyDescent="0.25">
      <c r="A2005">
        <v>5</v>
      </c>
      <c r="B2005">
        <v>8</v>
      </c>
      <c r="C2005"/>
      <c r="D2005" t="s">
        <v>31</v>
      </c>
      <c r="E2005" t="s">
        <v>32</v>
      </c>
      <c r="F2005" t="s">
        <v>56</v>
      </c>
      <c r="G2005" s="118">
        <v>0.48562499999999997</v>
      </c>
      <c r="H2005" s="118">
        <v>3.4722222222222224E-4</v>
      </c>
      <c r="I2005" s="118">
        <v>9.6064814814814808E-4</v>
      </c>
      <c r="J2005" s="118">
        <v>7.0717592592592594E-3</v>
      </c>
      <c r="K2005" s="118">
        <v>7.0717592592592594E-3</v>
      </c>
    </row>
    <row r="2006" spans="1:11" x14ac:dyDescent="0.25">
      <c r="A2006">
        <v>3</v>
      </c>
      <c r="B2006">
        <v>8</v>
      </c>
      <c r="C2006"/>
      <c r="D2006" t="s">
        <v>31</v>
      </c>
      <c r="E2006" t="s">
        <v>32</v>
      </c>
      <c r="F2006" t="s">
        <v>45</v>
      </c>
      <c r="G2006" s="118">
        <v>0.48590277777777779</v>
      </c>
      <c r="H2006" s="118">
        <v>3.4722222222222224E-4</v>
      </c>
      <c r="I2006" s="118">
        <v>1.0416666666666667E-3</v>
      </c>
      <c r="J2006" s="118">
        <v>7.0717592592592594E-3</v>
      </c>
      <c r="K2006" s="118">
        <v>7.0717592592592594E-3</v>
      </c>
    </row>
    <row r="2007" spans="1:11" x14ac:dyDescent="0.25">
      <c r="A2007">
        <v>4</v>
      </c>
      <c r="B2007">
        <v>8</v>
      </c>
      <c r="C2007"/>
      <c r="D2007" t="s">
        <v>31</v>
      </c>
      <c r="E2007" t="s">
        <v>35</v>
      </c>
      <c r="F2007" t="s">
        <v>41</v>
      </c>
      <c r="G2007" s="118">
        <v>0.48598379629629629</v>
      </c>
      <c r="H2007" s="118">
        <v>1.0069444444444444E-3</v>
      </c>
      <c r="I2007" s="118">
        <v>3.4722222222222224E-4</v>
      </c>
      <c r="J2007"/>
      <c r="K2007"/>
    </row>
    <row r="2008" spans="1:11" x14ac:dyDescent="0.25">
      <c r="A2008">
        <v>2</v>
      </c>
      <c r="B2008">
        <v>8</v>
      </c>
      <c r="C2008"/>
      <c r="D2008" t="s">
        <v>31</v>
      </c>
      <c r="E2008" t="s">
        <v>35</v>
      </c>
      <c r="F2008" t="s">
        <v>51</v>
      </c>
      <c r="G2008" s="118">
        <v>0.48614583333333333</v>
      </c>
      <c r="H2008" s="118">
        <v>9.1435185185185185E-4</v>
      </c>
      <c r="I2008" s="118">
        <v>3.4722222222222224E-4</v>
      </c>
      <c r="J2008"/>
      <c r="K2008"/>
    </row>
    <row r="2009" spans="1:11" x14ac:dyDescent="0.25">
      <c r="A2009">
        <v>1</v>
      </c>
      <c r="B2009">
        <v>7</v>
      </c>
      <c r="C2009"/>
      <c r="D2009" t="s">
        <v>31</v>
      </c>
      <c r="E2009" t="s">
        <v>35</v>
      </c>
      <c r="F2009" t="s">
        <v>33</v>
      </c>
      <c r="G2009" s="118">
        <v>0.48631944444444447</v>
      </c>
      <c r="H2009" s="118">
        <v>1.3541666666666667E-3</v>
      </c>
      <c r="I2009" s="118">
        <v>5.2083333333333333E-4</v>
      </c>
      <c r="J2009"/>
      <c r="K2009"/>
    </row>
    <row r="2010" spans="1:11" x14ac:dyDescent="0.25">
      <c r="A2010">
        <v>4</v>
      </c>
      <c r="B2010">
        <v>8</v>
      </c>
      <c r="C2010"/>
      <c r="D2010" t="s">
        <v>31</v>
      </c>
      <c r="E2010" t="s">
        <v>32</v>
      </c>
      <c r="F2010" t="s">
        <v>41</v>
      </c>
      <c r="G2010" s="118">
        <v>0.48633101851851851</v>
      </c>
      <c r="H2010" s="118">
        <v>3.4722222222222224E-4</v>
      </c>
      <c r="I2010" s="118">
        <v>8.564814814814815E-4</v>
      </c>
      <c r="J2010" s="118">
        <v>7.0717592592592594E-3</v>
      </c>
      <c r="K2010" s="118">
        <v>7.0717592592592594E-3</v>
      </c>
    </row>
    <row r="2011" spans="1:11" x14ac:dyDescent="0.25">
      <c r="A2011">
        <v>2</v>
      </c>
      <c r="B2011">
        <v>8</v>
      </c>
      <c r="C2011"/>
      <c r="D2011" t="s">
        <v>31</v>
      </c>
      <c r="E2011" t="s">
        <v>32</v>
      </c>
      <c r="F2011" t="s">
        <v>51</v>
      </c>
      <c r="G2011" s="118">
        <v>0.48649305555555555</v>
      </c>
      <c r="H2011" s="118">
        <v>3.4722222222222224E-4</v>
      </c>
      <c r="I2011" s="118">
        <v>1.0069444444444444E-3</v>
      </c>
      <c r="J2011" s="118">
        <v>7.0717592592592594E-3</v>
      </c>
      <c r="K2011" s="118">
        <v>7.0717592592592594E-3</v>
      </c>
    </row>
    <row r="2012" spans="1:11" x14ac:dyDescent="0.25">
      <c r="A2012">
        <v>5</v>
      </c>
      <c r="B2012">
        <v>8</v>
      </c>
      <c r="C2012"/>
      <c r="D2012" t="s">
        <v>31</v>
      </c>
      <c r="E2012" t="s">
        <v>35</v>
      </c>
      <c r="F2012" t="s">
        <v>37</v>
      </c>
      <c r="G2012" s="118">
        <v>0.48658564814814814</v>
      </c>
      <c r="H2012" s="118">
        <v>9.6064814814814808E-4</v>
      </c>
      <c r="I2012" s="118">
        <v>3.4722222222222224E-4</v>
      </c>
      <c r="J2012"/>
      <c r="K2012"/>
    </row>
    <row r="2013" spans="1:11" x14ac:dyDescent="0.25">
      <c r="A2013">
        <v>1</v>
      </c>
      <c r="B2013">
        <v>7</v>
      </c>
      <c r="C2013"/>
      <c r="D2013" t="s">
        <v>31</v>
      </c>
      <c r="E2013" t="s">
        <v>32</v>
      </c>
      <c r="F2013" t="s">
        <v>33</v>
      </c>
      <c r="G2013" s="118">
        <v>0.48684027777777777</v>
      </c>
      <c r="H2013" s="118">
        <v>5.2083333333333333E-4</v>
      </c>
      <c r="I2013" s="118">
        <v>9.6064814814814808E-4</v>
      </c>
      <c r="J2013" s="118">
        <v>7.0717592592592594E-3</v>
      </c>
      <c r="K2013" s="118">
        <v>7.0717592592592594E-3</v>
      </c>
    </row>
    <row r="2014" spans="1:11" x14ac:dyDescent="0.25">
      <c r="A2014">
        <v>5</v>
      </c>
      <c r="B2014">
        <v>8</v>
      </c>
      <c r="C2014"/>
      <c r="D2014" t="s">
        <v>31</v>
      </c>
      <c r="E2014" t="s">
        <v>32</v>
      </c>
      <c r="F2014" t="s">
        <v>37</v>
      </c>
      <c r="G2014" s="118">
        <v>0.48693287037037036</v>
      </c>
      <c r="H2014" s="118">
        <v>3.4722222222222224E-4</v>
      </c>
      <c r="I2014" s="118">
        <v>9.0277777777777784E-4</v>
      </c>
      <c r="J2014" s="118">
        <v>7.0717592592592594E-3</v>
      </c>
      <c r="K2014" s="118">
        <v>7.0717592592592594E-3</v>
      </c>
    </row>
    <row r="2015" spans="1:11" x14ac:dyDescent="0.25">
      <c r="A2015">
        <v>3</v>
      </c>
      <c r="B2015">
        <v>8</v>
      </c>
      <c r="C2015"/>
      <c r="D2015" t="s">
        <v>31</v>
      </c>
      <c r="E2015" t="s">
        <v>35</v>
      </c>
      <c r="F2015" t="s">
        <v>52</v>
      </c>
      <c r="G2015" s="118">
        <v>0.48694444444444446</v>
      </c>
      <c r="H2015" s="118">
        <v>1.0416666666666667E-3</v>
      </c>
      <c r="I2015" s="118">
        <v>3.4722222222222224E-4</v>
      </c>
      <c r="J2015"/>
      <c r="K2015"/>
    </row>
    <row r="2016" spans="1:11" x14ac:dyDescent="0.25">
      <c r="A2016">
        <v>4</v>
      </c>
      <c r="B2016">
        <v>8</v>
      </c>
      <c r="C2016"/>
      <c r="D2016" t="s">
        <v>31</v>
      </c>
      <c r="E2016" t="s">
        <v>35</v>
      </c>
      <c r="F2016" t="s">
        <v>47</v>
      </c>
      <c r="G2016" s="118">
        <v>0.48718750000000005</v>
      </c>
      <c r="H2016" s="118">
        <v>8.564814814814815E-4</v>
      </c>
      <c r="I2016" s="118">
        <v>5.2083333333333333E-4</v>
      </c>
      <c r="J2016"/>
      <c r="K2016"/>
    </row>
    <row r="2017" spans="1:11" x14ac:dyDescent="0.25">
      <c r="A2017">
        <v>3</v>
      </c>
      <c r="B2017">
        <v>8</v>
      </c>
      <c r="C2017"/>
      <c r="D2017" t="s">
        <v>31</v>
      </c>
      <c r="E2017" t="s">
        <v>32</v>
      </c>
      <c r="F2017" t="s">
        <v>52</v>
      </c>
      <c r="G2017" s="118">
        <v>0.48729166666666668</v>
      </c>
      <c r="H2017" s="118">
        <v>3.4722222222222224E-4</v>
      </c>
      <c r="I2017" s="118">
        <v>1.0532407407407407E-3</v>
      </c>
      <c r="J2017" s="118">
        <v>7.0717592592592594E-3</v>
      </c>
      <c r="K2017" s="118">
        <v>7.0717592592592594E-3</v>
      </c>
    </row>
    <row r="2018" spans="1:11" x14ac:dyDescent="0.25">
      <c r="A2018">
        <v>2</v>
      </c>
      <c r="B2018">
        <v>8</v>
      </c>
      <c r="C2018"/>
      <c r="D2018" t="s">
        <v>31</v>
      </c>
      <c r="E2018" t="s">
        <v>35</v>
      </c>
      <c r="F2018" t="s">
        <v>55</v>
      </c>
      <c r="G2018" s="118">
        <v>0.48749999999999999</v>
      </c>
      <c r="H2018" s="118">
        <v>1.0069444444444444E-3</v>
      </c>
      <c r="I2018" s="118">
        <v>4.6296296296296293E-4</v>
      </c>
      <c r="J2018"/>
      <c r="K2018"/>
    </row>
    <row r="2019" spans="1:11" x14ac:dyDescent="0.25">
      <c r="A2019">
        <v>4</v>
      </c>
      <c r="B2019">
        <v>8</v>
      </c>
      <c r="C2019"/>
      <c r="D2019" t="s">
        <v>31</v>
      </c>
      <c r="E2019" t="s">
        <v>32</v>
      </c>
      <c r="F2019" t="s">
        <v>47</v>
      </c>
      <c r="G2019" s="118">
        <v>0.48770833333333335</v>
      </c>
      <c r="H2019" s="118">
        <v>5.2083333333333333E-4</v>
      </c>
      <c r="I2019" s="118">
        <v>8.7962962962962962E-4</v>
      </c>
      <c r="J2019" s="118">
        <v>7.0717592592592594E-3</v>
      </c>
      <c r="K2019" s="118">
        <v>7.0717592592592594E-3</v>
      </c>
    </row>
    <row r="2020" spans="1:11" x14ac:dyDescent="0.25">
      <c r="A2020">
        <v>1</v>
      </c>
      <c r="B2020">
        <v>7</v>
      </c>
      <c r="C2020"/>
      <c r="D2020" t="s">
        <v>31</v>
      </c>
      <c r="E2020" t="s">
        <v>35</v>
      </c>
      <c r="F2020" t="s">
        <v>36</v>
      </c>
      <c r="G2020" s="118">
        <v>0.48780092592592594</v>
      </c>
      <c r="H2020" s="118">
        <v>9.6064814814814808E-4</v>
      </c>
      <c r="I2020" s="118">
        <v>3.4722222222222224E-4</v>
      </c>
      <c r="J2020"/>
      <c r="K2020"/>
    </row>
    <row r="2021" spans="1:11" x14ac:dyDescent="0.25">
      <c r="A2021">
        <v>5</v>
      </c>
      <c r="B2021">
        <v>8</v>
      </c>
      <c r="C2021"/>
      <c r="D2021" t="s">
        <v>31</v>
      </c>
      <c r="E2021" t="s">
        <v>35</v>
      </c>
      <c r="F2021" t="s">
        <v>42</v>
      </c>
      <c r="G2021" s="118">
        <v>0.48783564814814812</v>
      </c>
      <c r="H2021" s="118">
        <v>9.0277777777777784E-4</v>
      </c>
      <c r="I2021" s="118">
        <v>3.4722222222222224E-4</v>
      </c>
      <c r="J2021"/>
      <c r="K2021"/>
    </row>
    <row r="2022" spans="1:11" x14ac:dyDescent="0.25">
      <c r="A2022">
        <v>2</v>
      </c>
      <c r="B2022">
        <v>8</v>
      </c>
      <c r="C2022"/>
      <c r="D2022" t="s">
        <v>31</v>
      </c>
      <c r="E2022" t="s">
        <v>32</v>
      </c>
      <c r="F2022" t="s">
        <v>55</v>
      </c>
      <c r="G2022" s="118">
        <v>0.48796296296296293</v>
      </c>
      <c r="H2022" s="118">
        <v>4.6296296296296293E-4</v>
      </c>
      <c r="I2022" s="118">
        <v>4.3981481481481481E-4</v>
      </c>
      <c r="J2022" s="118">
        <v>7.0717592592592594E-3</v>
      </c>
      <c r="K2022" s="118">
        <v>7.0717592592592594E-3</v>
      </c>
    </row>
    <row r="2023" spans="1:11" x14ac:dyDescent="0.25">
      <c r="A2023">
        <v>1</v>
      </c>
      <c r="B2023">
        <v>7</v>
      </c>
      <c r="C2023"/>
      <c r="D2023" t="s">
        <v>31</v>
      </c>
      <c r="E2023" t="s">
        <v>32</v>
      </c>
      <c r="F2023" t="s">
        <v>36</v>
      </c>
      <c r="G2023" s="118">
        <v>0.48814814814814816</v>
      </c>
      <c r="H2023" s="118">
        <v>3.4722222222222224E-4</v>
      </c>
      <c r="I2023" s="118">
        <v>1.0995370370370371E-3</v>
      </c>
      <c r="J2023" s="118">
        <v>7.0717592592592594E-3</v>
      </c>
      <c r="K2023" s="118">
        <v>7.0717592592592594E-3</v>
      </c>
    </row>
    <row r="2024" spans="1:11" x14ac:dyDescent="0.25">
      <c r="A2024">
        <v>5</v>
      </c>
      <c r="B2024">
        <v>8</v>
      </c>
      <c r="C2024"/>
      <c r="D2024" t="s">
        <v>31</v>
      </c>
      <c r="E2024" t="s">
        <v>32</v>
      </c>
      <c r="F2024" t="s">
        <v>42</v>
      </c>
      <c r="G2024" s="118">
        <v>0.48818287037037034</v>
      </c>
      <c r="H2024" s="118">
        <v>3.4722222222222224E-4</v>
      </c>
      <c r="I2024" s="118">
        <v>9.1435185185185185E-4</v>
      </c>
      <c r="J2024" s="118">
        <v>7.0717592592592594E-3</v>
      </c>
      <c r="K2024" s="118">
        <v>7.0717592592592594E-3</v>
      </c>
    </row>
    <row r="2025" spans="1:11" x14ac:dyDescent="0.25">
      <c r="A2025">
        <v>3</v>
      </c>
      <c r="B2025">
        <v>8</v>
      </c>
      <c r="C2025"/>
      <c r="D2025" t="s">
        <v>31</v>
      </c>
      <c r="E2025" t="s">
        <v>35</v>
      </c>
      <c r="F2025" t="s">
        <v>57</v>
      </c>
      <c r="G2025" s="118">
        <v>0.48834490740740738</v>
      </c>
      <c r="H2025" s="118">
        <v>1.0532407407407407E-3</v>
      </c>
      <c r="I2025" s="118">
        <v>3.4722222222222224E-4</v>
      </c>
      <c r="J2025"/>
      <c r="K2025"/>
    </row>
    <row r="2026" spans="1:11" x14ac:dyDescent="0.25">
      <c r="A2026">
        <v>2</v>
      </c>
      <c r="B2026">
        <v>8</v>
      </c>
      <c r="C2026"/>
      <c r="D2026" t="s">
        <v>31</v>
      </c>
      <c r="E2026" t="s">
        <v>35</v>
      </c>
      <c r="F2026" t="s">
        <v>58</v>
      </c>
      <c r="G2026" s="118">
        <v>0.48840277777777774</v>
      </c>
      <c r="H2026" s="118">
        <v>4.3981481481481481E-4</v>
      </c>
      <c r="I2026" s="118">
        <v>5.7870370370370366E-5</v>
      </c>
      <c r="J2026"/>
      <c r="K2026"/>
    </row>
    <row r="2027" spans="1:11" x14ac:dyDescent="0.25">
      <c r="A2027">
        <v>2</v>
      </c>
      <c r="B2027">
        <v>8</v>
      </c>
      <c r="C2027"/>
      <c r="D2027" t="s">
        <v>31</v>
      </c>
      <c r="E2027" t="s">
        <v>32</v>
      </c>
      <c r="F2027" t="s">
        <v>58</v>
      </c>
      <c r="G2027" s="118">
        <v>0.48846064814814816</v>
      </c>
      <c r="H2027" s="118">
        <v>5.7870370370370366E-5</v>
      </c>
      <c r="I2027" s="118">
        <v>4.8611111111111104E-4</v>
      </c>
      <c r="J2027" s="118">
        <v>7.0717592592592594E-3</v>
      </c>
      <c r="K2027" s="118">
        <v>7.0717592592592594E-3</v>
      </c>
    </row>
    <row r="2028" spans="1:11" x14ac:dyDescent="0.25">
      <c r="A2028">
        <v>4</v>
      </c>
      <c r="B2028">
        <v>8</v>
      </c>
      <c r="C2028"/>
      <c r="D2028" t="s">
        <v>31</v>
      </c>
      <c r="E2028" t="s">
        <v>35</v>
      </c>
      <c r="F2028" t="s">
        <v>53</v>
      </c>
      <c r="G2028" s="118">
        <v>0.48858796296296297</v>
      </c>
      <c r="H2028" s="118">
        <v>8.7962962962962962E-4</v>
      </c>
      <c r="I2028" s="118">
        <v>3.4722222222222224E-4</v>
      </c>
      <c r="J2028"/>
      <c r="K2028"/>
    </row>
    <row r="2029" spans="1:11" x14ac:dyDescent="0.25">
      <c r="A2029">
        <v>3</v>
      </c>
      <c r="B2029">
        <v>8</v>
      </c>
      <c r="C2029"/>
      <c r="D2029" t="s">
        <v>31</v>
      </c>
      <c r="E2029" t="s">
        <v>32</v>
      </c>
      <c r="F2029" t="s">
        <v>57</v>
      </c>
      <c r="G2029" s="118">
        <v>0.4886921296296296</v>
      </c>
      <c r="H2029" s="118">
        <v>3.4722222222222224E-4</v>
      </c>
      <c r="I2029" s="118">
        <v>9.3750000000000007E-4</v>
      </c>
      <c r="J2029" s="118">
        <v>7.0717592592592594E-3</v>
      </c>
      <c r="K2029" s="118">
        <v>7.0717592592592594E-3</v>
      </c>
    </row>
    <row r="2030" spans="1:11" x14ac:dyDescent="0.25">
      <c r="A2030">
        <v>4</v>
      </c>
      <c r="B2030">
        <v>8</v>
      </c>
      <c r="C2030"/>
      <c r="D2030" t="s">
        <v>31</v>
      </c>
      <c r="E2030" t="s">
        <v>32</v>
      </c>
      <c r="F2030" t="s">
        <v>53</v>
      </c>
      <c r="G2030" s="118">
        <v>0.48893518518518514</v>
      </c>
      <c r="H2030" s="118">
        <v>3.4722222222222224E-4</v>
      </c>
      <c r="I2030" s="118">
        <v>8.449074074074075E-4</v>
      </c>
      <c r="J2030" s="118">
        <v>7.0717592592592594E-3</v>
      </c>
      <c r="K2030" s="118">
        <v>7.0717592592592594E-3</v>
      </c>
    </row>
    <row r="2031" spans="1:11" x14ac:dyDescent="0.25">
      <c r="A2031">
        <v>2</v>
      </c>
      <c r="B2031">
        <v>8</v>
      </c>
      <c r="C2031"/>
      <c r="D2031" t="s">
        <v>31</v>
      </c>
      <c r="E2031" t="s">
        <v>35</v>
      </c>
      <c r="F2031" t="s">
        <v>40</v>
      </c>
      <c r="G2031" s="118">
        <v>0.48894675925925929</v>
      </c>
      <c r="H2031" s="118">
        <v>4.8611111111111104E-4</v>
      </c>
      <c r="I2031" s="118">
        <v>4.6296296296296293E-4</v>
      </c>
      <c r="J2031"/>
      <c r="K2031"/>
    </row>
    <row r="2032" spans="1:11" x14ac:dyDescent="0.25">
      <c r="A2032">
        <v>5</v>
      </c>
      <c r="B2032">
        <v>8</v>
      </c>
      <c r="C2032"/>
      <c r="D2032" t="s">
        <v>31</v>
      </c>
      <c r="E2032" t="s">
        <v>35</v>
      </c>
      <c r="F2032" t="s">
        <v>48</v>
      </c>
      <c r="G2032" s="118">
        <v>0.48909722222222224</v>
      </c>
      <c r="H2032" s="118">
        <v>9.1435185185185185E-4</v>
      </c>
      <c r="I2032" s="118">
        <v>5.2083333333333333E-4</v>
      </c>
      <c r="J2032"/>
      <c r="K2032"/>
    </row>
    <row r="2033" spans="1:11" x14ac:dyDescent="0.25">
      <c r="A2033">
        <v>1</v>
      </c>
      <c r="B2033">
        <v>7</v>
      </c>
      <c r="C2033"/>
      <c r="D2033" t="s">
        <v>31</v>
      </c>
      <c r="E2033" t="s">
        <v>35</v>
      </c>
      <c r="F2033" t="s">
        <v>43</v>
      </c>
      <c r="G2033" s="118">
        <v>0.48924768518518519</v>
      </c>
      <c r="H2033" s="118">
        <v>1.0995370370370371E-3</v>
      </c>
      <c r="I2033" s="118">
        <v>3.4722222222222224E-4</v>
      </c>
      <c r="J2033"/>
      <c r="K2033"/>
    </row>
    <row r="2034" spans="1:11" x14ac:dyDescent="0.25">
      <c r="A2034">
        <v>2</v>
      </c>
      <c r="B2034">
        <v>8</v>
      </c>
      <c r="C2034"/>
      <c r="D2034" t="s">
        <v>31</v>
      </c>
      <c r="E2034" t="s">
        <v>32</v>
      </c>
      <c r="F2034" t="s">
        <v>40</v>
      </c>
      <c r="G2034" s="118">
        <v>0.48940972222222223</v>
      </c>
      <c r="H2034" s="118">
        <v>4.6296296296296293E-4</v>
      </c>
      <c r="I2034" s="118">
        <v>1.0069444444444444E-3</v>
      </c>
      <c r="J2034" s="118">
        <v>7.0717592592592594E-3</v>
      </c>
      <c r="K2034" s="118">
        <v>7.0717592592592594E-3</v>
      </c>
    </row>
    <row r="2035" spans="1:11" x14ac:dyDescent="0.25">
      <c r="A2035">
        <v>1</v>
      </c>
      <c r="B2035">
        <v>7</v>
      </c>
      <c r="C2035"/>
      <c r="D2035" t="s">
        <v>31</v>
      </c>
      <c r="E2035" t="s">
        <v>32</v>
      </c>
      <c r="F2035" t="s">
        <v>43</v>
      </c>
      <c r="G2035" s="118">
        <v>0.48959490740740735</v>
      </c>
      <c r="H2035" s="118">
        <v>3.4722222222222224E-4</v>
      </c>
      <c r="I2035" s="118">
        <v>1.1458333333333333E-3</v>
      </c>
      <c r="J2035" s="118">
        <v>7.0717592592592594E-3</v>
      </c>
      <c r="K2035" s="118">
        <v>7.0717592592592594E-3</v>
      </c>
    </row>
    <row r="2036" spans="1:11" x14ac:dyDescent="0.25">
      <c r="A2036">
        <v>5</v>
      </c>
      <c r="B2036">
        <v>8</v>
      </c>
      <c r="C2036"/>
      <c r="D2036" t="s">
        <v>31</v>
      </c>
      <c r="E2036" t="s">
        <v>32</v>
      </c>
      <c r="F2036" t="s">
        <v>48</v>
      </c>
      <c r="G2036" s="118">
        <v>0.48961805555555554</v>
      </c>
      <c r="H2036" s="118">
        <v>5.2083333333333333E-4</v>
      </c>
      <c r="I2036" s="118">
        <v>8.6805555555555551E-4</v>
      </c>
      <c r="J2036" s="118">
        <v>7.0717592592592594E-3</v>
      </c>
      <c r="K2036" s="118">
        <v>7.0717592592592594E-3</v>
      </c>
    </row>
    <row r="2037" spans="1:11" x14ac:dyDescent="0.25">
      <c r="A2037">
        <v>3</v>
      </c>
      <c r="B2037">
        <v>8</v>
      </c>
      <c r="C2037"/>
      <c r="D2037" t="s">
        <v>31</v>
      </c>
      <c r="E2037" t="s">
        <v>35</v>
      </c>
      <c r="F2037" t="s">
        <v>39</v>
      </c>
      <c r="G2037" s="118">
        <v>0.48962962962962964</v>
      </c>
      <c r="H2037" s="118">
        <v>9.3750000000000007E-4</v>
      </c>
      <c r="I2037" s="118">
        <v>5.2083333333333333E-4</v>
      </c>
      <c r="J2037"/>
      <c r="K2037"/>
    </row>
    <row r="2038" spans="1:11" x14ac:dyDescent="0.25">
      <c r="A2038">
        <v>4</v>
      </c>
      <c r="B2038">
        <v>8</v>
      </c>
      <c r="C2038"/>
      <c r="D2038" t="s">
        <v>31</v>
      </c>
      <c r="E2038" t="s">
        <v>35</v>
      </c>
      <c r="F2038" t="s">
        <v>34</v>
      </c>
      <c r="G2038" s="118">
        <v>0.48978009259259259</v>
      </c>
      <c r="H2038" s="118">
        <v>8.449074074074075E-4</v>
      </c>
      <c r="I2038" s="118">
        <v>3.4722222222222224E-4</v>
      </c>
      <c r="J2038"/>
      <c r="K2038"/>
    </row>
    <row r="2039" spans="1:11" x14ac:dyDescent="0.25">
      <c r="A2039">
        <v>4</v>
      </c>
      <c r="B2039">
        <v>8</v>
      </c>
      <c r="C2039"/>
      <c r="D2039" t="s">
        <v>31</v>
      </c>
      <c r="E2039" t="s">
        <v>32</v>
      </c>
      <c r="F2039" t="s">
        <v>34</v>
      </c>
      <c r="G2039" s="118">
        <v>0.49012731481481481</v>
      </c>
      <c r="H2039" s="118">
        <v>3.4722222222222224E-4</v>
      </c>
      <c r="I2039" s="118">
        <v>9.1435185185185185E-4</v>
      </c>
      <c r="J2039" s="118">
        <v>7.0717592592592594E-3</v>
      </c>
      <c r="K2039" s="118">
        <v>7.0717592592592594E-3</v>
      </c>
    </row>
    <row r="2040" spans="1:11" x14ac:dyDescent="0.25">
      <c r="A2040">
        <v>3</v>
      </c>
      <c r="B2040">
        <v>8</v>
      </c>
      <c r="C2040"/>
      <c r="D2040" t="s">
        <v>31</v>
      </c>
      <c r="E2040" t="s">
        <v>32</v>
      </c>
      <c r="F2040" t="s">
        <v>39</v>
      </c>
      <c r="G2040" s="118">
        <v>0.49015046296296294</v>
      </c>
      <c r="H2040" s="118">
        <v>5.2083333333333333E-4</v>
      </c>
      <c r="I2040" s="118">
        <v>1.8055555555555557E-3</v>
      </c>
      <c r="J2040" s="118">
        <v>7.0717592592592594E-3</v>
      </c>
      <c r="K2040" s="118">
        <v>7.0717592592592594E-3</v>
      </c>
    </row>
    <row r="2041" spans="1:11" x14ac:dyDescent="0.25">
      <c r="A2041">
        <v>2</v>
      </c>
      <c r="B2041">
        <v>8</v>
      </c>
      <c r="C2041"/>
      <c r="D2041" t="s">
        <v>31</v>
      </c>
      <c r="E2041" t="s">
        <v>35</v>
      </c>
      <c r="F2041" t="s">
        <v>44</v>
      </c>
      <c r="G2041" s="118">
        <v>0.49041666666666667</v>
      </c>
      <c r="H2041" s="118">
        <v>1.0069444444444444E-3</v>
      </c>
      <c r="I2041" s="118">
        <v>3.4722222222222224E-4</v>
      </c>
      <c r="J2041"/>
      <c r="K2041"/>
    </row>
    <row r="2042" spans="1:11" x14ac:dyDescent="0.25">
      <c r="A2042">
        <v>5</v>
      </c>
      <c r="B2042">
        <v>8</v>
      </c>
      <c r="C2042"/>
      <c r="D2042" t="s">
        <v>31</v>
      </c>
      <c r="E2042" t="s">
        <v>35</v>
      </c>
      <c r="F2042" t="s">
        <v>54</v>
      </c>
      <c r="G2042" s="118">
        <v>0.49048611111111112</v>
      </c>
      <c r="H2042" s="118">
        <v>8.6805555555555551E-4</v>
      </c>
      <c r="I2042" s="118">
        <v>3.4722222222222224E-4</v>
      </c>
      <c r="J2042"/>
      <c r="K2042"/>
    </row>
    <row r="2043" spans="1:11" x14ac:dyDescent="0.25">
      <c r="A2043">
        <v>1</v>
      </c>
      <c r="B2043">
        <v>7</v>
      </c>
      <c r="C2043"/>
      <c r="D2043" t="s">
        <v>31</v>
      </c>
      <c r="E2043" t="s">
        <v>35</v>
      </c>
      <c r="F2043" t="s">
        <v>50</v>
      </c>
      <c r="G2043" s="118">
        <v>0.49074074074074076</v>
      </c>
      <c r="H2043" s="118">
        <v>1.1458333333333333E-3</v>
      </c>
      <c r="I2043" s="118">
        <v>3.4722222222222224E-4</v>
      </c>
      <c r="J2043"/>
      <c r="K2043"/>
    </row>
    <row r="2044" spans="1:11" x14ac:dyDescent="0.25">
      <c r="A2044">
        <v>2</v>
      </c>
      <c r="B2044">
        <v>8</v>
      </c>
      <c r="C2044"/>
      <c r="D2044" t="s">
        <v>31</v>
      </c>
      <c r="E2044" t="s">
        <v>32</v>
      </c>
      <c r="F2044" t="s">
        <v>44</v>
      </c>
      <c r="G2044" s="118">
        <v>0.49076388888888894</v>
      </c>
      <c r="H2044" s="118">
        <v>3.4722222222222224E-4</v>
      </c>
      <c r="I2044" s="118">
        <v>9.2592592592592585E-4</v>
      </c>
      <c r="J2044" s="118">
        <v>7.0717592592592594E-3</v>
      </c>
      <c r="K2044" s="118">
        <v>7.0717592592592594E-3</v>
      </c>
    </row>
    <row r="2045" spans="1:11" x14ac:dyDescent="0.25">
      <c r="A2045">
        <v>5</v>
      </c>
      <c r="B2045">
        <v>8</v>
      </c>
      <c r="C2045"/>
      <c r="D2045" t="s">
        <v>31</v>
      </c>
      <c r="E2045" t="s">
        <v>32</v>
      </c>
      <c r="F2045" t="s">
        <v>54</v>
      </c>
      <c r="G2045" s="118">
        <v>0.49083333333333329</v>
      </c>
      <c r="H2045" s="118">
        <v>3.4722222222222224E-4</v>
      </c>
      <c r="I2045" s="118">
        <v>6.9444444444444447E-4</v>
      </c>
      <c r="J2045" s="118">
        <v>7.0717592592592594E-3</v>
      </c>
      <c r="K2045" s="118">
        <v>7.0717592592592594E-3</v>
      </c>
    </row>
    <row r="2046" spans="1:11" x14ac:dyDescent="0.25">
      <c r="A2046">
        <v>4</v>
      </c>
      <c r="B2046">
        <v>8</v>
      </c>
      <c r="C2046"/>
      <c r="D2046" t="s">
        <v>31</v>
      </c>
      <c r="E2046" t="s">
        <v>35</v>
      </c>
      <c r="F2046" t="s">
        <v>38</v>
      </c>
      <c r="G2046" s="118">
        <v>0.49104166666666665</v>
      </c>
      <c r="H2046" s="118">
        <v>9.1435185185185185E-4</v>
      </c>
      <c r="I2046" s="118">
        <v>3.4722222222222224E-4</v>
      </c>
      <c r="J2046"/>
      <c r="K2046"/>
    </row>
    <row r="2047" spans="1:11" x14ac:dyDescent="0.25">
      <c r="A2047">
        <v>1</v>
      </c>
      <c r="B2047">
        <v>7</v>
      </c>
      <c r="C2047"/>
      <c r="D2047" t="s">
        <v>31</v>
      </c>
      <c r="E2047" t="s">
        <v>32</v>
      </c>
      <c r="F2047" t="s">
        <v>50</v>
      </c>
      <c r="G2047" s="118">
        <v>0.49108796296296298</v>
      </c>
      <c r="H2047" s="118">
        <v>3.4722222222222224E-4</v>
      </c>
      <c r="I2047" s="118">
        <v>1.261574074074074E-3</v>
      </c>
      <c r="J2047" s="118">
        <v>7.0717592592592594E-3</v>
      </c>
      <c r="K2047" s="118">
        <v>7.0717592592592594E-3</v>
      </c>
    </row>
    <row r="2048" spans="1:11" x14ac:dyDescent="0.25">
      <c r="A2048">
        <v>4</v>
      </c>
      <c r="B2048">
        <v>8</v>
      </c>
      <c r="C2048"/>
      <c r="D2048" t="s">
        <v>31</v>
      </c>
      <c r="E2048" t="s">
        <v>32</v>
      </c>
      <c r="F2048" t="s">
        <v>38</v>
      </c>
      <c r="G2048" s="118">
        <v>0.49138888888888888</v>
      </c>
      <c r="H2048" s="118">
        <v>3.4722222222222224E-4</v>
      </c>
      <c r="I2048" s="118">
        <v>1.2384259259259258E-3</v>
      </c>
      <c r="J2048" s="118">
        <v>7.0717592592592594E-3</v>
      </c>
      <c r="K2048" s="118">
        <v>7.0717592592592594E-3</v>
      </c>
    </row>
    <row r="2049" spans="1:11" x14ac:dyDescent="0.25">
      <c r="A2049">
        <v>5</v>
      </c>
      <c r="B2049">
        <v>8</v>
      </c>
      <c r="C2049"/>
      <c r="D2049" t="s">
        <v>31</v>
      </c>
      <c r="E2049" t="s">
        <v>35</v>
      </c>
      <c r="F2049" t="s">
        <v>92</v>
      </c>
      <c r="G2049" s="118">
        <v>0.49152777777777779</v>
      </c>
      <c r="H2049" s="118">
        <v>6.9444444444444447E-4</v>
      </c>
      <c r="I2049" s="118">
        <v>5.2083333333333333E-4</v>
      </c>
      <c r="J2049"/>
      <c r="K2049"/>
    </row>
    <row r="2050" spans="1:11" x14ac:dyDescent="0.25">
      <c r="A2050">
        <v>2</v>
      </c>
      <c r="B2050">
        <v>8</v>
      </c>
      <c r="C2050"/>
      <c r="D2050" t="s">
        <v>31</v>
      </c>
      <c r="E2050" t="s">
        <v>35</v>
      </c>
      <c r="F2050" t="s">
        <v>49</v>
      </c>
      <c r="G2050" s="118">
        <v>0.49168981481481483</v>
      </c>
      <c r="H2050" s="118">
        <v>9.2592592592592585E-4</v>
      </c>
      <c r="I2050" s="118">
        <v>3.4722222222222224E-4</v>
      </c>
      <c r="J2050"/>
      <c r="K2050"/>
    </row>
    <row r="2051" spans="1:11" x14ac:dyDescent="0.25">
      <c r="A2051">
        <v>3</v>
      </c>
      <c r="B2051">
        <v>8</v>
      </c>
      <c r="C2051"/>
      <c r="D2051" t="s">
        <v>31</v>
      </c>
      <c r="E2051" t="s">
        <v>35</v>
      </c>
      <c r="F2051" t="s">
        <v>46</v>
      </c>
      <c r="G2051" s="118">
        <v>0.4919560185185185</v>
      </c>
      <c r="H2051" s="118">
        <v>1.8055555555555557E-3</v>
      </c>
      <c r="I2051" s="118">
        <v>3.4722222222222224E-4</v>
      </c>
      <c r="J2051"/>
      <c r="K2051"/>
    </row>
    <row r="2052" spans="1:11" x14ac:dyDescent="0.25">
      <c r="A2052">
        <v>2</v>
      </c>
      <c r="B2052">
        <v>8</v>
      </c>
      <c r="C2052"/>
      <c r="D2052" t="s">
        <v>31</v>
      </c>
      <c r="E2052" t="s">
        <v>32</v>
      </c>
      <c r="F2052" t="s">
        <v>49</v>
      </c>
      <c r="G2052" s="118">
        <v>0.49203703703703705</v>
      </c>
      <c r="H2052" s="118">
        <v>3.4722222222222224E-4</v>
      </c>
      <c r="I2052" s="118">
        <v>1.3541666666666667E-3</v>
      </c>
      <c r="J2052" s="118">
        <v>7.0717592592592594E-3</v>
      </c>
      <c r="K2052" s="118">
        <v>7.0717592592592594E-3</v>
      </c>
    </row>
    <row r="2053" spans="1:11" x14ac:dyDescent="0.25">
      <c r="A2053">
        <v>5</v>
      </c>
      <c r="B2053">
        <v>9</v>
      </c>
      <c r="C2053"/>
      <c r="D2053" t="s">
        <v>31</v>
      </c>
      <c r="E2053" t="s">
        <v>32</v>
      </c>
      <c r="F2053" t="s">
        <v>92</v>
      </c>
      <c r="G2053" s="118">
        <v>0.49204861111111109</v>
      </c>
      <c r="H2053" s="118">
        <v>5.2083333333333333E-4</v>
      </c>
      <c r="I2053" s="118">
        <v>1.0069444444444444E-3</v>
      </c>
      <c r="J2053" s="118">
        <v>7.0717592592592594E-3</v>
      </c>
      <c r="K2053" s="118">
        <v>7.0717592592592594E-3</v>
      </c>
    </row>
    <row r="2054" spans="1:11" x14ac:dyDescent="0.25">
      <c r="A2054">
        <v>3</v>
      </c>
      <c r="B2054">
        <v>8</v>
      </c>
      <c r="C2054"/>
      <c r="D2054" t="s">
        <v>31</v>
      </c>
      <c r="E2054" t="s">
        <v>32</v>
      </c>
      <c r="F2054" t="s">
        <v>46</v>
      </c>
      <c r="G2054" s="118">
        <v>0.49230324074074078</v>
      </c>
      <c r="H2054" s="118">
        <v>3.4722222222222224E-4</v>
      </c>
      <c r="I2054" s="118">
        <v>9.1435185185185185E-4</v>
      </c>
      <c r="J2054" s="118">
        <v>7.0717592592592594E-3</v>
      </c>
      <c r="K2054" s="118">
        <v>7.0717592592592594E-3</v>
      </c>
    </row>
    <row r="2055" spans="1:11" x14ac:dyDescent="0.25">
      <c r="A2055">
        <v>1</v>
      </c>
      <c r="B2055">
        <v>7</v>
      </c>
      <c r="C2055"/>
      <c r="D2055" t="s">
        <v>31</v>
      </c>
      <c r="E2055" t="s">
        <v>35</v>
      </c>
      <c r="F2055" t="s">
        <v>56</v>
      </c>
      <c r="G2055" s="118">
        <v>0.49234953703703704</v>
      </c>
      <c r="H2055" s="118">
        <v>1.261574074074074E-3</v>
      </c>
      <c r="I2055" s="118">
        <v>3.4722222222222224E-4</v>
      </c>
      <c r="J2055"/>
      <c r="K2055"/>
    </row>
    <row r="2056" spans="1:11" x14ac:dyDescent="0.25">
      <c r="A2056">
        <v>4</v>
      </c>
      <c r="B2056">
        <v>8</v>
      </c>
      <c r="C2056"/>
      <c r="D2056" t="s">
        <v>31</v>
      </c>
      <c r="E2056" t="s">
        <v>35</v>
      </c>
      <c r="F2056" t="s">
        <v>45</v>
      </c>
      <c r="G2056" s="118">
        <v>0.49262731481481481</v>
      </c>
      <c r="H2056" s="118">
        <v>1.2384259259259258E-3</v>
      </c>
      <c r="I2056" s="118">
        <v>3.4722222222222224E-4</v>
      </c>
      <c r="J2056"/>
      <c r="K2056"/>
    </row>
    <row r="2057" spans="1:11" x14ac:dyDescent="0.25">
      <c r="A2057">
        <v>1</v>
      </c>
      <c r="B2057">
        <v>7</v>
      </c>
      <c r="C2057"/>
      <c r="D2057" t="s">
        <v>31</v>
      </c>
      <c r="E2057" t="s">
        <v>32</v>
      </c>
      <c r="F2057" t="s">
        <v>56</v>
      </c>
      <c r="G2057" s="118">
        <v>0.49269675925925926</v>
      </c>
      <c r="H2057" s="118">
        <v>3.4722222222222224E-4</v>
      </c>
      <c r="I2057" s="118">
        <v>9.6064814814814808E-4</v>
      </c>
      <c r="J2057" s="118">
        <v>7.0717592592592594E-3</v>
      </c>
      <c r="K2057" s="118">
        <v>7.0717592592592594E-3</v>
      </c>
    </row>
    <row r="2058" spans="1:11" x14ac:dyDescent="0.25">
      <c r="A2058">
        <v>4</v>
      </c>
      <c r="B2058">
        <v>8</v>
      </c>
      <c r="C2058"/>
      <c r="D2058" t="s">
        <v>31</v>
      </c>
      <c r="E2058" t="s">
        <v>32</v>
      </c>
      <c r="F2058" t="s">
        <v>45</v>
      </c>
      <c r="G2058" s="118">
        <v>0.49297453703703703</v>
      </c>
      <c r="H2058" s="118">
        <v>3.4722222222222224E-4</v>
      </c>
      <c r="I2058" s="118">
        <v>1.0416666666666667E-3</v>
      </c>
      <c r="J2058" s="118">
        <v>7.0717592592592594E-3</v>
      </c>
      <c r="K2058" s="118">
        <v>7.0717592592592594E-3</v>
      </c>
    </row>
    <row r="2059" spans="1:11" x14ac:dyDescent="0.25">
      <c r="A2059">
        <v>5</v>
      </c>
      <c r="B2059">
        <v>9</v>
      </c>
      <c r="C2059"/>
      <c r="D2059" t="s">
        <v>31</v>
      </c>
      <c r="E2059" t="s">
        <v>35</v>
      </c>
      <c r="F2059" t="s">
        <v>41</v>
      </c>
      <c r="G2059" s="118">
        <v>0.49305555555555558</v>
      </c>
      <c r="H2059" s="118">
        <v>1.0069444444444444E-3</v>
      </c>
      <c r="I2059" s="118">
        <v>3.4722222222222224E-4</v>
      </c>
      <c r="J2059"/>
      <c r="K2059"/>
    </row>
    <row r="2060" spans="1:11" x14ac:dyDescent="0.25">
      <c r="A2060">
        <v>3</v>
      </c>
      <c r="B2060">
        <v>8</v>
      </c>
      <c r="C2060"/>
      <c r="D2060" t="s">
        <v>31</v>
      </c>
      <c r="E2060" t="s">
        <v>35</v>
      </c>
      <c r="F2060" t="s">
        <v>51</v>
      </c>
      <c r="G2060" s="118">
        <v>0.49321759259259257</v>
      </c>
      <c r="H2060" s="118">
        <v>9.1435185185185185E-4</v>
      </c>
      <c r="I2060" s="118">
        <v>3.4722222222222224E-4</v>
      </c>
      <c r="J2060"/>
      <c r="K2060"/>
    </row>
    <row r="2061" spans="1:11" x14ac:dyDescent="0.25">
      <c r="A2061">
        <v>2</v>
      </c>
      <c r="B2061">
        <v>8</v>
      </c>
      <c r="C2061"/>
      <c r="D2061" t="s">
        <v>31</v>
      </c>
      <c r="E2061" t="s">
        <v>35</v>
      </c>
      <c r="F2061" t="s">
        <v>33</v>
      </c>
      <c r="G2061" s="118">
        <v>0.49339120370370365</v>
      </c>
      <c r="H2061" s="118">
        <v>1.3541666666666667E-3</v>
      </c>
      <c r="I2061" s="118">
        <v>5.2083333333333333E-4</v>
      </c>
      <c r="J2061"/>
      <c r="K2061"/>
    </row>
    <row r="2062" spans="1:11" x14ac:dyDescent="0.25">
      <c r="A2062">
        <v>5</v>
      </c>
      <c r="B2062">
        <v>9</v>
      </c>
      <c r="C2062"/>
      <c r="D2062" t="s">
        <v>31</v>
      </c>
      <c r="E2062" t="s">
        <v>32</v>
      </c>
      <c r="F2062" t="s">
        <v>41</v>
      </c>
      <c r="G2062" s="118">
        <v>0.4934027777777778</v>
      </c>
      <c r="H2062" s="118">
        <v>3.4722222222222224E-4</v>
      </c>
      <c r="I2062" s="118">
        <v>8.564814814814815E-4</v>
      </c>
      <c r="J2062" s="118">
        <v>7.0717592592592594E-3</v>
      </c>
      <c r="K2062" s="118">
        <v>7.0717592592592594E-3</v>
      </c>
    </row>
    <row r="2063" spans="1:11" x14ac:dyDescent="0.25">
      <c r="A2063">
        <v>3</v>
      </c>
      <c r="B2063">
        <v>8</v>
      </c>
      <c r="C2063"/>
      <c r="D2063" t="s">
        <v>31</v>
      </c>
      <c r="E2063" t="s">
        <v>32</v>
      </c>
      <c r="F2063" t="s">
        <v>51</v>
      </c>
      <c r="G2063" s="118">
        <v>0.49356481481481485</v>
      </c>
      <c r="H2063" s="118">
        <v>3.4722222222222224E-4</v>
      </c>
      <c r="I2063" s="118">
        <v>1.0069444444444444E-3</v>
      </c>
      <c r="J2063" s="118">
        <v>7.0717592592592594E-3</v>
      </c>
      <c r="K2063" s="118">
        <v>7.0717592592592594E-3</v>
      </c>
    </row>
    <row r="2064" spans="1:11" x14ac:dyDescent="0.25">
      <c r="A2064">
        <v>1</v>
      </c>
      <c r="B2064">
        <v>7</v>
      </c>
      <c r="C2064"/>
      <c r="D2064" t="s">
        <v>31</v>
      </c>
      <c r="E2064" t="s">
        <v>35</v>
      </c>
      <c r="F2064" t="s">
        <v>37</v>
      </c>
      <c r="G2064" s="118">
        <v>0.49365740740740738</v>
      </c>
      <c r="H2064" s="118">
        <v>9.6064814814814808E-4</v>
      </c>
      <c r="I2064" s="118">
        <v>3.4722222222222224E-4</v>
      </c>
      <c r="J2064"/>
      <c r="K2064"/>
    </row>
    <row r="2065" spans="1:11" x14ac:dyDescent="0.25">
      <c r="A2065">
        <v>2</v>
      </c>
      <c r="B2065">
        <v>8</v>
      </c>
      <c r="C2065"/>
      <c r="D2065" t="s">
        <v>31</v>
      </c>
      <c r="E2065" t="s">
        <v>32</v>
      </c>
      <c r="F2065" t="s">
        <v>33</v>
      </c>
      <c r="G2065" s="118">
        <v>0.49391203703703707</v>
      </c>
      <c r="H2065" s="118">
        <v>5.2083333333333333E-4</v>
      </c>
      <c r="I2065" s="118">
        <v>9.6064814814814808E-4</v>
      </c>
      <c r="J2065" s="118">
        <v>7.0717592592592594E-3</v>
      </c>
      <c r="K2065" s="118">
        <v>7.0717592592592594E-3</v>
      </c>
    </row>
    <row r="2066" spans="1:11" x14ac:dyDescent="0.25">
      <c r="A2066">
        <v>1</v>
      </c>
      <c r="B2066">
        <v>7</v>
      </c>
      <c r="C2066"/>
      <c r="D2066" t="s">
        <v>31</v>
      </c>
      <c r="E2066" t="s">
        <v>32</v>
      </c>
      <c r="F2066" t="s">
        <v>37</v>
      </c>
      <c r="G2066" s="118">
        <v>0.49400462962962965</v>
      </c>
      <c r="H2066" s="118">
        <v>3.4722222222222224E-4</v>
      </c>
      <c r="I2066" s="118">
        <v>9.0277777777777784E-4</v>
      </c>
      <c r="J2066" s="118">
        <v>7.0717592592592594E-3</v>
      </c>
      <c r="K2066" s="118">
        <v>7.0717592592592594E-3</v>
      </c>
    </row>
    <row r="2067" spans="1:11" x14ac:dyDescent="0.25">
      <c r="A2067">
        <v>4</v>
      </c>
      <c r="B2067">
        <v>8</v>
      </c>
      <c r="C2067"/>
      <c r="D2067" t="s">
        <v>31</v>
      </c>
      <c r="E2067" t="s">
        <v>35</v>
      </c>
      <c r="F2067" t="s">
        <v>52</v>
      </c>
      <c r="G2067" s="118">
        <v>0.49401620370370369</v>
      </c>
      <c r="H2067" s="118">
        <v>1.0416666666666667E-3</v>
      </c>
      <c r="I2067" s="118">
        <v>3.4722222222222224E-4</v>
      </c>
      <c r="J2067"/>
      <c r="K2067"/>
    </row>
    <row r="2068" spans="1:11" x14ac:dyDescent="0.25">
      <c r="A2068">
        <v>5</v>
      </c>
      <c r="B2068">
        <v>9</v>
      </c>
      <c r="C2068"/>
      <c r="D2068" t="s">
        <v>31</v>
      </c>
      <c r="E2068" t="s">
        <v>35</v>
      </c>
      <c r="F2068" t="s">
        <v>47</v>
      </c>
      <c r="G2068" s="118">
        <v>0.49425925925925923</v>
      </c>
      <c r="H2068" s="118">
        <v>8.564814814814815E-4</v>
      </c>
      <c r="I2068" s="118">
        <v>5.2083333333333333E-4</v>
      </c>
      <c r="J2068"/>
      <c r="K2068"/>
    </row>
    <row r="2069" spans="1:11" x14ac:dyDescent="0.25">
      <c r="A2069">
        <v>4</v>
      </c>
      <c r="B2069">
        <v>8</v>
      </c>
      <c r="C2069"/>
      <c r="D2069" t="s">
        <v>31</v>
      </c>
      <c r="E2069" t="s">
        <v>32</v>
      </c>
      <c r="F2069" t="s">
        <v>52</v>
      </c>
      <c r="G2069" s="118">
        <v>0.49436342592592591</v>
      </c>
      <c r="H2069" s="118">
        <v>3.4722222222222224E-4</v>
      </c>
      <c r="I2069" s="118">
        <v>1.0532407407407407E-3</v>
      </c>
      <c r="J2069" s="118">
        <v>7.0717592592592594E-3</v>
      </c>
      <c r="K2069" s="118">
        <v>7.0717592592592594E-3</v>
      </c>
    </row>
    <row r="2070" spans="1:11" x14ac:dyDescent="0.25">
      <c r="A2070">
        <v>3</v>
      </c>
      <c r="B2070">
        <v>8</v>
      </c>
      <c r="C2070"/>
      <c r="D2070" t="s">
        <v>31</v>
      </c>
      <c r="E2070" t="s">
        <v>35</v>
      </c>
      <c r="F2070" t="s">
        <v>55</v>
      </c>
      <c r="G2070" s="118">
        <v>0.49457175925925928</v>
      </c>
      <c r="H2070" s="118">
        <v>1.0069444444444444E-3</v>
      </c>
      <c r="I2070" s="118">
        <v>4.6296296296296293E-4</v>
      </c>
      <c r="J2070"/>
      <c r="K2070"/>
    </row>
    <row r="2071" spans="1:11" x14ac:dyDescent="0.25">
      <c r="A2071">
        <v>5</v>
      </c>
      <c r="B2071">
        <v>9</v>
      </c>
      <c r="C2071"/>
      <c r="D2071" t="s">
        <v>31</v>
      </c>
      <c r="E2071" t="s">
        <v>32</v>
      </c>
      <c r="F2071" t="s">
        <v>47</v>
      </c>
      <c r="G2071" s="118">
        <v>0.49478009259259265</v>
      </c>
      <c r="H2071" s="118">
        <v>5.2083333333333333E-4</v>
      </c>
      <c r="I2071" s="118">
        <v>8.7962962962962962E-4</v>
      </c>
      <c r="J2071" s="118">
        <v>7.0717592592592594E-3</v>
      </c>
      <c r="K2071" s="118">
        <v>7.0717592592592594E-3</v>
      </c>
    </row>
    <row r="2072" spans="1:11" x14ac:dyDescent="0.25">
      <c r="A2072">
        <v>2</v>
      </c>
      <c r="B2072">
        <v>8</v>
      </c>
      <c r="C2072"/>
      <c r="D2072" t="s">
        <v>31</v>
      </c>
      <c r="E2072" t="s">
        <v>35</v>
      </c>
      <c r="F2072" t="s">
        <v>36</v>
      </c>
      <c r="G2072" s="118">
        <v>0.49487268518518518</v>
      </c>
      <c r="H2072" s="118">
        <v>9.6064814814814808E-4</v>
      </c>
      <c r="I2072" s="118">
        <v>3.4722222222222224E-4</v>
      </c>
      <c r="J2072"/>
      <c r="K2072"/>
    </row>
    <row r="2073" spans="1:11" x14ac:dyDescent="0.25">
      <c r="A2073">
        <v>1</v>
      </c>
      <c r="B2073">
        <v>7</v>
      </c>
      <c r="C2073"/>
      <c r="D2073" t="s">
        <v>31</v>
      </c>
      <c r="E2073" t="s">
        <v>35</v>
      </c>
      <c r="F2073" t="s">
        <v>42</v>
      </c>
      <c r="G2073" s="118">
        <v>0.49490740740740741</v>
      </c>
      <c r="H2073" s="118">
        <v>9.0277777777777784E-4</v>
      </c>
      <c r="I2073" s="118">
        <v>3.4722222222222224E-4</v>
      </c>
      <c r="J2073"/>
      <c r="K2073"/>
    </row>
    <row r="2074" spans="1:11" x14ac:dyDescent="0.25">
      <c r="A2074">
        <v>3</v>
      </c>
      <c r="B2074">
        <v>8</v>
      </c>
      <c r="C2074"/>
      <c r="D2074" t="s">
        <v>31</v>
      </c>
      <c r="E2074" t="s">
        <v>32</v>
      </c>
      <c r="F2074" t="s">
        <v>55</v>
      </c>
      <c r="G2074" s="118">
        <v>0.49503472222222222</v>
      </c>
      <c r="H2074" s="118">
        <v>4.6296296296296293E-4</v>
      </c>
      <c r="I2074" s="118">
        <v>4.3981481481481481E-4</v>
      </c>
      <c r="J2074" s="118">
        <v>7.0717592592592594E-3</v>
      </c>
      <c r="K2074" s="118">
        <v>7.0717592592592594E-3</v>
      </c>
    </row>
    <row r="2075" spans="1:11" x14ac:dyDescent="0.25">
      <c r="A2075">
        <v>2</v>
      </c>
      <c r="B2075">
        <v>8</v>
      </c>
      <c r="C2075"/>
      <c r="D2075" t="s">
        <v>31</v>
      </c>
      <c r="E2075" t="s">
        <v>32</v>
      </c>
      <c r="F2075" t="s">
        <v>36</v>
      </c>
      <c r="G2075" s="118">
        <v>0.49521990740740746</v>
      </c>
      <c r="H2075" s="118">
        <v>3.4722222222222224E-4</v>
      </c>
      <c r="I2075" s="118">
        <v>1.0995370370370371E-3</v>
      </c>
      <c r="J2075" s="118">
        <v>7.0717592592592594E-3</v>
      </c>
      <c r="K2075" s="118">
        <v>7.0717592592592594E-3</v>
      </c>
    </row>
    <row r="2076" spans="1:11" x14ac:dyDescent="0.25">
      <c r="A2076">
        <v>1</v>
      </c>
      <c r="B2076">
        <v>7</v>
      </c>
      <c r="C2076"/>
      <c r="D2076" t="s">
        <v>31</v>
      </c>
      <c r="E2076" t="s">
        <v>32</v>
      </c>
      <c r="F2076" t="s">
        <v>42</v>
      </c>
      <c r="G2076" s="118">
        <v>0.49525462962962963</v>
      </c>
      <c r="H2076" s="118">
        <v>3.4722222222222224E-4</v>
      </c>
      <c r="I2076" s="118">
        <v>9.1435185185185185E-4</v>
      </c>
      <c r="J2076" s="118">
        <v>7.0717592592592594E-3</v>
      </c>
      <c r="K2076" s="118">
        <v>7.0717592592592594E-3</v>
      </c>
    </row>
    <row r="2077" spans="1:11" x14ac:dyDescent="0.25">
      <c r="A2077">
        <v>4</v>
      </c>
      <c r="B2077">
        <v>8</v>
      </c>
      <c r="C2077"/>
      <c r="D2077" t="s">
        <v>31</v>
      </c>
      <c r="E2077" t="s">
        <v>35</v>
      </c>
      <c r="F2077" t="s">
        <v>57</v>
      </c>
      <c r="G2077" s="118">
        <v>0.49541666666666667</v>
      </c>
      <c r="H2077" s="118">
        <v>1.0532407407407407E-3</v>
      </c>
      <c r="I2077" s="118">
        <v>3.4722222222222224E-4</v>
      </c>
      <c r="J2077"/>
      <c r="K2077"/>
    </row>
    <row r="2078" spans="1:11" x14ac:dyDescent="0.25">
      <c r="A2078">
        <v>3</v>
      </c>
      <c r="B2078">
        <v>8</v>
      </c>
      <c r="C2078"/>
      <c r="D2078" t="s">
        <v>31</v>
      </c>
      <c r="E2078" t="s">
        <v>35</v>
      </c>
      <c r="F2078" t="s">
        <v>58</v>
      </c>
      <c r="G2078" s="118">
        <v>0.49547453703703703</v>
      </c>
      <c r="H2078" s="118">
        <v>4.3981481481481481E-4</v>
      </c>
      <c r="I2078" s="118">
        <v>5.7870370370370366E-5</v>
      </c>
      <c r="J2078"/>
      <c r="K2078"/>
    </row>
    <row r="2079" spans="1:11" x14ac:dyDescent="0.25">
      <c r="A2079">
        <v>3</v>
      </c>
      <c r="B2079">
        <v>8</v>
      </c>
      <c r="C2079"/>
      <c r="D2079" t="s">
        <v>31</v>
      </c>
      <c r="E2079" t="s">
        <v>32</v>
      </c>
      <c r="F2079" t="s">
        <v>58</v>
      </c>
      <c r="G2079" s="118">
        <v>0.49553240740740739</v>
      </c>
      <c r="H2079" s="118">
        <v>5.7870370370370366E-5</v>
      </c>
      <c r="I2079" s="118">
        <v>4.8611111111111104E-4</v>
      </c>
      <c r="J2079" s="118">
        <v>7.0717592592592594E-3</v>
      </c>
      <c r="K2079" s="118">
        <v>7.0717592592592594E-3</v>
      </c>
    </row>
    <row r="2080" spans="1:11" x14ac:dyDescent="0.25">
      <c r="A2080">
        <v>5</v>
      </c>
      <c r="B2080">
        <v>9</v>
      </c>
      <c r="C2080"/>
      <c r="D2080" t="s">
        <v>31</v>
      </c>
      <c r="E2080" t="s">
        <v>35</v>
      </c>
      <c r="F2080" t="s">
        <v>53</v>
      </c>
      <c r="G2080" s="118">
        <v>0.49565972222222227</v>
      </c>
      <c r="H2080" s="118">
        <v>8.7962962962962962E-4</v>
      </c>
      <c r="I2080" s="118">
        <v>3.4722222222222224E-4</v>
      </c>
      <c r="J2080"/>
      <c r="K2080"/>
    </row>
    <row r="2081" spans="1:11" x14ac:dyDescent="0.25">
      <c r="A2081">
        <v>4</v>
      </c>
      <c r="B2081">
        <v>8</v>
      </c>
      <c r="C2081"/>
      <c r="D2081" t="s">
        <v>31</v>
      </c>
      <c r="E2081" t="s">
        <v>32</v>
      </c>
      <c r="F2081" t="s">
        <v>57</v>
      </c>
      <c r="G2081" s="118">
        <v>0.49576388888888889</v>
      </c>
      <c r="H2081" s="118">
        <v>3.4722222222222224E-4</v>
      </c>
      <c r="I2081" s="118">
        <v>9.3750000000000007E-4</v>
      </c>
      <c r="J2081" s="118">
        <v>7.0717592592592594E-3</v>
      </c>
      <c r="K2081" s="118">
        <v>7.0717592592592594E-3</v>
      </c>
    </row>
    <row r="2082" spans="1:11" x14ac:dyDescent="0.25">
      <c r="A2082">
        <v>5</v>
      </c>
      <c r="B2082">
        <v>9</v>
      </c>
      <c r="C2082"/>
      <c r="D2082" t="s">
        <v>31</v>
      </c>
      <c r="E2082" t="s">
        <v>32</v>
      </c>
      <c r="F2082" t="s">
        <v>53</v>
      </c>
      <c r="G2082" s="118">
        <v>0.49600694444444443</v>
      </c>
      <c r="H2082" s="118">
        <v>3.4722222222222224E-4</v>
      </c>
      <c r="I2082" s="118">
        <v>8.449074074074075E-4</v>
      </c>
      <c r="J2082" s="118">
        <v>7.0717592592592594E-3</v>
      </c>
      <c r="K2082" s="118">
        <v>7.0717592592592594E-3</v>
      </c>
    </row>
    <row r="2083" spans="1:11" x14ac:dyDescent="0.25">
      <c r="A2083">
        <v>3</v>
      </c>
      <c r="B2083">
        <v>8</v>
      </c>
      <c r="C2083"/>
      <c r="D2083" t="s">
        <v>31</v>
      </c>
      <c r="E2083" t="s">
        <v>35</v>
      </c>
      <c r="F2083" t="s">
        <v>40</v>
      </c>
      <c r="G2083" s="118">
        <v>0.49601851851851847</v>
      </c>
      <c r="H2083" s="118">
        <v>4.8611111111111104E-4</v>
      </c>
      <c r="I2083" s="118">
        <v>4.6296296296296293E-4</v>
      </c>
      <c r="J2083"/>
      <c r="K2083"/>
    </row>
    <row r="2084" spans="1:11" x14ac:dyDescent="0.25">
      <c r="A2084">
        <v>1</v>
      </c>
      <c r="B2084">
        <v>7</v>
      </c>
      <c r="C2084"/>
      <c r="D2084" t="s">
        <v>31</v>
      </c>
      <c r="E2084" t="s">
        <v>35</v>
      </c>
      <c r="F2084" t="s">
        <v>48</v>
      </c>
      <c r="G2084" s="118">
        <v>0.49616898148148153</v>
      </c>
      <c r="H2084" s="118">
        <v>9.1435185185185185E-4</v>
      </c>
      <c r="I2084" s="118">
        <v>5.2083333333333333E-4</v>
      </c>
      <c r="J2084"/>
      <c r="K2084"/>
    </row>
    <row r="2085" spans="1:11" x14ac:dyDescent="0.25">
      <c r="A2085">
        <v>2</v>
      </c>
      <c r="B2085">
        <v>8</v>
      </c>
      <c r="C2085"/>
      <c r="D2085" t="s">
        <v>31</v>
      </c>
      <c r="E2085" t="s">
        <v>35</v>
      </c>
      <c r="F2085" t="s">
        <v>43</v>
      </c>
      <c r="G2085" s="118">
        <v>0.49631944444444448</v>
      </c>
      <c r="H2085" s="118">
        <v>1.0995370370370371E-3</v>
      </c>
      <c r="I2085" s="118">
        <v>3.4722222222222224E-4</v>
      </c>
      <c r="J2085"/>
      <c r="K2085"/>
    </row>
    <row r="2086" spans="1:11" x14ac:dyDescent="0.25">
      <c r="A2086">
        <v>3</v>
      </c>
      <c r="B2086">
        <v>8</v>
      </c>
      <c r="C2086"/>
      <c r="D2086" t="s">
        <v>31</v>
      </c>
      <c r="E2086" t="s">
        <v>32</v>
      </c>
      <c r="F2086" t="s">
        <v>40</v>
      </c>
      <c r="G2086" s="118">
        <v>0.49648148148148147</v>
      </c>
      <c r="H2086" s="118">
        <v>4.6296296296296293E-4</v>
      </c>
      <c r="I2086" s="118">
        <v>1.0069444444444444E-3</v>
      </c>
      <c r="J2086" s="118">
        <v>7.0717592592592594E-3</v>
      </c>
      <c r="K2086" s="118">
        <v>7.0717592592592594E-3</v>
      </c>
    </row>
    <row r="2087" spans="1:11" x14ac:dyDescent="0.25">
      <c r="A2087">
        <v>2</v>
      </c>
      <c r="B2087">
        <v>8</v>
      </c>
      <c r="C2087"/>
      <c r="D2087" t="s">
        <v>31</v>
      </c>
      <c r="E2087" t="s">
        <v>32</v>
      </c>
      <c r="F2087" t="s">
        <v>43</v>
      </c>
      <c r="G2087" s="118">
        <v>0.49666666666666665</v>
      </c>
      <c r="H2087" s="118">
        <v>3.4722222222222224E-4</v>
      </c>
      <c r="I2087" s="118">
        <v>1.1458333333333333E-3</v>
      </c>
      <c r="J2087" s="118">
        <v>7.0717592592592594E-3</v>
      </c>
      <c r="K2087" s="118">
        <v>7.0717592592592594E-3</v>
      </c>
    </row>
    <row r="2088" spans="1:11" x14ac:dyDescent="0.25">
      <c r="A2088">
        <v>1</v>
      </c>
      <c r="B2088">
        <v>7</v>
      </c>
      <c r="C2088"/>
      <c r="D2088" t="s">
        <v>31</v>
      </c>
      <c r="E2088" t="s">
        <v>32</v>
      </c>
      <c r="F2088" t="s">
        <v>48</v>
      </c>
      <c r="G2088" s="118">
        <v>0.49668981481481483</v>
      </c>
      <c r="H2088" s="118">
        <v>5.2083333333333333E-4</v>
      </c>
      <c r="I2088" s="118">
        <v>8.6805555555555551E-4</v>
      </c>
      <c r="J2088" s="118">
        <v>7.0717592592592594E-3</v>
      </c>
      <c r="K2088" s="118">
        <v>7.0717592592592594E-3</v>
      </c>
    </row>
    <row r="2089" spans="1:11" x14ac:dyDescent="0.25">
      <c r="A2089">
        <v>4</v>
      </c>
      <c r="B2089">
        <v>8</v>
      </c>
      <c r="C2089"/>
      <c r="D2089" t="s">
        <v>31</v>
      </c>
      <c r="E2089" t="s">
        <v>35</v>
      </c>
      <c r="F2089" t="s">
        <v>39</v>
      </c>
      <c r="G2089" s="118">
        <v>0.49670138888888887</v>
      </c>
      <c r="H2089" s="118">
        <v>9.3750000000000007E-4</v>
      </c>
      <c r="I2089" s="118">
        <v>5.2083333333333333E-4</v>
      </c>
      <c r="J2089"/>
      <c r="K2089"/>
    </row>
    <row r="2090" spans="1:11" x14ac:dyDescent="0.25">
      <c r="A2090">
        <v>5</v>
      </c>
      <c r="B2090">
        <v>9</v>
      </c>
      <c r="C2090"/>
      <c r="D2090" t="s">
        <v>31</v>
      </c>
      <c r="E2090" t="s">
        <v>35</v>
      </c>
      <c r="F2090" t="s">
        <v>34</v>
      </c>
      <c r="G2090" s="118">
        <v>0.49685185185185188</v>
      </c>
      <c r="H2090" s="118">
        <v>8.449074074074075E-4</v>
      </c>
      <c r="I2090" s="118">
        <v>3.4722222222222224E-4</v>
      </c>
      <c r="J2090"/>
      <c r="K2090"/>
    </row>
    <row r="2091" spans="1:11" x14ac:dyDescent="0.25">
      <c r="A2091">
        <v>5</v>
      </c>
      <c r="B2091">
        <v>9</v>
      </c>
      <c r="C2091"/>
      <c r="D2091" t="s">
        <v>31</v>
      </c>
      <c r="E2091" t="s">
        <v>32</v>
      </c>
      <c r="F2091" t="s">
        <v>34</v>
      </c>
      <c r="G2091" s="118">
        <v>0.4971990740740741</v>
      </c>
      <c r="H2091" s="118">
        <v>3.4722222222222224E-4</v>
      </c>
      <c r="I2091" s="118">
        <v>9.1435185185185185E-4</v>
      </c>
      <c r="J2091" s="118">
        <v>7.0717592592592594E-3</v>
      </c>
      <c r="K2091" s="118">
        <v>7.0717592592592594E-3</v>
      </c>
    </row>
    <row r="2092" spans="1:11" x14ac:dyDescent="0.25">
      <c r="A2092">
        <v>4</v>
      </c>
      <c r="B2092">
        <v>8</v>
      </c>
      <c r="C2092"/>
      <c r="D2092" t="s">
        <v>31</v>
      </c>
      <c r="E2092" t="s">
        <v>32</v>
      </c>
      <c r="F2092" t="s">
        <v>39</v>
      </c>
      <c r="G2092" s="118">
        <v>0.49722222222222223</v>
      </c>
      <c r="H2092" s="118">
        <v>5.2083333333333333E-4</v>
      </c>
      <c r="I2092" s="118">
        <v>1.8055555555555557E-3</v>
      </c>
      <c r="J2092" s="118">
        <v>7.0717592592592594E-3</v>
      </c>
      <c r="K2092" s="118">
        <v>7.0717592592592594E-3</v>
      </c>
    </row>
    <row r="2093" spans="1:11" x14ac:dyDescent="0.25">
      <c r="A2093">
        <v>3</v>
      </c>
      <c r="B2093">
        <v>8</v>
      </c>
      <c r="C2093"/>
      <c r="D2093" t="s">
        <v>31</v>
      </c>
      <c r="E2093" t="s">
        <v>35</v>
      </c>
      <c r="F2093" t="s">
        <v>44</v>
      </c>
      <c r="G2093" s="118">
        <v>0.49748842592592596</v>
      </c>
      <c r="H2093" s="118">
        <v>1.0069444444444444E-3</v>
      </c>
      <c r="I2093" s="118">
        <v>3.4722222222222224E-4</v>
      </c>
      <c r="J2093"/>
      <c r="K2093"/>
    </row>
    <row r="2094" spans="1:11" x14ac:dyDescent="0.25">
      <c r="A2094">
        <v>1</v>
      </c>
      <c r="B2094">
        <v>7</v>
      </c>
      <c r="C2094"/>
      <c r="D2094" t="s">
        <v>31</v>
      </c>
      <c r="E2094" t="s">
        <v>35</v>
      </c>
      <c r="F2094" t="s">
        <v>54</v>
      </c>
      <c r="G2094" s="118">
        <v>0.49755787037037041</v>
      </c>
      <c r="H2094" s="118">
        <v>8.6805555555555551E-4</v>
      </c>
      <c r="I2094" s="118">
        <v>3.4722222222222224E-4</v>
      </c>
      <c r="J2094"/>
      <c r="K2094"/>
    </row>
    <row r="2095" spans="1:11" x14ac:dyDescent="0.25">
      <c r="A2095">
        <v>2</v>
      </c>
      <c r="B2095">
        <v>8</v>
      </c>
      <c r="C2095"/>
      <c r="D2095" t="s">
        <v>31</v>
      </c>
      <c r="E2095" t="s">
        <v>35</v>
      </c>
      <c r="F2095" t="s">
        <v>50</v>
      </c>
      <c r="G2095" s="118">
        <v>0.49781249999999999</v>
      </c>
      <c r="H2095" s="118">
        <v>1.1458333333333333E-3</v>
      </c>
      <c r="I2095" s="118">
        <v>3.4722222222222224E-4</v>
      </c>
      <c r="J2095"/>
      <c r="K2095"/>
    </row>
    <row r="2096" spans="1:11" x14ac:dyDescent="0.25">
      <c r="A2096">
        <v>3</v>
      </c>
      <c r="B2096">
        <v>8</v>
      </c>
      <c r="C2096"/>
      <c r="D2096" t="s">
        <v>31</v>
      </c>
      <c r="E2096" t="s">
        <v>32</v>
      </c>
      <c r="F2096" t="s">
        <v>44</v>
      </c>
      <c r="G2096" s="118">
        <v>0.49783564814814812</v>
      </c>
      <c r="H2096" s="118">
        <v>3.4722222222222224E-4</v>
      </c>
      <c r="I2096" s="118">
        <v>9.2592592592592585E-4</v>
      </c>
      <c r="J2096" s="118">
        <v>7.0717592592592594E-3</v>
      </c>
      <c r="K2096" s="118">
        <v>7.0717592592592594E-3</v>
      </c>
    </row>
    <row r="2097" spans="1:11" x14ac:dyDescent="0.25">
      <c r="A2097">
        <v>1</v>
      </c>
      <c r="B2097">
        <v>7</v>
      </c>
      <c r="C2097"/>
      <c r="D2097" t="s">
        <v>31</v>
      </c>
      <c r="E2097" t="s">
        <v>32</v>
      </c>
      <c r="F2097" t="s">
        <v>54</v>
      </c>
      <c r="G2097" s="118">
        <v>0.49790509259259258</v>
      </c>
      <c r="H2097" s="118">
        <v>3.4722222222222224E-4</v>
      </c>
      <c r="I2097" s="118">
        <v>6.9444444444444447E-4</v>
      </c>
      <c r="J2097" s="118">
        <v>7.0717592592592594E-3</v>
      </c>
      <c r="K2097" s="118">
        <v>7.0717592592592594E-3</v>
      </c>
    </row>
    <row r="2098" spans="1:11" x14ac:dyDescent="0.25">
      <c r="A2098">
        <v>5</v>
      </c>
      <c r="B2098">
        <v>9</v>
      </c>
      <c r="C2098"/>
      <c r="D2098" t="s">
        <v>31</v>
      </c>
      <c r="E2098" t="s">
        <v>35</v>
      </c>
      <c r="F2098" t="s">
        <v>38</v>
      </c>
      <c r="G2098" s="118">
        <v>0.49811342592592589</v>
      </c>
      <c r="H2098" s="118">
        <v>9.1435185185185185E-4</v>
      </c>
      <c r="I2098" s="118">
        <v>3.4722222222222224E-4</v>
      </c>
      <c r="J2098"/>
      <c r="K2098"/>
    </row>
    <row r="2099" spans="1:11" x14ac:dyDescent="0.25">
      <c r="A2099">
        <v>2</v>
      </c>
      <c r="B2099">
        <v>8</v>
      </c>
      <c r="C2099"/>
      <c r="D2099" t="s">
        <v>31</v>
      </c>
      <c r="E2099" t="s">
        <v>32</v>
      </c>
      <c r="F2099" t="s">
        <v>50</v>
      </c>
      <c r="G2099" s="118">
        <v>0.49815972222222221</v>
      </c>
      <c r="H2099" s="118">
        <v>3.4722222222222224E-4</v>
      </c>
      <c r="I2099" s="118">
        <v>1.261574074074074E-3</v>
      </c>
      <c r="J2099" s="118">
        <v>7.0717592592592594E-3</v>
      </c>
      <c r="K2099" s="118">
        <v>7.0717592592592594E-3</v>
      </c>
    </row>
    <row r="2100" spans="1:11" x14ac:dyDescent="0.25">
      <c r="A2100">
        <v>5</v>
      </c>
      <c r="B2100">
        <v>9</v>
      </c>
      <c r="C2100"/>
      <c r="D2100" t="s">
        <v>31</v>
      </c>
      <c r="E2100" t="s">
        <v>32</v>
      </c>
      <c r="F2100" t="s">
        <v>38</v>
      </c>
      <c r="G2100" s="118">
        <v>0.49846064814814817</v>
      </c>
      <c r="H2100" s="118">
        <v>3.4722222222222224E-4</v>
      </c>
      <c r="I2100" s="118">
        <v>1.2384259259259258E-3</v>
      </c>
      <c r="J2100" s="118">
        <v>7.0717592592592594E-3</v>
      </c>
      <c r="K2100" s="118">
        <v>7.0717592592592594E-3</v>
      </c>
    </row>
    <row r="2101" spans="1:11" x14ac:dyDescent="0.25">
      <c r="A2101">
        <v>1</v>
      </c>
      <c r="B2101">
        <v>7</v>
      </c>
      <c r="C2101"/>
      <c r="D2101" t="s">
        <v>31</v>
      </c>
      <c r="E2101" t="s">
        <v>35</v>
      </c>
      <c r="F2101" t="s">
        <v>92</v>
      </c>
      <c r="G2101" s="118">
        <v>0.49859953703703702</v>
      </c>
      <c r="H2101" s="118">
        <v>6.9444444444444447E-4</v>
      </c>
      <c r="I2101" s="118">
        <v>5.2083333333333333E-4</v>
      </c>
      <c r="J2101"/>
      <c r="K2101"/>
    </row>
    <row r="2102" spans="1:11" x14ac:dyDescent="0.25">
      <c r="A2102">
        <v>3</v>
      </c>
      <c r="B2102">
        <v>8</v>
      </c>
      <c r="C2102"/>
      <c r="D2102" t="s">
        <v>31</v>
      </c>
      <c r="E2102" t="s">
        <v>35</v>
      </c>
      <c r="F2102" t="s">
        <v>49</v>
      </c>
      <c r="G2102" s="118">
        <v>0.49876157407407407</v>
      </c>
      <c r="H2102" s="118">
        <v>9.2592592592592585E-4</v>
      </c>
      <c r="I2102" s="118">
        <v>3.4722222222222224E-4</v>
      </c>
      <c r="J2102"/>
      <c r="K2102"/>
    </row>
    <row r="2103" spans="1:11" x14ac:dyDescent="0.25">
      <c r="A2103">
        <v>4</v>
      </c>
      <c r="B2103">
        <v>8</v>
      </c>
      <c r="C2103"/>
      <c r="D2103" t="s">
        <v>31</v>
      </c>
      <c r="E2103" t="s">
        <v>35</v>
      </c>
      <c r="F2103" t="s">
        <v>46</v>
      </c>
      <c r="G2103" s="118">
        <v>0.49902777777777779</v>
      </c>
      <c r="H2103" s="118">
        <v>1.8055555555555557E-3</v>
      </c>
      <c r="I2103" s="118">
        <v>3.4722222222222224E-4</v>
      </c>
      <c r="J2103"/>
      <c r="K2103"/>
    </row>
    <row r="2104" spans="1:11" x14ac:dyDescent="0.25">
      <c r="A2104">
        <v>3</v>
      </c>
      <c r="B2104">
        <v>8</v>
      </c>
      <c r="C2104"/>
      <c r="D2104" t="s">
        <v>31</v>
      </c>
      <c r="E2104" t="s">
        <v>32</v>
      </c>
      <c r="F2104" t="s">
        <v>49</v>
      </c>
      <c r="G2104" s="118">
        <v>0.49910879629629629</v>
      </c>
      <c r="H2104" s="118">
        <v>3.4722222222222224E-4</v>
      </c>
      <c r="I2104" s="118">
        <v>1.3541666666666667E-3</v>
      </c>
      <c r="J2104" s="118">
        <v>7.0717592592592594E-3</v>
      </c>
      <c r="K2104" s="118">
        <v>7.0717592592592594E-3</v>
      </c>
    </row>
    <row r="2105" spans="1:11" x14ac:dyDescent="0.25">
      <c r="A2105">
        <v>1</v>
      </c>
      <c r="B2105">
        <v>8</v>
      </c>
      <c r="C2105"/>
      <c r="D2105" t="s">
        <v>31</v>
      </c>
      <c r="E2105" t="s">
        <v>32</v>
      </c>
      <c r="F2105" t="s">
        <v>92</v>
      </c>
      <c r="G2105" s="118">
        <v>0.49912037037037038</v>
      </c>
      <c r="H2105" s="118">
        <v>5.2083333333333333E-4</v>
      </c>
      <c r="I2105" s="118">
        <v>1.0069444444444444E-3</v>
      </c>
      <c r="J2105" s="118">
        <v>7.0717592592592594E-3</v>
      </c>
      <c r="K2105" s="118">
        <v>7.0717592592592594E-3</v>
      </c>
    </row>
    <row r="2106" spans="1:11" x14ac:dyDescent="0.25">
      <c r="A2106">
        <v>4</v>
      </c>
      <c r="B2106">
        <v>8</v>
      </c>
      <c r="C2106"/>
      <c r="D2106" t="s">
        <v>31</v>
      </c>
      <c r="E2106" t="s">
        <v>32</v>
      </c>
      <c r="F2106" t="s">
        <v>46</v>
      </c>
      <c r="G2106" s="118">
        <v>0.49937499999999996</v>
      </c>
      <c r="H2106" s="118">
        <v>3.4722222222222224E-4</v>
      </c>
      <c r="I2106" s="118">
        <v>9.1435185185185185E-4</v>
      </c>
      <c r="J2106" s="118">
        <v>7.0717592592592594E-3</v>
      </c>
      <c r="K2106" s="118">
        <v>7.0717592592592594E-3</v>
      </c>
    </row>
    <row r="2107" spans="1:11" x14ac:dyDescent="0.25">
      <c r="A2107">
        <v>2</v>
      </c>
      <c r="B2107">
        <v>8</v>
      </c>
      <c r="C2107"/>
      <c r="D2107" t="s">
        <v>31</v>
      </c>
      <c r="E2107" t="s">
        <v>35</v>
      </c>
      <c r="F2107" t="s">
        <v>56</v>
      </c>
      <c r="G2107" s="118">
        <v>0.49942129629629628</v>
      </c>
      <c r="H2107" s="118">
        <v>1.261574074074074E-3</v>
      </c>
      <c r="I2107" s="118">
        <v>3.4722222222222224E-4</v>
      </c>
      <c r="J2107"/>
      <c r="K2107"/>
    </row>
    <row r="2108" spans="1:11" x14ac:dyDescent="0.25">
      <c r="A2108">
        <v>5</v>
      </c>
      <c r="B2108">
        <v>9</v>
      </c>
      <c r="C2108"/>
      <c r="D2108" t="s">
        <v>31</v>
      </c>
      <c r="E2108" t="s">
        <v>35</v>
      </c>
      <c r="F2108" t="s">
        <v>45</v>
      </c>
      <c r="G2108" s="118">
        <v>0.4996990740740741</v>
      </c>
      <c r="H2108" s="118">
        <v>1.2384259259259258E-3</v>
      </c>
      <c r="I2108" s="118">
        <v>3.4722222222222224E-4</v>
      </c>
      <c r="J2108"/>
      <c r="K2108"/>
    </row>
    <row r="2109" spans="1:11" x14ac:dyDescent="0.25">
      <c r="A2109">
        <v>2</v>
      </c>
      <c r="B2109">
        <v>8</v>
      </c>
      <c r="C2109"/>
      <c r="D2109" t="s">
        <v>31</v>
      </c>
      <c r="E2109" t="s">
        <v>32</v>
      </c>
      <c r="F2109" t="s">
        <v>56</v>
      </c>
      <c r="G2109" s="118">
        <v>0.4997685185185185</v>
      </c>
      <c r="H2109" s="118">
        <v>3.4722222222222224E-4</v>
      </c>
      <c r="I2109" s="118">
        <v>9.6064814814814808E-4</v>
      </c>
      <c r="J2109" s="118">
        <v>7.0717592592592594E-3</v>
      </c>
      <c r="K2109" s="118">
        <v>7.0717592592592594E-3</v>
      </c>
    </row>
    <row r="2110" spans="1:11" x14ac:dyDescent="0.25">
      <c r="A2110">
        <v>5</v>
      </c>
      <c r="B2110">
        <v>9</v>
      </c>
      <c r="C2110"/>
      <c r="D2110" t="s">
        <v>31</v>
      </c>
      <c r="E2110" t="s">
        <v>32</v>
      </c>
      <c r="F2110" t="s">
        <v>45</v>
      </c>
      <c r="G2110" s="118">
        <v>0.50004629629629627</v>
      </c>
      <c r="H2110" s="118">
        <v>3.4722222222222224E-4</v>
      </c>
      <c r="I2110" s="118">
        <v>1.0416666666666667E-3</v>
      </c>
      <c r="J2110" s="118">
        <v>7.0717592592592594E-3</v>
      </c>
      <c r="K2110" s="118">
        <v>7.0717592592592594E-3</v>
      </c>
    </row>
    <row r="2111" spans="1:11" x14ac:dyDescent="0.25">
      <c r="A2111">
        <v>1</v>
      </c>
      <c r="B2111">
        <v>8</v>
      </c>
      <c r="C2111"/>
      <c r="D2111" t="s">
        <v>31</v>
      </c>
      <c r="E2111" t="s">
        <v>35</v>
      </c>
      <c r="F2111" t="s">
        <v>41</v>
      </c>
      <c r="G2111" s="118">
        <v>0.50012731481481476</v>
      </c>
      <c r="H2111" s="118">
        <v>1.0069444444444444E-3</v>
      </c>
      <c r="I2111" s="118">
        <v>3.4722222222222224E-4</v>
      </c>
      <c r="J2111"/>
      <c r="K2111"/>
    </row>
    <row r="2112" spans="1:11" x14ac:dyDescent="0.25">
      <c r="A2112">
        <v>4</v>
      </c>
      <c r="B2112">
        <v>8</v>
      </c>
      <c r="C2112"/>
      <c r="D2112" t="s">
        <v>31</v>
      </c>
      <c r="E2112" t="s">
        <v>35</v>
      </c>
      <c r="F2112" t="s">
        <v>51</v>
      </c>
      <c r="G2112" s="118">
        <v>0.50028935185185186</v>
      </c>
      <c r="H2112" s="118">
        <v>9.1435185185185185E-4</v>
      </c>
      <c r="I2112" s="118">
        <v>3.4722222222222224E-4</v>
      </c>
      <c r="J2112"/>
      <c r="K2112"/>
    </row>
    <row r="2113" spans="1:11" x14ac:dyDescent="0.25">
      <c r="A2113">
        <v>3</v>
      </c>
      <c r="B2113">
        <v>8</v>
      </c>
      <c r="C2113"/>
      <c r="D2113" t="s">
        <v>31</v>
      </c>
      <c r="E2113" t="s">
        <v>35</v>
      </c>
      <c r="F2113" t="s">
        <v>33</v>
      </c>
      <c r="G2113" s="118">
        <v>0.500462962962963</v>
      </c>
      <c r="H2113" s="118">
        <v>1.3541666666666667E-3</v>
      </c>
      <c r="I2113" s="118">
        <v>5.2083333333333333E-4</v>
      </c>
      <c r="J2113"/>
      <c r="K2113"/>
    </row>
    <row r="2114" spans="1:11" x14ac:dyDescent="0.25">
      <c r="A2114">
        <v>1</v>
      </c>
      <c r="B2114">
        <v>8</v>
      </c>
      <c r="C2114"/>
      <c r="D2114" t="s">
        <v>31</v>
      </c>
      <c r="E2114" t="s">
        <v>32</v>
      </c>
      <c r="F2114" t="s">
        <v>41</v>
      </c>
      <c r="G2114" s="118">
        <v>0.50047453703703704</v>
      </c>
      <c r="H2114" s="118">
        <v>3.4722222222222224E-4</v>
      </c>
      <c r="I2114" s="118">
        <v>8.564814814814815E-4</v>
      </c>
      <c r="J2114" s="118">
        <v>7.0717592592592594E-3</v>
      </c>
      <c r="K2114" s="118">
        <v>7.0717592592592594E-3</v>
      </c>
    </row>
    <row r="2115" spans="1:11" x14ac:dyDescent="0.25">
      <c r="A2115">
        <v>4</v>
      </c>
      <c r="B2115">
        <v>8</v>
      </c>
      <c r="C2115"/>
      <c r="D2115" t="s">
        <v>31</v>
      </c>
      <c r="E2115" t="s">
        <v>32</v>
      </c>
      <c r="F2115" t="s">
        <v>51</v>
      </c>
      <c r="G2115" s="118">
        <v>0.50063657407407403</v>
      </c>
      <c r="H2115" s="118">
        <v>3.4722222222222224E-4</v>
      </c>
      <c r="I2115" s="118">
        <v>1.0069444444444444E-3</v>
      </c>
      <c r="J2115" s="118">
        <v>7.0717592592592594E-3</v>
      </c>
      <c r="K2115" s="118">
        <v>7.0717592592592594E-3</v>
      </c>
    </row>
    <row r="2116" spans="1:11" x14ac:dyDescent="0.25">
      <c r="A2116">
        <v>2</v>
      </c>
      <c r="B2116">
        <v>8</v>
      </c>
      <c r="C2116"/>
      <c r="D2116" t="s">
        <v>31</v>
      </c>
      <c r="E2116" t="s">
        <v>35</v>
      </c>
      <c r="F2116" t="s">
        <v>37</v>
      </c>
      <c r="G2116" s="118">
        <v>0.50072916666666667</v>
      </c>
      <c r="H2116" s="118">
        <v>9.6064814814814808E-4</v>
      </c>
      <c r="I2116" s="118">
        <v>3.4722222222222224E-4</v>
      </c>
      <c r="J2116"/>
      <c r="K2116"/>
    </row>
    <row r="2117" spans="1:11" x14ac:dyDescent="0.25">
      <c r="A2117">
        <v>3</v>
      </c>
      <c r="B2117">
        <v>8</v>
      </c>
      <c r="C2117"/>
      <c r="D2117" t="s">
        <v>31</v>
      </c>
      <c r="E2117" t="s">
        <v>32</v>
      </c>
      <c r="F2117" t="s">
        <v>33</v>
      </c>
      <c r="G2117" s="118">
        <v>0.5009837962962963</v>
      </c>
      <c r="H2117" s="118">
        <v>5.2083333333333333E-4</v>
      </c>
      <c r="I2117" s="118">
        <v>9.6064814814814808E-4</v>
      </c>
      <c r="J2117" s="118">
        <v>7.0717592592592594E-3</v>
      </c>
      <c r="K2117" s="118">
        <v>7.0717592592592594E-3</v>
      </c>
    </row>
    <row r="2118" spans="1:11" x14ac:dyDescent="0.25">
      <c r="A2118">
        <v>2</v>
      </c>
      <c r="B2118">
        <v>8</v>
      </c>
      <c r="C2118"/>
      <c r="D2118" t="s">
        <v>31</v>
      </c>
      <c r="E2118" t="s">
        <v>32</v>
      </c>
      <c r="F2118" t="s">
        <v>37</v>
      </c>
      <c r="G2118" s="118">
        <v>0.50107638888888884</v>
      </c>
      <c r="H2118" s="118">
        <v>3.4722222222222224E-4</v>
      </c>
      <c r="I2118" s="118">
        <v>9.0277777777777784E-4</v>
      </c>
      <c r="J2118" s="118">
        <v>7.0717592592592594E-3</v>
      </c>
      <c r="K2118" s="118">
        <v>7.0717592592592594E-3</v>
      </c>
    </row>
    <row r="2119" spans="1:11" x14ac:dyDescent="0.25">
      <c r="A2119">
        <v>5</v>
      </c>
      <c r="B2119">
        <v>9</v>
      </c>
      <c r="C2119"/>
      <c r="D2119" t="s">
        <v>31</v>
      </c>
      <c r="E2119" t="s">
        <v>35</v>
      </c>
      <c r="F2119" t="s">
        <v>52</v>
      </c>
      <c r="G2119" s="118">
        <v>0.50108796296296299</v>
      </c>
      <c r="H2119" s="118">
        <v>1.0416666666666667E-3</v>
      </c>
      <c r="I2119" s="118">
        <v>3.4722222222222224E-4</v>
      </c>
      <c r="J2119"/>
      <c r="K2119"/>
    </row>
    <row r="2120" spans="1:11" x14ac:dyDescent="0.25">
      <c r="A2120">
        <v>1</v>
      </c>
      <c r="B2120">
        <v>8</v>
      </c>
      <c r="C2120"/>
      <c r="D2120" t="s">
        <v>31</v>
      </c>
      <c r="E2120" t="s">
        <v>35</v>
      </c>
      <c r="F2120" t="s">
        <v>47</v>
      </c>
      <c r="G2120" s="118">
        <v>0.50133101851851858</v>
      </c>
      <c r="H2120" s="118">
        <v>8.564814814814815E-4</v>
      </c>
      <c r="I2120" s="118">
        <v>5.2083333333333333E-4</v>
      </c>
      <c r="J2120"/>
      <c r="K2120"/>
    </row>
    <row r="2121" spans="1:11" x14ac:dyDescent="0.25">
      <c r="A2121">
        <v>5</v>
      </c>
      <c r="B2121">
        <v>9</v>
      </c>
      <c r="C2121"/>
      <c r="D2121" t="s">
        <v>31</v>
      </c>
      <c r="E2121" t="s">
        <v>32</v>
      </c>
      <c r="F2121" t="s">
        <v>52</v>
      </c>
      <c r="G2121" s="118">
        <v>0.50143518518518515</v>
      </c>
      <c r="H2121" s="118">
        <v>3.4722222222222224E-4</v>
      </c>
      <c r="I2121" s="118">
        <v>1.0532407407407407E-3</v>
      </c>
      <c r="J2121" s="118">
        <v>7.0717592592592594E-3</v>
      </c>
      <c r="K2121" s="118">
        <v>7.0717592592592594E-3</v>
      </c>
    </row>
    <row r="2122" spans="1:11" x14ac:dyDescent="0.25">
      <c r="A2122">
        <v>4</v>
      </c>
      <c r="B2122">
        <v>8</v>
      </c>
      <c r="C2122"/>
      <c r="D2122" t="s">
        <v>31</v>
      </c>
      <c r="E2122" t="s">
        <v>35</v>
      </c>
      <c r="F2122" t="s">
        <v>55</v>
      </c>
      <c r="G2122" s="118">
        <v>0.50164351851851852</v>
      </c>
      <c r="H2122" s="118">
        <v>1.0069444444444444E-3</v>
      </c>
      <c r="I2122" s="118">
        <v>4.6296296296296293E-4</v>
      </c>
      <c r="J2122"/>
      <c r="K2122"/>
    </row>
    <row r="2123" spans="1:11" x14ac:dyDescent="0.25">
      <c r="A2123">
        <v>1</v>
      </c>
      <c r="B2123">
        <v>8</v>
      </c>
      <c r="C2123"/>
      <c r="D2123" t="s">
        <v>31</v>
      </c>
      <c r="E2123" t="s">
        <v>32</v>
      </c>
      <c r="F2123" t="s">
        <v>47</v>
      </c>
      <c r="G2123" s="118">
        <v>0.50185185185185188</v>
      </c>
      <c r="H2123" s="118">
        <v>5.2083333333333333E-4</v>
      </c>
      <c r="I2123" s="118">
        <v>8.7962962962962962E-4</v>
      </c>
      <c r="J2123" s="118">
        <v>7.0717592592592594E-3</v>
      </c>
      <c r="K2123" s="118">
        <v>7.0717592592592594E-3</v>
      </c>
    </row>
    <row r="2124" spans="1:11" x14ac:dyDescent="0.25">
      <c r="A2124">
        <v>3</v>
      </c>
      <c r="B2124">
        <v>8</v>
      </c>
      <c r="C2124"/>
      <c r="D2124" t="s">
        <v>31</v>
      </c>
      <c r="E2124" t="s">
        <v>35</v>
      </c>
      <c r="F2124" t="s">
        <v>36</v>
      </c>
      <c r="G2124" s="118">
        <v>0.50194444444444442</v>
      </c>
      <c r="H2124" s="118">
        <v>9.6064814814814808E-4</v>
      </c>
      <c r="I2124" s="118">
        <v>3.4722222222222224E-4</v>
      </c>
      <c r="J2124"/>
      <c r="K2124"/>
    </row>
    <row r="2125" spans="1:11" x14ac:dyDescent="0.25">
      <c r="A2125">
        <v>2</v>
      </c>
      <c r="B2125">
        <v>8</v>
      </c>
      <c r="C2125"/>
      <c r="D2125" t="s">
        <v>31</v>
      </c>
      <c r="E2125" t="s">
        <v>35</v>
      </c>
      <c r="F2125" t="s">
        <v>42</v>
      </c>
      <c r="G2125" s="118">
        <v>0.50197916666666664</v>
      </c>
      <c r="H2125" s="118">
        <v>9.0277777777777784E-4</v>
      </c>
      <c r="I2125" s="118">
        <v>3.4722222222222224E-4</v>
      </c>
      <c r="J2125"/>
      <c r="K2125"/>
    </row>
    <row r="2126" spans="1:11" x14ac:dyDescent="0.25">
      <c r="A2126">
        <v>4</v>
      </c>
      <c r="B2126">
        <v>8</v>
      </c>
      <c r="C2126"/>
      <c r="D2126" t="s">
        <v>31</v>
      </c>
      <c r="E2126" t="s">
        <v>32</v>
      </c>
      <c r="F2126" t="s">
        <v>55</v>
      </c>
      <c r="G2126" s="118">
        <v>0.50210648148148151</v>
      </c>
      <c r="H2126" s="118">
        <v>4.6296296296296293E-4</v>
      </c>
      <c r="I2126" s="118">
        <v>4.3981481481481481E-4</v>
      </c>
      <c r="J2126" s="118">
        <v>7.0717592592592594E-3</v>
      </c>
      <c r="K2126" s="118">
        <v>7.0717592592592594E-3</v>
      </c>
    </row>
    <row r="2127" spans="1:11" x14ac:dyDescent="0.25">
      <c r="A2127">
        <v>3</v>
      </c>
      <c r="B2127">
        <v>8</v>
      </c>
      <c r="C2127"/>
      <c r="D2127" t="s">
        <v>31</v>
      </c>
      <c r="E2127" t="s">
        <v>32</v>
      </c>
      <c r="F2127" t="s">
        <v>36</v>
      </c>
      <c r="G2127" s="118">
        <v>0.50229166666666669</v>
      </c>
      <c r="H2127" s="118">
        <v>3.4722222222222224E-4</v>
      </c>
      <c r="I2127" s="118">
        <v>1.0995370370370371E-3</v>
      </c>
      <c r="J2127" s="118">
        <v>7.0717592592592594E-3</v>
      </c>
      <c r="K2127" s="118">
        <v>7.0717592592592594E-3</v>
      </c>
    </row>
    <row r="2128" spans="1:11" x14ac:dyDescent="0.25">
      <c r="A2128">
        <v>2</v>
      </c>
      <c r="B2128">
        <v>8</v>
      </c>
      <c r="C2128"/>
      <c r="D2128" t="s">
        <v>31</v>
      </c>
      <c r="E2128" t="s">
        <v>32</v>
      </c>
      <c r="F2128" t="s">
        <v>42</v>
      </c>
      <c r="G2128" s="118">
        <v>0.50232638888888892</v>
      </c>
      <c r="H2128" s="118">
        <v>3.4722222222222224E-4</v>
      </c>
      <c r="I2128" s="118">
        <v>9.1435185185185185E-4</v>
      </c>
      <c r="J2128" s="118">
        <v>7.0717592592592594E-3</v>
      </c>
      <c r="K2128" s="118">
        <v>7.0717592592592594E-3</v>
      </c>
    </row>
    <row r="2129" spans="1:11" x14ac:dyDescent="0.25">
      <c r="A2129">
        <v>5</v>
      </c>
      <c r="B2129">
        <v>9</v>
      </c>
      <c r="C2129"/>
      <c r="D2129" t="s">
        <v>31</v>
      </c>
      <c r="E2129" t="s">
        <v>35</v>
      </c>
      <c r="F2129" t="s">
        <v>57</v>
      </c>
      <c r="G2129" s="118">
        <v>0.50248842592592591</v>
      </c>
      <c r="H2129" s="118">
        <v>1.0532407407407407E-3</v>
      </c>
      <c r="I2129" s="118">
        <v>3.4722222222222224E-4</v>
      </c>
      <c r="J2129"/>
      <c r="K2129"/>
    </row>
    <row r="2130" spans="1:11" x14ac:dyDescent="0.25">
      <c r="A2130">
        <v>4</v>
      </c>
      <c r="B2130">
        <v>8</v>
      </c>
      <c r="C2130"/>
      <c r="D2130" t="s">
        <v>31</v>
      </c>
      <c r="E2130" t="s">
        <v>35</v>
      </c>
      <c r="F2130" t="s">
        <v>58</v>
      </c>
      <c r="G2130" s="118">
        <v>0.50254629629629632</v>
      </c>
      <c r="H2130" s="118">
        <v>4.3981481481481481E-4</v>
      </c>
      <c r="I2130" s="118">
        <v>5.7870370370370366E-5</v>
      </c>
      <c r="J2130"/>
      <c r="K2130"/>
    </row>
    <row r="2131" spans="1:11" x14ac:dyDescent="0.25">
      <c r="A2131">
        <v>4</v>
      </c>
      <c r="B2131">
        <v>8</v>
      </c>
      <c r="C2131"/>
      <c r="D2131" t="s">
        <v>31</v>
      </c>
      <c r="E2131" t="s">
        <v>32</v>
      </c>
      <c r="F2131" t="s">
        <v>58</v>
      </c>
      <c r="G2131" s="118">
        <v>0.50260416666666663</v>
      </c>
      <c r="H2131" s="118">
        <v>5.7870370370370366E-5</v>
      </c>
      <c r="I2131" s="118">
        <v>4.8611111111111104E-4</v>
      </c>
      <c r="J2131" s="118">
        <v>7.0717592592592594E-3</v>
      </c>
      <c r="K2131" s="118">
        <v>7.0717592592592594E-3</v>
      </c>
    </row>
    <row r="2132" spans="1:11" x14ac:dyDescent="0.25">
      <c r="A2132">
        <v>1</v>
      </c>
      <c r="B2132">
        <v>8</v>
      </c>
      <c r="C2132"/>
      <c r="D2132" t="s">
        <v>31</v>
      </c>
      <c r="E2132" t="s">
        <v>35</v>
      </c>
      <c r="F2132" t="s">
        <v>53</v>
      </c>
      <c r="G2132" s="118">
        <v>0.5027314814814815</v>
      </c>
      <c r="H2132" s="118">
        <v>8.7962962962962962E-4</v>
      </c>
      <c r="I2132" s="118">
        <v>3.4722222222222224E-4</v>
      </c>
      <c r="J2132"/>
      <c r="K2132"/>
    </row>
    <row r="2133" spans="1:11" x14ac:dyDescent="0.25">
      <c r="A2133">
        <v>5</v>
      </c>
      <c r="B2133">
        <v>9</v>
      </c>
      <c r="C2133"/>
      <c r="D2133" t="s">
        <v>31</v>
      </c>
      <c r="E2133" t="s">
        <v>32</v>
      </c>
      <c r="F2133" t="s">
        <v>57</v>
      </c>
      <c r="G2133" s="118">
        <v>0.50283564814814818</v>
      </c>
      <c r="H2133" s="118">
        <v>3.4722222222222224E-4</v>
      </c>
      <c r="I2133" s="118">
        <v>9.3750000000000007E-4</v>
      </c>
      <c r="J2133" s="118">
        <v>7.0717592592592594E-3</v>
      </c>
      <c r="K2133" s="118">
        <v>7.0717592592592594E-3</v>
      </c>
    </row>
    <row r="2134" spans="1:11" x14ac:dyDescent="0.25">
      <c r="A2134">
        <v>1</v>
      </c>
      <c r="B2134">
        <v>8</v>
      </c>
      <c r="C2134"/>
      <c r="D2134" t="s">
        <v>31</v>
      </c>
      <c r="E2134" t="s">
        <v>32</v>
      </c>
      <c r="F2134" t="s">
        <v>53</v>
      </c>
      <c r="G2134" s="118">
        <v>0.50307870370370367</v>
      </c>
      <c r="H2134" s="118">
        <v>3.4722222222222224E-4</v>
      </c>
      <c r="I2134" s="118">
        <v>8.449074074074075E-4</v>
      </c>
      <c r="J2134" s="118">
        <v>7.0717592592592594E-3</v>
      </c>
      <c r="K2134" s="118">
        <v>7.0717592592592594E-3</v>
      </c>
    </row>
    <row r="2135" spans="1:11" x14ac:dyDescent="0.25">
      <c r="A2135">
        <v>4</v>
      </c>
      <c r="B2135">
        <v>8</v>
      </c>
      <c r="C2135"/>
      <c r="D2135" t="s">
        <v>31</v>
      </c>
      <c r="E2135" t="s">
        <v>35</v>
      </c>
      <c r="F2135" t="s">
        <v>40</v>
      </c>
      <c r="G2135" s="118">
        <v>0.50309027777777782</v>
      </c>
      <c r="H2135" s="118">
        <v>4.8611111111111104E-4</v>
      </c>
      <c r="I2135" s="118">
        <v>4.6296296296296293E-4</v>
      </c>
      <c r="J2135"/>
      <c r="K2135"/>
    </row>
    <row r="2136" spans="1:11" x14ac:dyDescent="0.25">
      <c r="A2136">
        <v>2</v>
      </c>
      <c r="B2136">
        <v>8</v>
      </c>
      <c r="C2136"/>
      <c r="D2136" t="s">
        <v>31</v>
      </c>
      <c r="E2136" t="s">
        <v>35</v>
      </c>
      <c r="F2136" t="s">
        <v>48</v>
      </c>
      <c r="G2136" s="118">
        <v>0.50324074074074077</v>
      </c>
      <c r="H2136" s="118">
        <v>9.1435185185185185E-4</v>
      </c>
      <c r="I2136" s="118">
        <v>5.2083333333333333E-4</v>
      </c>
      <c r="J2136"/>
      <c r="K2136"/>
    </row>
    <row r="2137" spans="1:11" x14ac:dyDescent="0.25">
      <c r="A2137">
        <v>3</v>
      </c>
      <c r="B2137">
        <v>8</v>
      </c>
      <c r="C2137"/>
      <c r="D2137" t="s">
        <v>31</v>
      </c>
      <c r="E2137" t="s">
        <v>35</v>
      </c>
      <c r="F2137" t="s">
        <v>43</v>
      </c>
      <c r="G2137" s="118">
        <v>0.50339120370370372</v>
      </c>
      <c r="H2137" s="118">
        <v>1.0995370370370371E-3</v>
      </c>
      <c r="I2137" s="118">
        <v>3.4722222222222224E-4</v>
      </c>
      <c r="J2137"/>
      <c r="K2137"/>
    </row>
    <row r="2138" spans="1:11" x14ac:dyDescent="0.25">
      <c r="A2138">
        <v>4</v>
      </c>
      <c r="B2138">
        <v>8</v>
      </c>
      <c r="C2138"/>
      <c r="D2138" t="s">
        <v>31</v>
      </c>
      <c r="E2138" t="s">
        <v>32</v>
      </c>
      <c r="F2138" t="s">
        <v>40</v>
      </c>
      <c r="G2138" s="118">
        <v>0.5035532407407407</v>
      </c>
      <c r="H2138" s="118">
        <v>4.6296296296296293E-4</v>
      </c>
      <c r="I2138" s="118">
        <v>1.0069444444444444E-3</v>
      </c>
      <c r="J2138" s="118">
        <v>7.0717592592592594E-3</v>
      </c>
      <c r="K2138" s="118">
        <v>7.0717592592592594E-3</v>
      </c>
    </row>
    <row r="2139" spans="1:11" x14ac:dyDescent="0.25">
      <c r="A2139">
        <v>3</v>
      </c>
      <c r="B2139">
        <v>8</v>
      </c>
      <c r="C2139"/>
      <c r="D2139" t="s">
        <v>31</v>
      </c>
      <c r="E2139" t="s">
        <v>32</v>
      </c>
      <c r="F2139" t="s">
        <v>43</v>
      </c>
      <c r="G2139" s="118">
        <v>0.50373842592592599</v>
      </c>
      <c r="H2139" s="118">
        <v>3.4722222222222224E-4</v>
      </c>
      <c r="I2139" s="118">
        <v>1.1458333333333333E-3</v>
      </c>
      <c r="J2139" s="118">
        <v>7.0717592592592594E-3</v>
      </c>
      <c r="K2139" s="118">
        <v>7.0717592592592594E-3</v>
      </c>
    </row>
    <row r="2140" spans="1:11" x14ac:dyDescent="0.25">
      <c r="A2140">
        <v>2</v>
      </c>
      <c r="B2140">
        <v>8</v>
      </c>
      <c r="C2140"/>
      <c r="D2140" t="s">
        <v>31</v>
      </c>
      <c r="E2140" t="s">
        <v>32</v>
      </c>
      <c r="F2140" t="s">
        <v>48</v>
      </c>
      <c r="G2140" s="118">
        <v>0.50376157407407407</v>
      </c>
      <c r="H2140" s="118">
        <v>5.2083333333333333E-4</v>
      </c>
      <c r="I2140" s="118">
        <v>8.6805555555555551E-4</v>
      </c>
      <c r="J2140" s="118">
        <v>7.0717592592592594E-3</v>
      </c>
      <c r="K2140" s="118">
        <v>7.0717592592592594E-3</v>
      </c>
    </row>
    <row r="2141" spans="1:11" x14ac:dyDescent="0.25">
      <c r="A2141">
        <v>5</v>
      </c>
      <c r="B2141">
        <v>9</v>
      </c>
      <c r="C2141"/>
      <c r="D2141" t="s">
        <v>31</v>
      </c>
      <c r="E2141" t="s">
        <v>35</v>
      </c>
      <c r="F2141" t="s">
        <v>39</v>
      </c>
      <c r="G2141" s="118">
        <v>0.50377314814814811</v>
      </c>
      <c r="H2141" s="118">
        <v>9.3750000000000007E-4</v>
      </c>
      <c r="I2141" s="118">
        <v>5.2083333333333333E-4</v>
      </c>
      <c r="J2141"/>
      <c r="K2141"/>
    </row>
    <row r="2142" spans="1:11" x14ac:dyDescent="0.25">
      <c r="A2142">
        <v>1</v>
      </c>
      <c r="B2142">
        <v>8</v>
      </c>
      <c r="C2142"/>
      <c r="D2142" t="s">
        <v>31</v>
      </c>
      <c r="E2142" t="s">
        <v>35</v>
      </c>
      <c r="F2142" t="s">
        <v>34</v>
      </c>
      <c r="G2142" s="118">
        <v>0.50392361111111106</v>
      </c>
      <c r="H2142" s="118">
        <v>8.449074074074075E-4</v>
      </c>
      <c r="I2142" s="118">
        <v>3.4722222222222224E-4</v>
      </c>
      <c r="J2142"/>
      <c r="K2142"/>
    </row>
    <row r="2143" spans="1:11" x14ac:dyDescent="0.25">
      <c r="A2143">
        <v>1</v>
      </c>
      <c r="B2143">
        <v>8</v>
      </c>
      <c r="C2143"/>
      <c r="D2143" t="s">
        <v>31</v>
      </c>
      <c r="E2143" t="s">
        <v>32</v>
      </c>
      <c r="F2143" t="s">
        <v>34</v>
      </c>
      <c r="G2143" s="118">
        <v>0.50427083333333333</v>
      </c>
      <c r="H2143" s="118">
        <v>3.4722222222222224E-4</v>
      </c>
      <c r="I2143" s="118">
        <v>9.1435185185185185E-4</v>
      </c>
      <c r="J2143" s="118">
        <v>7.0717592592592594E-3</v>
      </c>
      <c r="K2143" s="118">
        <v>7.0717592592592594E-3</v>
      </c>
    </row>
    <row r="2144" spans="1:11" x14ac:dyDescent="0.25">
      <c r="A2144">
        <v>5</v>
      </c>
      <c r="B2144">
        <v>9</v>
      </c>
      <c r="C2144"/>
      <c r="D2144" t="s">
        <v>31</v>
      </c>
      <c r="E2144" t="s">
        <v>32</v>
      </c>
      <c r="F2144" t="s">
        <v>39</v>
      </c>
      <c r="G2144" s="118">
        <v>0.50429398148148141</v>
      </c>
      <c r="H2144" s="118">
        <v>5.2083333333333333E-4</v>
      </c>
      <c r="I2144" s="118">
        <v>1.8055555555555557E-3</v>
      </c>
      <c r="J2144" s="118">
        <v>7.0717592592592594E-3</v>
      </c>
      <c r="K2144" s="118">
        <v>7.0717592592592594E-3</v>
      </c>
    </row>
    <row r="2145" spans="1:11" x14ac:dyDescent="0.25">
      <c r="A2145">
        <v>4</v>
      </c>
      <c r="B2145">
        <v>8</v>
      </c>
      <c r="C2145"/>
      <c r="D2145" t="s">
        <v>31</v>
      </c>
      <c r="E2145" t="s">
        <v>35</v>
      </c>
      <c r="F2145" t="s">
        <v>44</v>
      </c>
      <c r="G2145" s="118">
        <v>0.50456018518518519</v>
      </c>
      <c r="H2145" s="118">
        <v>1.0069444444444444E-3</v>
      </c>
      <c r="I2145" s="118">
        <v>3.4722222222222224E-4</v>
      </c>
      <c r="J2145"/>
      <c r="K2145"/>
    </row>
    <row r="2146" spans="1:11" x14ac:dyDescent="0.25">
      <c r="A2146">
        <v>2</v>
      </c>
      <c r="B2146">
        <v>8</v>
      </c>
      <c r="C2146"/>
      <c r="D2146" t="s">
        <v>31</v>
      </c>
      <c r="E2146" t="s">
        <v>35</v>
      </c>
      <c r="F2146" t="s">
        <v>54</v>
      </c>
      <c r="G2146" s="118">
        <v>0.50462962962962965</v>
      </c>
      <c r="H2146" s="118">
        <v>8.6805555555555551E-4</v>
      </c>
      <c r="I2146" s="118">
        <v>3.4722222222222224E-4</v>
      </c>
      <c r="J2146"/>
      <c r="K2146"/>
    </row>
    <row r="2147" spans="1:11" x14ac:dyDescent="0.25">
      <c r="A2147">
        <v>3</v>
      </c>
      <c r="B2147">
        <v>8</v>
      </c>
      <c r="C2147"/>
      <c r="D2147" t="s">
        <v>31</v>
      </c>
      <c r="E2147" t="s">
        <v>35</v>
      </c>
      <c r="F2147" t="s">
        <v>50</v>
      </c>
      <c r="G2147" s="118">
        <v>0.50488425925925928</v>
      </c>
      <c r="H2147" s="118">
        <v>1.1458333333333333E-3</v>
      </c>
      <c r="I2147" s="118">
        <v>3.4722222222222224E-4</v>
      </c>
      <c r="J2147"/>
      <c r="K2147"/>
    </row>
    <row r="2148" spans="1:11" x14ac:dyDescent="0.25">
      <c r="A2148">
        <v>4</v>
      </c>
      <c r="B2148">
        <v>8</v>
      </c>
      <c r="C2148"/>
      <c r="D2148" t="s">
        <v>31</v>
      </c>
      <c r="E2148" t="s">
        <v>32</v>
      </c>
      <c r="F2148" t="s">
        <v>44</v>
      </c>
      <c r="G2148" s="118">
        <v>0.50490740740740747</v>
      </c>
      <c r="H2148" s="118">
        <v>3.4722222222222224E-4</v>
      </c>
      <c r="I2148" s="118">
        <v>9.2592592592592585E-4</v>
      </c>
      <c r="J2148" s="118">
        <v>7.0717592592592594E-3</v>
      </c>
      <c r="K2148" s="118">
        <v>7.0717592592592594E-3</v>
      </c>
    </row>
    <row r="2149" spans="1:11" x14ac:dyDescent="0.25">
      <c r="A2149">
        <v>2</v>
      </c>
      <c r="B2149">
        <v>8</v>
      </c>
      <c r="C2149"/>
      <c r="D2149" t="s">
        <v>31</v>
      </c>
      <c r="E2149" t="s">
        <v>32</v>
      </c>
      <c r="F2149" t="s">
        <v>54</v>
      </c>
      <c r="G2149" s="118">
        <v>0.50497685185185182</v>
      </c>
      <c r="H2149" s="118">
        <v>3.4722222222222224E-4</v>
      </c>
      <c r="I2149" s="118">
        <v>6.9444444444444447E-4</v>
      </c>
      <c r="J2149" s="118">
        <v>7.0717592592592594E-3</v>
      </c>
      <c r="K2149" s="118">
        <v>7.0717592592592594E-3</v>
      </c>
    </row>
    <row r="2150" spans="1:11" x14ac:dyDescent="0.25">
      <c r="A2150">
        <v>1</v>
      </c>
      <c r="B2150">
        <v>8</v>
      </c>
      <c r="C2150"/>
      <c r="D2150" t="s">
        <v>31</v>
      </c>
      <c r="E2150" t="s">
        <v>35</v>
      </c>
      <c r="F2150" t="s">
        <v>38</v>
      </c>
      <c r="G2150" s="118">
        <v>0.50518518518518518</v>
      </c>
      <c r="H2150" s="118">
        <v>9.1435185185185185E-4</v>
      </c>
      <c r="I2150" s="118">
        <v>3.4722222222222224E-4</v>
      </c>
      <c r="J2150"/>
      <c r="K2150"/>
    </row>
    <row r="2151" spans="1:11" x14ac:dyDescent="0.25">
      <c r="A2151">
        <v>3</v>
      </c>
      <c r="B2151">
        <v>8</v>
      </c>
      <c r="C2151"/>
      <c r="D2151" t="s">
        <v>31</v>
      </c>
      <c r="E2151" t="s">
        <v>32</v>
      </c>
      <c r="F2151" t="s">
        <v>50</v>
      </c>
      <c r="G2151" s="118">
        <v>0.50523148148148145</v>
      </c>
      <c r="H2151" s="118">
        <v>3.4722222222222224E-4</v>
      </c>
      <c r="I2151" s="118">
        <v>1.261574074074074E-3</v>
      </c>
      <c r="J2151" s="118">
        <v>7.0717592592592594E-3</v>
      </c>
      <c r="K2151" s="118">
        <v>7.0717592592592594E-3</v>
      </c>
    </row>
    <row r="2152" spans="1:11" x14ac:dyDescent="0.25">
      <c r="A2152">
        <v>1</v>
      </c>
      <c r="B2152">
        <v>8</v>
      </c>
      <c r="C2152"/>
      <c r="D2152" t="s">
        <v>31</v>
      </c>
      <c r="E2152" t="s">
        <v>32</v>
      </c>
      <c r="F2152" t="s">
        <v>38</v>
      </c>
      <c r="G2152" s="118">
        <v>0.50553240740740735</v>
      </c>
      <c r="H2152" s="118">
        <v>3.4722222222222224E-4</v>
      </c>
      <c r="I2152" s="118">
        <v>1.2384259259259258E-3</v>
      </c>
      <c r="J2152" s="118">
        <v>7.0717592592592594E-3</v>
      </c>
      <c r="K2152" s="118">
        <v>7.0717592592592594E-3</v>
      </c>
    </row>
    <row r="2153" spans="1:11" x14ac:dyDescent="0.25">
      <c r="A2153">
        <v>2</v>
      </c>
      <c r="B2153">
        <v>8</v>
      </c>
      <c r="C2153"/>
      <c r="D2153" t="s">
        <v>31</v>
      </c>
      <c r="E2153" t="s">
        <v>35</v>
      </c>
      <c r="F2153" t="s">
        <v>92</v>
      </c>
      <c r="G2153" s="118">
        <v>0.50567129629629626</v>
      </c>
      <c r="H2153" s="118">
        <v>6.9444444444444447E-4</v>
      </c>
      <c r="I2153" s="118">
        <v>5.2083333333333333E-4</v>
      </c>
      <c r="J2153"/>
      <c r="K2153"/>
    </row>
    <row r="2154" spans="1:11" x14ac:dyDescent="0.25">
      <c r="A2154">
        <v>4</v>
      </c>
      <c r="B2154">
        <v>8</v>
      </c>
      <c r="C2154"/>
      <c r="D2154" t="s">
        <v>31</v>
      </c>
      <c r="E2154" t="s">
        <v>35</v>
      </c>
      <c r="F2154" t="s">
        <v>49</v>
      </c>
      <c r="G2154" s="118">
        <v>0.50583333333333336</v>
      </c>
      <c r="H2154" s="118">
        <v>9.2592592592592585E-4</v>
      </c>
      <c r="I2154" s="118">
        <v>3.4722222222222224E-4</v>
      </c>
      <c r="J2154"/>
      <c r="K2154"/>
    </row>
    <row r="2155" spans="1:11" x14ac:dyDescent="0.25">
      <c r="A2155">
        <v>5</v>
      </c>
      <c r="B2155">
        <v>9</v>
      </c>
      <c r="C2155"/>
      <c r="D2155" t="s">
        <v>31</v>
      </c>
      <c r="E2155" t="s">
        <v>35</v>
      </c>
      <c r="F2155" t="s">
        <v>46</v>
      </c>
      <c r="G2155" s="118">
        <v>0.50609953703703703</v>
      </c>
      <c r="H2155" s="118">
        <v>1.8055555555555557E-3</v>
      </c>
      <c r="I2155" s="118">
        <v>3.4722222222222224E-4</v>
      </c>
      <c r="J2155"/>
      <c r="K2155"/>
    </row>
    <row r="2156" spans="1:11" x14ac:dyDescent="0.25">
      <c r="A2156">
        <v>4</v>
      </c>
      <c r="B2156">
        <v>8</v>
      </c>
      <c r="C2156"/>
      <c r="D2156" t="s">
        <v>31</v>
      </c>
      <c r="E2156" t="s">
        <v>32</v>
      </c>
      <c r="F2156" t="s">
        <v>49</v>
      </c>
      <c r="G2156" s="118">
        <v>0.50618055555555552</v>
      </c>
      <c r="H2156" s="118">
        <v>3.4722222222222224E-4</v>
      </c>
      <c r="I2156" s="118">
        <v>1.3541666666666667E-3</v>
      </c>
      <c r="J2156" s="118">
        <v>7.0717592592592594E-3</v>
      </c>
      <c r="K2156" s="118">
        <v>7.0717592592592594E-3</v>
      </c>
    </row>
    <row r="2157" spans="1:11" x14ac:dyDescent="0.25">
      <c r="A2157">
        <v>2</v>
      </c>
      <c r="B2157">
        <v>9</v>
      </c>
      <c r="C2157"/>
      <c r="D2157" t="s">
        <v>31</v>
      </c>
      <c r="E2157" t="s">
        <v>32</v>
      </c>
      <c r="F2157" t="s">
        <v>92</v>
      </c>
      <c r="G2157" s="118">
        <v>0.50619212962962956</v>
      </c>
      <c r="H2157" s="118">
        <v>5.2083333333333333E-4</v>
      </c>
      <c r="I2157" s="118">
        <v>1.0069444444444444E-3</v>
      </c>
      <c r="J2157" s="118">
        <v>7.0717592592592594E-3</v>
      </c>
      <c r="K2157" s="118">
        <v>7.0717592592592594E-3</v>
      </c>
    </row>
    <row r="2158" spans="1:11" x14ac:dyDescent="0.25">
      <c r="A2158">
        <v>5</v>
      </c>
      <c r="B2158">
        <v>9</v>
      </c>
      <c r="C2158"/>
      <c r="D2158" t="s">
        <v>31</v>
      </c>
      <c r="E2158" t="s">
        <v>32</v>
      </c>
      <c r="F2158" t="s">
        <v>46</v>
      </c>
      <c r="G2158" s="118">
        <v>0.5064467592592593</v>
      </c>
      <c r="H2158" s="118">
        <v>3.4722222222222224E-4</v>
      </c>
      <c r="I2158" s="118">
        <v>9.1435185185185185E-4</v>
      </c>
      <c r="J2158" s="118">
        <v>7.0717592592592594E-3</v>
      </c>
      <c r="K2158" s="118">
        <v>7.0717592592592594E-3</v>
      </c>
    </row>
    <row r="2159" spans="1:11" x14ac:dyDescent="0.25">
      <c r="A2159">
        <v>3</v>
      </c>
      <c r="B2159">
        <v>8</v>
      </c>
      <c r="C2159"/>
      <c r="D2159" t="s">
        <v>31</v>
      </c>
      <c r="E2159" t="s">
        <v>35</v>
      </c>
      <c r="F2159" t="s">
        <v>56</v>
      </c>
      <c r="G2159" s="118">
        <v>0.50649305555555557</v>
      </c>
      <c r="H2159" s="118">
        <v>1.261574074074074E-3</v>
      </c>
      <c r="I2159" s="118">
        <v>3.4722222222222224E-4</v>
      </c>
      <c r="J2159"/>
      <c r="K2159"/>
    </row>
    <row r="2160" spans="1:11" x14ac:dyDescent="0.25">
      <c r="A2160">
        <v>1</v>
      </c>
      <c r="B2160">
        <v>8</v>
      </c>
      <c r="C2160"/>
      <c r="D2160" t="s">
        <v>31</v>
      </c>
      <c r="E2160" t="s">
        <v>35</v>
      </c>
      <c r="F2160" t="s">
        <v>45</v>
      </c>
      <c r="G2160" s="118">
        <v>0.50677083333333328</v>
      </c>
      <c r="H2160" s="118">
        <v>1.2384259259259258E-3</v>
      </c>
      <c r="I2160" s="118">
        <v>3.4722222222222224E-4</v>
      </c>
      <c r="J2160"/>
      <c r="K2160"/>
    </row>
    <row r="2161" spans="1:11" x14ac:dyDescent="0.25">
      <c r="A2161">
        <v>3</v>
      </c>
      <c r="B2161">
        <v>8</v>
      </c>
      <c r="C2161"/>
      <c r="D2161" t="s">
        <v>31</v>
      </c>
      <c r="E2161" t="s">
        <v>32</v>
      </c>
      <c r="F2161" t="s">
        <v>56</v>
      </c>
      <c r="G2161" s="118">
        <v>0.50684027777777774</v>
      </c>
      <c r="H2161" s="118">
        <v>3.4722222222222224E-4</v>
      </c>
      <c r="I2161" s="118">
        <v>9.6064814814814808E-4</v>
      </c>
      <c r="J2161" s="118">
        <v>7.0717592592592594E-3</v>
      </c>
      <c r="K2161" s="118">
        <v>7.0717592592592594E-3</v>
      </c>
    </row>
    <row r="2162" spans="1:11" x14ac:dyDescent="0.25">
      <c r="A2162">
        <v>1</v>
      </c>
      <c r="B2162">
        <v>8</v>
      </c>
      <c r="C2162"/>
      <c r="D2162" t="s">
        <v>31</v>
      </c>
      <c r="E2162" t="s">
        <v>32</v>
      </c>
      <c r="F2162" t="s">
        <v>45</v>
      </c>
      <c r="G2162" s="118">
        <v>0.50711805555555556</v>
      </c>
      <c r="H2162" s="118">
        <v>3.4722222222222224E-4</v>
      </c>
      <c r="I2162" s="118">
        <v>1.0416666666666667E-3</v>
      </c>
      <c r="J2162" s="118">
        <v>7.0717592592592594E-3</v>
      </c>
      <c r="K2162" s="118">
        <v>7.0717592592592594E-3</v>
      </c>
    </row>
    <row r="2163" spans="1:11" x14ac:dyDescent="0.25">
      <c r="A2163">
        <v>2</v>
      </c>
      <c r="B2163">
        <v>9</v>
      </c>
      <c r="C2163"/>
      <c r="D2163" t="s">
        <v>31</v>
      </c>
      <c r="E2163" t="s">
        <v>35</v>
      </c>
      <c r="F2163" t="s">
        <v>41</v>
      </c>
      <c r="G2163" s="118">
        <v>0.50719907407407405</v>
      </c>
      <c r="H2163" s="118">
        <v>1.0069444444444444E-3</v>
      </c>
      <c r="I2163" s="118">
        <v>3.4722222222222224E-4</v>
      </c>
      <c r="J2163"/>
      <c r="K2163"/>
    </row>
    <row r="2164" spans="1:11" x14ac:dyDescent="0.25">
      <c r="A2164">
        <v>5</v>
      </c>
      <c r="B2164">
        <v>9</v>
      </c>
      <c r="C2164"/>
      <c r="D2164" t="s">
        <v>31</v>
      </c>
      <c r="E2164" t="s">
        <v>35</v>
      </c>
      <c r="F2164" t="s">
        <v>51</v>
      </c>
      <c r="G2164" s="118">
        <v>0.50736111111111104</v>
      </c>
      <c r="H2164" s="118">
        <v>9.1435185185185185E-4</v>
      </c>
      <c r="I2164" s="118">
        <v>3.4722222222222224E-4</v>
      </c>
      <c r="J2164"/>
      <c r="K2164"/>
    </row>
    <row r="2165" spans="1:11" x14ac:dyDescent="0.25">
      <c r="A2165">
        <v>4</v>
      </c>
      <c r="B2165">
        <v>8</v>
      </c>
      <c r="C2165"/>
      <c r="D2165" t="s">
        <v>31</v>
      </c>
      <c r="E2165" t="s">
        <v>35</v>
      </c>
      <c r="F2165" t="s">
        <v>33</v>
      </c>
      <c r="G2165" s="118">
        <v>0.50753472222222229</v>
      </c>
      <c r="H2165" s="118">
        <v>1.3541666666666667E-3</v>
      </c>
      <c r="I2165" s="118">
        <v>5.2083333333333333E-4</v>
      </c>
      <c r="J2165"/>
      <c r="K2165"/>
    </row>
    <row r="2166" spans="1:11" x14ac:dyDescent="0.25">
      <c r="A2166">
        <v>2</v>
      </c>
      <c r="B2166">
        <v>9</v>
      </c>
      <c r="C2166"/>
      <c r="D2166" t="s">
        <v>31</v>
      </c>
      <c r="E2166" t="s">
        <v>32</v>
      </c>
      <c r="F2166" t="s">
        <v>41</v>
      </c>
      <c r="G2166" s="118">
        <v>0.50754629629629633</v>
      </c>
      <c r="H2166" s="118">
        <v>3.4722222222222224E-4</v>
      </c>
      <c r="I2166" s="118">
        <v>8.564814814814815E-4</v>
      </c>
      <c r="J2166" s="118">
        <v>7.0717592592592594E-3</v>
      </c>
      <c r="K2166" s="118">
        <v>7.0717592592592594E-3</v>
      </c>
    </row>
    <row r="2167" spans="1:11" x14ac:dyDescent="0.25">
      <c r="A2167">
        <v>5</v>
      </c>
      <c r="B2167">
        <v>9</v>
      </c>
      <c r="C2167"/>
      <c r="D2167" t="s">
        <v>31</v>
      </c>
      <c r="E2167" t="s">
        <v>32</v>
      </c>
      <c r="F2167" t="s">
        <v>51</v>
      </c>
      <c r="G2167" s="118">
        <v>0.50770833333333332</v>
      </c>
      <c r="H2167" s="118">
        <v>3.4722222222222224E-4</v>
      </c>
      <c r="I2167" s="118">
        <v>1.0069444444444444E-3</v>
      </c>
      <c r="J2167" s="118">
        <v>7.0717592592592594E-3</v>
      </c>
      <c r="K2167" s="118">
        <v>7.0717592592592594E-3</v>
      </c>
    </row>
    <row r="2168" spans="1:11" x14ac:dyDescent="0.25">
      <c r="A2168">
        <v>3</v>
      </c>
      <c r="B2168">
        <v>8</v>
      </c>
      <c r="C2168"/>
      <c r="D2168" t="s">
        <v>31</v>
      </c>
      <c r="E2168" t="s">
        <v>35</v>
      </c>
      <c r="F2168" t="s">
        <v>37</v>
      </c>
      <c r="G2168" s="118">
        <v>0.50780092592592596</v>
      </c>
      <c r="H2168" s="118">
        <v>9.6064814814814808E-4</v>
      </c>
      <c r="I2168" s="118">
        <v>3.4722222222222224E-4</v>
      </c>
      <c r="J2168"/>
      <c r="K2168"/>
    </row>
    <row r="2169" spans="1:11" x14ac:dyDescent="0.25">
      <c r="A2169">
        <v>4</v>
      </c>
      <c r="B2169">
        <v>8</v>
      </c>
      <c r="C2169"/>
      <c r="D2169" t="s">
        <v>31</v>
      </c>
      <c r="E2169" t="s">
        <v>32</v>
      </c>
      <c r="F2169" t="s">
        <v>33</v>
      </c>
      <c r="G2169" s="118">
        <v>0.50805555555555559</v>
      </c>
      <c r="H2169" s="118">
        <v>5.2083333333333333E-4</v>
      </c>
      <c r="I2169" s="118">
        <v>9.6064814814814808E-4</v>
      </c>
      <c r="J2169" s="118">
        <v>7.0717592592592594E-3</v>
      </c>
      <c r="K2169" s="118">
        <v>7.0717592592592594E-3</v>
      </c>
    </row>
    <row r="2170" spans="1:11" x14ac:dyDescent="0.25">
      <c r="A2170">
        <v>3</v>
      </c>
      <c r="B2170">
        <v>8</v>
      </c>
      <c r="C2170"/>
      <c r="D2170" t="s">
        <v>31</v>
      </c>
      <c r="E2170" t="s">
        <v>32</v>
      </c>
      <c r="F2170" t="s">
        <v>37</v>
      </c>
      <c r="G2170" s="118">
        <v>0.50814814814814813</v>
      </c>
      <c r="H2170" s="118">
        <v>3.4722222222222224E-4</v>
      </c>
      <c r="I2170" s="118">
        <v>9.0277777777777784E-4</v>
      </c>
      <c r="J2170" s="118">
        <v>7.0717592592592594E-3</v>
      </c>
      <c r="K2170" s="118">
        <v>7.0717592592592594E-3</v>
      </c>
    </row>
    <row r="2171" spans="1:11" x14ac:dyDescent="0.25">
      <c r="A2171">
        <v>1</v>
      </c>
      <c r="B2171">
        <v>8</v>
      </c>
      <c r="C2171"/>
      <c r="D2171" t="s">
        <v>31</v>
      </c>
      <c r="E2171" t="s">
        <v>35</v>
      </c>
      <c r="F2171" t="s">
        <v>52</v>
      </c>
      <c r="G2171" s="118">
        <v>0.50815972222222217</v>
      </c>
      <c r="H2171" s="118">
        <v>1.0416666666666667E-3</v>
      </c>
      <c r="I2171" s="118">
        <v>3.4722222222222224E-4</v>
      </c>
      <c r="J2171"/>
      <c r="K2171"/>
    </row>
    <row r="2172" spans="1:11" x14ac:dyDescent="0.25">
      <c r="A2172">
        <v>2</v>
      </c>
      <c r="B2172">
        <v>9</v>
      </c>
      <c r="C2172"/>
      <c r="D2172" t="s">
        <v>31</v>
      </c>
      <c r="E2172" t="s">
        <v>35</v>
      </c>
      <c r="F2172" t="s">
        <v>47</v>
      </c>
      <c r="G2172" s="118">
        <v>0.50840277777777776</v>
      </c>
      <c r="H2172" s="118">
        <v>8.564814814814815E-4</v>
      </c>
      <c r="I2172" s="118">
        <v>5.2083333333333333E-4</v>
      </c>
      <c r="J2172"/>
      <c r="K2172"/>
    </row>
    <row r="2173" spans="1:11" x14ac:dyDescent="0.25">
      <c r="A2173">
        <v>1</v>
      </c>
      <c r="B2173">
        <v>8</v>
      </c>
      <c r="C2173"/>
      <c r="D2173" t="s">
        <v>31</v>
      </c>
      <c r="E2173" t="s">
        <v>32</v>
      </c>
      <c r="F2173" t="s">
        <v>52</v>
      </c>
      <c r="G2173" s="118">
        <v>0.50850694444444444</v>
      </c>
      <c r="H2173" s="118">
        <v>3.4722222222222224E-4</v>
      </c>
      <c r="I2173" s="118">
        <v>1.0532407407407407E-3</v>
      </c>
      <c r="J2173" s="118">
        <v>7.0717592592592594E-3</v>
      </c>
      <c r="K2173" s="118">
        <v>7.0717592592592594E-3</v>
      </c>
    </row>
    <row r="2174" spans="1:11" x14ac:dyDescent="0.25">
      <c r="A2174">
        <v>5</v>
      </c>
      <c r="B2174">
        <v>9</v>
      </c>
      <c r="C2174"/>
      <c r="D2174" t="s">
        <v>31</v>
      </c>
      <c r="E2174" t="s">
        <v>35</v>
      </c>
      <c r="F2174" t="s">
        <v>55</v>
      </c>
      <c r="G2174" s="118">
        <v>0.50871527777777781</v>
      </c>
      <c r="H2174" s="118">
        <v>1.0069444444444444E-3</v>
      </c>
      <c r="I2174" s="118">
        <v>4.6296296296296293E-4</v>
      </c>
      <c r="J2174"/>
      <c r="K2174"/>
    </row>
    <row r="2175" spans="1:11" x14ac:dyDescent="0.25">
      <c r="A2175">
        <v>2</v>
      </c>
      <c r="B2175">
        <v>9</v>
      </c>
      <c r="C2175"/>
      <c r="D2175" t="s">
        <v>31</v>
      </c>
      <c r="E2175" t="s">
        <v>32</v>
      </c>
      <c r="F2175" t="s">
        <v>47</v>
      </c>
      <c r="G2175" s="118">
        <v>0.50892361111111117</v>
      </c>
      <c r="H2175" s="118">
        <v>5.2083333333333333E-4</v>
      </c>
      <c r="I2175" s="118">
        <v>8.7962962962962962E-4</v>
      </c>
      <c r="J2175" s="118">
        <v>7.0717592592592594E-3</v>
      </c>
      <c r="K2175" s="118">
        <v>7.0717592592592594E-3</v>
      </c>
    </row>
    <row r="2176" spans="1:11" x14ac:dyDescent="0.25">
      <c r="A2176">
        <v>4</v>
      </c>
      <c r="B2176">
        <v>8</v>
      </c>
      <c r="C2176"/>
      <c r="D2176" t="s">
        <v>31</v>
      </c>
      <c r="E2176" t="s">
        <v>35</v>
      </c>
      <c r="F2176" t="s">
        <v>36</v>
      </c>
      <c r="G2176" s="118">
        <v>0.50901620370370371</v>
      </c>
      <c r="H2176" s="118">
        <v>9.6064814814814808E-4</v>
      </c>
      <c r="I2176" s="118">
        <v>3.4722222222222224E-4</v>
      </c>
      <c r="J2176"/>
      <c r="K2176"/>
    </row>
    <row r="2177" spans="1:11" x14ac:dyDescent="0.25">
      <c r="A2177">
        <v>3</v>
      </c>
      <c r="B2177">
        <v>8</v>
      </c>
      <c r="C2177"/>
      <c r="D2177" t="s">
        <v>31</v>
      </c>
      <c r="E2177" t="s">
        <v>35</v>
      </c>
      <c r="F2177" t="s">
        <v>42</v>
      </c>
      <c r="G2177" s="118">
        <v>0.50905092592592593</v>
      </c>
      <c r="H2177" s="118">
        <v>9.0277777777777784E-4</v>
      </c>
      <c r="I2177" s="118">
        <v>3.4722222222222224E-4</v>
      </c>
      <c r="J2177"/>
      <c r="K2177"/>
    </row>
    <row r="2178" spans="1:11" x14ac:dyDescent="0.25">
      <c r="A2178">
        <v>5</v>
      </c>
      <c r="B2178">
        <v>9</v>
      </c>
      <c r="C2178"/>
      <c r="D2178" t="s">
        <v>31</v>
      </c>
      <c r="E2178" t="s">
        <v>32</v>
      </c>
      <c r="F2178" t="s">
        <v>55</v>
      </c>
      <c r="G2178" s="118">
        <v>0.5091782407407407</v>
      </c>
      <c r="H2178" s="118">
        <v>4.6296296296296293E-4</v>
      </c>
      <c r="I2178" s="118">
        <v>4.3981481481481481E-4</v>
      </c>
      <c r="J2178" s="118">
        <v>7.0717592592592594E-3</v>
      </c>
      <c r="K2178" s="118">
        <v>7.0717592592592594E-3</v>
      </c>
    </row>
    <row r="2179" spans="1:11" x14ac:dyDescent="0.25">
      <c r="A2179">
        <v>4</v>
      </c>
      <c r="B2179">
        <v>8</v>
      </c>
      <c r="C2179"/>
      <c r="D2179" t="s">
        <v>31</v>
      </c>
      <c r="E2179" t="s">
        <v>32</v>
      </c>
      <c r="F2179" t="s">
        <v>36</v>
      </c>
      <c r="G2179" s="118">
        <v>0.50936342592592598</v>
      </c>
      <c r="H2179" s="118">
        <v>3.4722222222222224E-4</v>
      </c>
      <c r="I2179" s="118">
        <v>1.0995370370370371E-3</v>
      </c>
      <c r="J2179" s="118">
        <v>7.0717592592592594E-3</v>
      </c>
      <c r="K2179" s="118">
        <v>7.0717592592592594E-3</v>
      </c>
    </row>
    <row r="2180" spans="1:11" x14ac:dyDescent="0.25">
      <c r="A2180">
        <v>3</v>
      </c>
      <c r="B2180">
        <v>8</v>
      </c>
      <c r="C2180"/>
      <c r="D2180" t="s">
        <v>31</v>
      </c>
      <c r="E2180" t="s">
        <v>32</v>
      </c>
      <c r="F2180" t="s">
        <v>42</v>
      </c>
      <c r="G2180" s="118">
        <v>0.5093981481481481</v>
      </c>
      <c r="H2180" s="118">
        <v>3.4722222222222224E-4</v>
      </c>
      <c r="I2180" s="118">
        <v>9.1435185185185185E-4</v>
      </c>
      <c r="J2180" s="118">
        <v>7.0717592592592594E-3</v>
      </c>
      <c r="K2180" s="118">
        <v>7.0717592592592594E-3</v>
      </c>
    </row>
    <row r="2181" spans="1:11" x14ac:dyDescent="0.25">
      <c r="A2181">
        <v>1</v>
      </c>
      <c r="B2181">
        <v>8</v>
      </c>
      <c r="C2181"/>
      <c r="D2181" t="s">
        <v>31</v>
      </c>
      <c r="E2181" t="s">
        <v>35</v>
      </c>
      <c r="F2181" t="s">
        <v>57</v>
      </c>
      <c r="G2181" s="118">
        <v>0.5095601851851852</v>
      </c>
      <c r="H2181" s="118">
        <v>1.0532407407407407E-3</v>
      </c>
      <c r="I2181" s="118">
        <v>3.4722222222222224E-4</v>
      </c>
      <c r="J2181"/>
      <c r="K2181"/>
    </row>
    <row r="2182" spans="1:11" x14ac:dyDescent="0.25">
      <c r="A2182">
        <v>5</v>
      </c>
      <c r="B2182">
        <v>9</v>
      </c>
      <c r="C2182"/>
      <c r="D2182" t="s">
        <v>31</v>
      </c>
      <c r="E2182" t="s">
        <v>35</v>
      </c>
      <c r="F2182" t="s">
        <v>58</v>
      </c>
      <c r="G2182" s="118">
        <v>0.5096180555555555</v>
      </c>
      <c r="H2182" s="118">
        <v>4.3981481481481481E-4</v>
      </c>
      <c r="I2182" s="118">
        <v>5.7870370370370366E-5</v>
      </c>
      <c r="J2182"/>
      <c r="K2182"/>
    </row>
    <row r="2183" spans="1:11" x14ac:dyDescent="0.25">
      <c r="A2183">
        <v>5</v>
      </c>
      <c r="B2183">
        <v>9</v>
      </c>
      <c r="C2183"/>
      <c r="D2183" t="s">
        <v>31</v>
      </c>
      <c r="E2183" t="s">
        <v>32</v>
      </c>
      <c r="F2183" t="s">
        <v>58</v>
      </c>
      <c r="G2183" s="118">
        <v>0.50967592592592592</v>
      </c>
      <c r="H2183" s="118">
        <v>5.7870370370370366E-5</v>
      </c>
      <c r="I2183" s="118">
        <v>4.8611111111111104E-4</v>
      </c>
      <c r="J2183" s="118">
        <v>7.0717592592592594E-3</v>
      </c>
      <c r="K2183" s="118">
        <v>7.0717592592592594E-3</v>
      </c>
    </row>
    <row r="2184" spans="1:11" x14ac:dyDescent="0.25">
      <c r="A2184">
        <v>2</v>
      </c>
      <c r="B2184">
        <v>9</v>
      </c>
      <c r="C2184"/>
      <c r="D2184" t="s">
        <v>31</v>
      </c>
      <c r="E2184" t="s">
        <v>35</v>
      </c>
      <c r="F2184" t="s">
        <v>53</v>
      </c>
      <c r="G2184" s="118">
        <v>0.50980324074074079</v>
      </c>
      <c r="H2184" s="118">
        <v>8.7962962962962962E-4</v>
      </c>
      <c r="I2184" s="118">
        <v>3.4722222222222224E-4</v>
      </c>
      <c r="J2184"/>
      <c r="K2184"/>
    </row>
    <row r="2185" spans="1:11" x14ac:dyDescent="0.25">
      <c r="A2185">
        <v>1</v>
      </c>
      <c r="B2185">
        <v>8</v>
      </c>
      <c r="C2185"/>
      <c r="D2185" t="s">
        <v>31</v>
      </c>
      <c r="E2185" t="s">
        <v>32</v>
      </c>
      <c r="F2185" t="s">
        <v>57</v>
      </c>
      <c r="G2185" s="118">
        <v>0.50990740740740736</v>
      </c>
      <c r="H2185" s="118">
        <v>3.4722222222222224E-4</v>
      </c>
      <c r="I2185" s="118">
        <v>9.3750000000000007E-4</v>
      </c>
      <c r="J2185" s="118">
        <v>7.0717592592592594E-3</v>
      </c>
      <c r="K2185" s="118">
        <v>7.0717592592592594E-3</v>
      </c>
    </row>
    <row r="2186" spans="1:11" x14ac:dyDescent="0.25">
      <c r="A2186">
        <v>2</v>
      </c>
      <c r="B2186">
        <v>9</v>
      </c>
      <c r="C2186"/>
      <c r="D2186" t="s">
        <v>31</v>
      </c>
      <c r="E2186" t="s">
        <v>32</v>
      </c>
      <c r="F2186" t="s">
        <v>53</v>
      </c>
      <c r="G2186" s="118">
        <v>0.51015046296296296</v>
      </c>
      <c r="H2186" s="118">
        <v>3.4722222222222224E-4</v>
      </c>
      <c r="I2186" s="118">
        <v>8.449074074074075E-4</v>
      </c>
      <c r="J2186" s="118">
        <v>7.0717592592592594E-3</v>
      </c>
      <c r="K2186" s="118">
        <v>7.0717592592592594E-3</v>
      </c>
    </row>
    <row r="2187" spans="1:11" x14ac:dyDescent="0.25">
      <c r="A2187">
        <v>5</v>
      </c>
      <c r="B2187">
        <v>9</v>
      </c>
      <c r="C2187"/>
      <c r="D2187" t="s">
        <v>31</v>
      </c>
      <c r="E2187" t="s">
        <v>35</v>
      </c>
      <c r="F2187" t="s">
        <v>40</v>
      </c>
      <c r="G2187" s="118">
        <v>0.51016203703703711</v>
      </c>
      <c r="H2187" s="118">
        <v>4.8611111111111104E-4</v>
      </c>
      <c r="I2187" s="118">
        <v>4.6296296296296293E-4</v>
      </c>
      <c r="J2187"/>
      <c r="K2187"/>
    </row>
    <row r="2188" spans="1:11" x14ac:dyDescent="0.25">
      <c r="A2188">
        <v>3</v>
      </c>
      <c r="B2188">
        <v>8</v>
      </c>
      <c r="C2188"/>
      <c r="D2188" t="s">
        <v>31</v>
      </c>
      <c r="E2188" t="s">
        <v>35</v>
      </c>
      <c r="F2188" t="s">
        <v>48</v>
      </c>
      <c r="G2188" s="118">
        <v>0.51031250000000006</v>
      </c>
      <c r="H2188" s="118">
        <v>9.1435185185185185E-4</v>
      </c>
      <c r="I2188" s="118">
        <v>5.2083333333333333E-4</v>
      </c>
      <c r="J2188"/>
      <c r="K2188"/>
    </row>
    <row r="2189" spans="1:11" x14ac:dyDescent="0.25">
      <c r="A2189">
        <v>4</v>
      </c>
      <c r="B2189">
        <v>8</v>
      </c>
      <c r="C2189"/>
      <c r="D2189" t="s">
        <v>31</v>
      </c>
      <c r="E2189" t="s">
        <v>35</v>
      </c>
      <c r="F2189" t="s">
        <v>43</v>
      </c>
      <c r="G2189" s="118">
        <v>0.51046296296296301</v>
      </c>
      <c r="H2189" s="118">
        <v>1.0995370370370371E-3</v>
      </c>
      <c r="I2189" s="118">
        <v>3.4722222222222224E-4</v>
      </c>
      <c r="J2189"/>
      <c r="K2189"/>
    </row>
    <row r="2190" spans="1:11" x14ac:dyDescent="0.25">
      <c r="A2190">
        <v>5</v>
      </c>
      <c r="B2190">
        <v>9</v>
      </c>
      <c r="C2190"/>
      <c r="D2190" t="s">
        <v>31</v>
      </c>
      <c r="E2190" t="s">
        <v>32</v>
      </c>
      <c r="F2190" t="s">
        <v>40</v>
      </c>
      <c r="G2190" s="118">
        <v>0.510625</v>
      </c>
      <c r="H2190" s="118">
        <v>4.6296296296296293E-4</v>
      </c>
      <c r="I2190" s="118">
        <v>1.0069444444444444E-3</v>
      </c>
      <c r="J2190" s="118">
        <v>7.0717592592592594E-3</v>
      </c>
      <c r="K2190" s="118">
        <v>7.0717592592592594E-3</v>
      </c>
    </row>
    <row r="2191" spans="1:11" x14ac:dyDescent="0.25">
      <c r="A2191">
        <v>4</v>
      </c>
      <c r="B2191">
        <v>8</v>
      </c>
      <c r="C2191"/>
      <c r="D2191" t="s">
        <v>31</v>
      </c>
      <c r="E2191" t="s">
        <v>32</v>
      </c>
      <c r="F2191" t="s">
        <v>43</v>
      </c>
      <c r="G2191" s="118">
        <v>0.51081018518518517</v>
      </c>
      <c r="H2191" s="118">
        <v>3.4722222222222224E-4</v>
      </c>
      <c r="I2191" s="118">
        <v>1.1458333333333333E-3</v>
      </c>
      <c r="J2191" s="118">
        <v>7.0717592592592594E-3</v>
      </c>
      <c r="K2191" s="118">
        <v>7.0717592592592594E-3</v>
      </c>
    </row>
    <row r="2192" spans="1:11" x14ac:dyDescent="0.25">
      <c r="A2192">
        <v>3</v>
      </c>
      <c r="B2192">
        <v>8</v>
      </c>
      <c r="C2192"/>
      <c r="D2192" t="s">
        <v>31</v>
      </c>
      <c r="E2192" t="s">
        <v>32</v>
      </c>
      <c r="F2192" t="s">
        <v>48</v>
      </c>
      <c r="G2192" s="118">
        <v>0.51083333333333336</v>
      </c>
      <c r="H2192" s="118">
        <v>5.2083333333333333E-4</v>
      </c>
      <c r="I2192" s="118">
        <v>8.6805555555555551E-4</v>
      </c>
      <c r="J2192" s="118">
        <v>7.0717592592592594E-3</v>
      </c>
      <c r="K2192" s="118">
        <v>7.0717592592592594E-3</v>
      </c>
    </row>
    <row r="2193" spans="1:11" x14ac:dyDescent="0.25">
      <c r="A2193">
        <v>1</v>
      </c>
      <c r="B2193">
        <v>8</v>
      </c>
      <c r="C2193"/>
      <c r="D2193" t="s">
        <v>31</v>
      </c>
      <c r="E2193" t="s">
        <v>35</v>
      </c>
      <c r="F2193" t="s">
        <v>39</v>
      </c>
      <c r="G2193" s="118">
        <v>0.5108449074074074</v>
      </c>
      <c r="H2193" s="118">
        <v>9.3750000000000007E-4</v>
      </c>
      <c r="I2193" s="118">
        <v>5.2083333333333333E-4</v>
      </c>
      <c r="J2193"/>
      <c r="K2193"/>
    </row>
    <row r="2194" spans="1:11" x14ac:dyDescent="0.25">
      <c r="A2194">
        <v>2</v>
      </c>
      <c r="B2194">
        <v>9</v>
      </c>
      <c r="C2194"/>
      <c r="D2194" t="s">
        <v>31</v>
      </c>
      <c r="E2194" t="s">
        <v>35</v>
      </c>
      <c r="F2194" t="s">
        <v>34</v>
      </c>
      <c r="G2194" s="118">
        <v>0.51099537037037035</v>
      </c>
      <c r="H2194" s="118">
        <v>8.449074074074075E-4</v>
      </c>
      <c r="I2194" s="118">
        <v>3.4722222222222224E-4</v>
      </c>
      <c r="J2194"/>
      <c r="K2194"/>
    </row>
    <row r="2195" spans="1:11" x14ac:dyDescent="0.25">
      <c r="A2195">
        <v>2</v>
      </c>
      <c r="B2195">
        <v>9</v>
      </c>
      <c r="C2195"/>
      <c r="D2195" t="s">
        <v>31</v>
      </c>
      <c r="E2195" t="s">
        <v>32</v>
      </c>
      <c r="F2195" t="s">
        <v>34</v>
      </c>
      <c r="G2195" s="118">
        <v>0.51134259259259263</v>
      </c>
      <c r="H2195" s="118">
        <v>3.4722222222222224E-4</v>
      </c>
      <c r="I2195" s="118">
        <v>9.1435185185185185E-4</v>
      </c>
      <c r="J2195" s="118">
        <v>7.0717592592592594E-3</v>
      </c>
      <c r="K2195" s="118">
        <v>7.0717592592592594E-3</v>
      </c>
    </row>
    <row r="2196" spans="1:11" x14ac:dyDescent="0.25">
      <c r="A2196">
        <v>1</v>
      </c>
      <c r="B2196">
        <v>8</v>
      </c>
      <c r="C2196"/>
      <c r="D2196" t="s">
        <v>31</v>
      </c>
      <c r="E2196" t="s">
        <v>32</v>
      </c>
      <c r="F2196" t="s">
        <v>39</v>
      </c>
      <c r="G2196" s="118">
        <v>0.5113657407407407</v>
      </c>
      <c r="H2196" s="118">
        <v>5.2083333333333333E-4</v>
      </c>
      <c r="I2196" s="118">
        <v>1.8055555555555557E-3</v>
      </c>
      <c r="J2196" s="118">
        <v>7.0717592592592594E-3</v>
      </c>
      <c r="K2196" s="118">
        <v>7.0717592592592594E-3</v>
      </c>
    </row>
    <row r="2197" spans="1:11" x14ac:dyDescent="0.25">
      <c r="A2197">
        <v>5</v>
      </c>
      <c r="B2197">
        <v>9</v>
      </c>
      <c r="C2197"/>
      <c r="D2197" t="s">
        <v>31</v>
      </c>
      <c r="E2197" t="s">
        <v>35</v>
      </c>
      <c r="F2197" t="s">
        <v>44</v>
      </c>
      <c r="G2197" s="118">
        <v>0.51163194444444449</v>
      </c>
      <c r="H2197" s="118">
        <v>1.0069444444444444E-3</v>
      </c>
      <c r="I2197" s="118">
        <v>3.4722222222222224E-4</v>
      </c>
      <c r="J2197"/>
      <c r="K2197"/>
    </row>
    <row r="2198" spans="1:11" x14ac:dyDescent="0.25">
      <c r="A2198">
        <v>3</v>
      </c>
      <c r="B2198">
        <v>8</v>
      </c>
      <c r="C2198"/>
      <c r="D2198" t="s">
        <v>31</v>
      </c>
      <c r="E2198" t="s">
        <v>35</v>
      </c>
      <c r="F2198" t="s">
        <v>54</v>
      </c>
      <c r="G2198" s="118">
        <v>0.51170138888888894</v>
      </c>
      <c r="H2198" s="118">
        <v>8.6805555555555551E-4</v>
      </c>
      <c r="I2198" s="118">
        <v>3.4722222222222224E-4</v>
      </c>
      <c r="J2198"/>
      <c r="K2198"/>
    </row>
    <row r="2199" spans="1:11" x14ac:dyDescent="0.25">
      <c r="A2199">
        <v>4</v>
      </c>
      <c r="B2199">
        <v>8</v>
      </c>
      <c r="C2199"/>
      <c r="D2199" t="s">
        <v>31</v>
      </c>
      <c r="E2199" t="s">
        <v>35</v>
      </c>
      <c r="F2199" t="s">
        <v>50</v>
      </c>
      <c r="G2199" s="118">
        <v>0.51195601851851846</v>
      </c>
      <c r="H2199" s="118">
        <v>1.1458333333333333E-3</v>
      </c>
      <c r="I2199" s="118">
        <v>3.4722222222222224E-4</v>
      </c>
      <c r="J2199"/>
      <c r="K2199"/>
    </row>
    <row r="2200" spans="1:11" x14ac:dyDescent="0.25">
      <c r="A2200">
        <v>5</v>
      </c>
      <c r="B2200">
        <v>9</v>
      </c>
      <c r="C2200"/>
      <c r="D2200" t="s">
        <v>31</v>
      </c>
      <c r="E2200" t="s">
        <v>32</v>
      </c>
      <c r="F2200" t="s">
        <v>44</v>
      </c>
      <c r="G2200" s="118">
        <v>0.51197916666666665</v>
      </c>
      <c r="H2200" s="118">
        <v>3.4722222222222224E-4</v>
      </c>
      <c r="I2200" s="118">
        <v>9.2592592592592585E-4</v>
      </c>
      <c r="J2200" s="118">
        <v>7.0717592592592594E-3</v>
      </c>
      <c r="K2200" s="118">
        <v>7.0717592592592594E-3</v>
      </c>
    </row>
    <row r="2201" spans="1:11" x14ac:dyDescent="0.25">
      <c r="A2201">
        <v>3</v>
      </c>
      <c r="B2201">
        <v>8</v>
      </c>
      <c r="C2201"/>
      <c r="D2201" t="s">
        <v>31</v>
      </c>
      <c r="E2201" t="s">
        <v>32</v>
      </c>
      <c r="F2201" t="s">
        <v>54</v>
      </c>
      <c r="G2201" s="118">
        <v>0.51204861111111111</v>
      </c>
      <c r="H2201" s="118">
        <v>3.4722222222222224E-4</v>
      </c>
      <c r="I2201" s="118">
        <v>6.9444444444444447E-4</v>
      </c>
      <c r="J2201" s="118">
        <v>7.0717592592592594E-3</v>
      </c>
      <c r="K2201" s="118">
        <v>7.0717592592592594E-3</v>
      </c>
    </row>
    <row r="2202" spans="1:11" x14ac:dyDescent="0.25">
      <c r="A2202">
        <v>2</v>
      </c>
      <c r="B2202">
        <v>9</v>
      </c>
      <c r="C2202"/>
      <c r="D2202" t="s">
        <v>31</v>
      </c>
      <c r="E2202" t="s">
        <v>35</v>
      </c>
      <c r="F2202" t="s">
        <v>38</v>
      </c>
      <c r="G2202" s="118">
        <v>0.51225694444444447</v>
      </c>
      <c r="H2202" s="118">
        <v>9.1435185185185185E-4</v>
      </c>
      <c r="I2202" s="118">
        <v>3.4722222222222224E-4</v>
      </c>
      <c r="J2202"/>
      <c r="K2202"/>
    </row>
    <row r="2203" spans="1:11" x14ac:dyDescent="0.25">
      <c r="A2203">
        <v>4</v>
      </c>
      <c r="B2203">
        <v>8</v>
      </c>
      <c r="C2203"/>
      <c r="D2203" t="s">
        <v>31</v>
      </c>
      <c r="E2203" t="s">
        <v>32</v>
      </c>
      <c r="F2203" t="s">
        <v>50</v>
      </c>
      <c r="G2203" s="118">
        <v>0.51230324074074074</v>
      </c>
      <c r="H2203" s="118">
        <v>3.4722222222222224E-4</v>
      </c>
      <c r="I2203" s="118">
        <v>1.261574074074074E-3</v>
      </c>
      <c r="J2203" s="118">
        <v>7.0717592592592594E-3</v>
      </c>
      <c r="K2203" s="118">
        <v>7.0717592592592594E-3</v>
      </c>
    </row>
    <row r="2204" spans="1:11" x14ac:dyDescent="0.25">
      <c r="A2204">
        <v>2</v>
      </c>
      <c r="B2204">
        <v>9</v>
      </c>
      <c r="C2204"/>
      <c r="D2204" t="s">
        <v>31</v>
      </c>
      <c r="E2204" t="s">
        <v>32</v>
      </c>
      <c r="F2204" t="s">
        <v>38</v>
      </c>
      <c r="G2204" s="118">
        <v>0.51260416666666664</v>
      </c>
      <c r="H2204" s="118">
        <v>3.4722222222222224E-4</v>
      </c>
      <c r="I2204" s="118">
        <v>1.2384259259259258E-3</v>
      </c>
      <c r="J2204" s="118">
        <v>7.0717592592592594E-3</v>
      </c>
      <c r="K2204" s="118">
        <v>7.0717592592592594E-3</v>
      </c>
    </row>
    <row r="2205" spans="1:11" x14ac:dyDescent="0.25">
      <c r="A2205">
        <v>3</v>
      </c>
      <c r="B2205">
        <v>8</v>
      </c>
      <c r="C2205"/>
      <c r="D2205" t="s">
        <v>31</v>
      </c>
      <c r="E2205" t="s">
        <v>35</v>
      </c>
      <c r="F2205" t="s">
        <v>92</v>
      </c>
      <c r="G2205" s="118">
        <v>0.51274305555555555</v>
      </c>
      <c r="H2205" s="118">
        <v>6.9444444444444447E-4</v>
      </c>
      <c r="I2205" s="118">
        <v>5.2083333333333333E-4</v>
      </c>
      <c r="J2205"/>
      <c r="K2205"/>
    </row>
    <row r="2206" spans="1:11" x14ac:dyDescent="0.25">
      <c r="A2206">
        <v>5</v>
      </c>
      <c r="B2206">
        <v>9</v>
      </c>
      <c r="C2206"/>
      <c r="D2206" t="s">
        <v>31</v>
      </c>
      <c r="E2206" t="s">
        <v>35</v>
      </c>
      <c r="F2206" t="s">
        <v>49</v>
      </c>
      <c r="G2206" s="118">
        <v>0.51290509259259254</v>
      </c>
      <c r="H2206" s="118">
        <v>9.2592592592592585E-4</v>
      </c>
      <c r="I2206" s="118">
        <v>3.4722222222222224E-4</v>
      </c>
      <c r="J2206"/>
      <c r="K2206"/>
    </row>
    <row r="2207" spans="1:11" x14ac:dyDescent="0.25">
      <c r="A2207">
        <v>1</v>
      </c>
      <c r="B2207">
        <v>8</v>
      </c>
      <c r="C2207"/>
      <c r="D2207" t="s">
        <v>31</v>
      </c>
      <c r="E2207" t="s">
        <v>35</v>
      </c>
      <c r="F2207" t="s">
        <v>46</v>
      </c>
      <c r="G2207" s="118">
        <v>0.51317129629629632</v>
      </c>
      <c r="H2207" s="118">
        <v>1.8055555555555557E-3</v>
      </c>
      <c r="I2207" s="118">
        <v>3.4722222222222224E-4</v>
      </c>
      <c r="J2207"/>
      <c r="K2207"/>
    </row>
    <row r="2208" spans="1:11" x14ac:dyDescent="0.25">
      <c r="A2208">
        <v>5</v>
      </c>
      <c r="B2208">
        <v>9</v>
      </c>
      <c r="C2208"/>
      <c r="D2208" t="s">
        <v>31</v>
      </c>
      <c r="E2208" t="s">
        <v>32</v>
      </c>
      <c r="F2208" t="s">
        <v>49</v>
      </c>
      <c r="G2208" s="118">
        <v>0.51325231481481481</v>
      </c>
      <c r="H2208" s="118">
        <v>3.4722222222222224E-4</v>
      </c>
      <c r="I2208" s="118">
        <v>1.3541666666666667E-3</v>
      </c>
      <c r="J2208" s="118">
        <v>7.0717592592592594E-3</v>
      </c>
      <c r="K2208" s="118">
        <v>7.0717592592592594E-3</v>
      </c>
    </row>
    <row r="2209" spans="1:11" x14ac:dyDescent="0.25">
      <c r="A2209">
        <v>3</v>
      </c>
      <c r="B2209">
        <v>9</v>
      </c>
      <c r="C2209"/>
      <c r="D2209" t="s">
        <v>31</v>
      </c>
      <c r="E2209" t="s">
        <v>32</v>
      </c>
      <c r="F2209" t="s">
        <v>92</v>
      </c>
      <c r="G2209" s="118">
        <v>0.51326388888888885</v>
      </c>
      <c r="H2209" s="118">
        <v>5.2083333333333333E-4</v>
      </c>
      <c r="I2209" s="118">
        <v>1.0069444444444444E-3</v>
      </c>
      <c r="J2209" s="118">
        <v>7.0717592592592594E-3</v>
      </c>
      <c r="K2209" s="118">
        <v>7.0717592592592594E-3</v>
      </c>
    </row>
    <row r="2210" spans="1:11" x14ac:dyDescent="0.25">
      <c r="A2210">
        <v>1</v>
      </c>
      <c r="B2210">
        <v>8</v>
      </c>
      <c r="C2210"/>
      <c r="D2210" t="s">
        <v>31</v>
      </c>
      <c r="E2210" t="s">
        <v>32</v>
      </c>
      <c r="F2210" t="s">
        <v>46</v>
      </c>
      <c r="G2210" s="118">
        <v>0.51351851851851849</v>
      </c>
      <c r="H2210" s="118">
        <v>3.4722222222222224E-4</v>
      </c>
      <c r="I2210" s="118">
        <v>9.1435185185185185E-4</v>
      </c>
      <c r="J2210" s="118">
        <v>7.0717592592592594E-3</v>
      </c>
      <c r="K2210" s="118">
        <v>7.0717592592592594E-3</v>
      </c>
    </row>
    <row r="2211" spans="1:11" x14ac:dyDescent="0.25">
      <c r="A2211">
        <v>4</v>
      </c>
      <c r="B2211">
        <v>8</v>
      </c>
      <c r="C2211"/>
      <c r="D2211" t="s">
        <v>31</v>
      </c>
      <c r="E2211" t="s">
        <v>35</v>
      </c>
      <c r="F2211" t="s">
        <v>56</v>
      </c>
      <c r="G2211" s="118">
        <v>0.51356481481481475</v>
      </c>
      <c r="H2211" s="118">
        <v>1.261574074074074E-3</v>
      </c>
      <c r="I2211" s="118">
        <v>3.4722222222222224E-4</v>
      </c>
      <c r="J2211"/>
      <c r="K2211"/>
    </row>
    <row r="2212" spans="1:11" x14ac:dyDescent="0.25">
      <c r="A2212">
        <v>2</v>
      </c>
      <c r="B2212">
        <v>9</v>
      </c>
      <c r="C2212"/>
      <c r="D2212" t="s">
        <v>31</v>
      </c>
      <c r="E2212" t="s">
        <v>35</v>
      </c>
      <c r="F2212" t="s">
        <v>45</v>
      </c>
      <c r="G2212" s="118">
        <v>0.51384259259259257</v>
      </c>
      <c r="H2212" s="118">
        <v>1.2384259259259258E-3</v>
      </c>
      <c r="I2212" s="118">
        <v>3.4722222222222224E-4</v>
      </c>
      <c r="J2212"/>
      <c r="K2212"/>
    </row>
    <row r="2213" spans="1:11" x14ac:dyDescent="0.25">
      <c r="A2213">
        <v>4</v>
      </c>
      <c r="B2213">
        <v>8</v>
      </c>
      <c r="C2213"/>
      <c r="D2213" t="s">
        <v>31</v>
      </c>
      <c r="E2213" t="s">
        <v>32</v>
      </c>
      <c r="F2213" t="s">
        <v>56</v>
      </c>
      <c r="G2213" s="118">
        <v>0.51391203703703703</v>
      </c>
      <c r="H2213" s="118">
        <v>3.4722222222222224E-4</v>
      </c>
      <c r="I2213" s="118">
        <v>9.6064814814814808E-4</v>
      </c>
      <c r="J2213" s="118">
        <v>7.0717592592592594E-3</v>
      </c>
      <c r="K2213" s="118">
        <v>7.0717592592592594E-3</v>
      </c>
    </row>
    <row r="2214" spans="1:11" x14ac:dyDescent="0.25">
      <c r="A2214">
        <v>2</v>
      </c>
      <c r="B2214">
        <v>9</v>
      </c>
      <c r="C2214"/>
      <c r="D2214" t="s">
        <v>31</v>
      </c>
      <c r="E2214" t="s">
        <v>32</v>
      </c>
      <c r="F2214" t="s">
        <v>45</v>
      </c>
      <c r="G2214" s="118">
        <v>0.51418981481481485</v>
      </c>
      <c r="H2214" s="118">
        <v>3.4722222222222224E-4</v>
      </c>
      <c r="I2214" s="118">
        <v>1.0416666666666667E-3</v>
      </c>
      <c r="J2214" s="118">
        <v>7.0717592592592594E-3</v>
      </c>
      <c r="K2214" s="118">
        <v>7.0717592592592594E-3</v>
      </c>
    </row>
    <row r="2215" spans="1:11" x14ac:dyDescent="0.25">
      <c r="A2215">
        <v>3</v>
      </c>
      <c r="B2215">
        <v>9</v>
      </c>
      <c r="C2215"/>
      <c r="D2215" t="s">
        <v>31</v>
      </c>
      <c r="E2215" t="s">
        <v>35</v>
      </c>
      <c r="F2215" t="s">
        <v>41</v>
      </c>
      <c r="G2215" s="118">
        <v>0.51427083333333334</v>
      </c>
      <c r="H2215" s="118">
        <v>1.0069444444444444E-3</v>
      </c>
      <c r="I2215" s="118">
        <v>3.4722222222222224E-4</v>
      </c>
      <c r="J2215"/>
      <c r="K2215"/>
    </row>
    <row r="2216" spans="1:11" x14ac:dyDescent="0.25">
      <c r="A2216">
        <v>1</v>
      </c>
      <c r="B2216">
        <v>8</v>
      </c>
      <c r="C2216"/>
      <c r="D2216" t="s">
        <v>31</v>
      </c>
      <c r="E2216" t="s">
        <v>35</v>
      </c>
      <c r="F2216" t="s">
        <v>51</v>
      </c>
      <c r="G2216" s="118">
        <v>0.51443287037037033</v>
      </c>
      <c r="H2216" s="118">
        <v>9.1435185185185185E-4</v>
      </c>
      <c r="I2216" s="118">
        <v>3.4722222222222224E-4</v>
      </c>
      <c r="J2216"/>
      <c r="K2216"/>
    </row>
    <row r="2217" spans="1:11" x14ac:dyDescent="0.25">
      <c r="A2217">
        <v>5</v>
      </c>
      <c r="B2217">
        <v>9</v>
      </c>
      <c r="C2217"/>
      <c r="D2217" t="s">
        <v>31</v>
      </c>
      <c r="E2217" t="s">
        <v>35</v>
      </c>
      <c r="F2217" t="s">
        <v>33</v>
      </c>
      <c r="G2217" s="118">
        <v>0.51460648148148147</v>
      </c>
      <c r="H2217" s="118">
        <v>1.3541666666666667E-3</v>
      </c>
      <c r="I2217" s="118">
        <v>5.2083333333333333E-4</v>
      </c>
      <c r="J2217"/>
      <c r="K2217"/>
    </row>
    <row r="2218" spans="1:11" x14ac:dyDescent="0.25">
      <c r="A2218">
        <v>3</v>
      </c>
      <c r="B2218">
        <v>9</v>
      </c>
      <c r="C2218"/>
      <c r="D2218" t="s">
        <v>31</v>
      </c>
      <c r="E2218" t="s">
        <v>32</v>
      </c>
      <c r="F2218" t="s">
        <v>41</v>
      </c>
      <c r="G2218" s="118">
        <v>0.51461805555555562</v>
      </c>
      <c r="H2218" s="118">
        <v>3.4722222222222224E-4</v>
      </c>
      <c r="I2218" s="118">
        <v>8.564814814814815E-4</v>
      </c>
      <c r="J2218" s="118">
        <v>7.0717592592592594E-3</v>
      </c>
      <c r="K2218" s="118">
        <v>7.0717592592592594E-3</v>
      </c>
    </row>
    <row r="2219" spans="1:11" x14ac:dyDescent="0.25">
      <c r="A2219">
        <v>1</v>
      </c>
      <c r="B2219">
        <v>8</v>
      </c>
      <c r="C2219"/>
      <c r="D2219" t="s">
        <v>31</v>
      </c>
      <c r="E2219" t="s">
        <v>32</v>
      </c>
      <c r="F2219" t="s">
        <v>51</v>
      </c>
      <c r="G2219" s="118">
        <v>0.51478009259259261</v>
      </c>
      <c r="H2219" s="118">
        <v>3.4722222222222224E-4</v>
      </c>
      <c r="I2219" s="118">
        <v>1.0069444444444444E-3</v>
      </c>
      <c r="J2219" s="118">
        <v>7.0717592592592594E-3</v>
      </c>
      <c r="K2219" s="118">
        <v>7.0717592592592594E-3</v>
      </c>
    </row>
    <row r="2220" spans="1:11" x14ac:dyDescent="0.25">
      <c r="A2220">
        <v>4</v>
      </c>
      <c r="B2220">
        <v>8</v>
      </c>
      <c r="C2220"/>
      <c r="D2220" t="s">
        <v>31</v>
      </c>
      <c r="E2220" t="s">
        <v>35</v>
      </c>
      <c r="F2220" t="s">
        <v>37</v>
      </c>
      <c r="G2220" s="118">
        <v>0.51487268518518514</v>
      </c>
      <c r="H2220" s="118">
        <v>9.6064814814814808E-4</v>
      </c>
      <c r="I2220" s="118">
        <v>3.4722222222222224E-4</v>
      </c>
      <c r="J2220"/>
      <c r="K2220"/>
    </row>
    <row r="2221" spans="1:11" x14ac:dyDescent="0.25">
      <c r="A2221">
        <v>5</v>
      </c>
      <c r="B2221">
        <v>9</v>
      </c>
      <c r="C2221"/>
      <c r="D2221" t="s">
        <v>31</v>
      </c>
      <c r="E2221" t="s">
        <v>32</v>
      </c>
      <c r="F2221" t="s">
        <v>33</v>
      </c>
      <c r="G2221" s="118">
        <v>0.51512731481481489</v>
      </c>
      <c r="H2221" s="118">
        <v>5.2083333333333333E-4</v>
      </c>
      <c r="I2221" s="118">
        <v>9.6064814814814808E-4</v>
      </c>
      <c r="J2221" s="118">
        <v>7.0717592592592594E-3</v>
      </c>
      <c r="K2221" s="118">
        <v>7.0717592592592594E-3</v>
      </c>
    </row>
    <row r="2222" spans="1:11" x14ac:dyDescent="0.25">
      <c r="A2222">
        <v>4</v>
      </c>
      <c r="B2222">
        <v>8</v>
      </c>
      <c r="C2222"/>
      <c r="D2222" t="s">
        <v>31</v>
      </c>
      <c r="E2222" t="s">
        <v>32</v>
      </c>
      <c r="F2222" t="s">
        <v>37</v>
      </c>
      <c r="G2222" s="118">
        <v>0.51521990740740742</v>
      </c>
      <c r="H2222" s="118">
        <v>3.4722222222222224E-4</v>
      </c>
      <c r="I2222" s="118">
        <v>9.0277777777777784E-4</v>
      </c>
      <c r="J2222" s="118">
        <v>7.0717592592592594E-3</v>
      </c>
      <c r="K2222" s="118">
        <v>7.0717592592592594E-3</v>
      </c>
    </row>
    <row r="2223" spans="1:11" x14ac:dyDescent="0.25">
      <c r="A2223">
        <v>2</v>
      </c>
      <c r="B2223">
        <v>9</v>
      </c>
      <c r="C2223"/>
      <c r="D2223" t="s">
        <v>31</v>
      </c>
      <c r="E2223" t="s">
        <v>35</v>
      </c>
      <c r="F2223" t="s">
        <v>52</v>
      </c>
      <c r="G2223" s="118">
        <v>0.51523148148148146</v>
      </c>
      <c r="H2223" s="118">
        <v>1.0416666666666667E-3</v>
      </c>
      <c r="I2223" s="118">
        <v>3.4722222222222224E-4</v>
      </c>
      <c r="J2223"/>
      <c r="K2223"/>
    </row>
    <row r="2224" spans="1:11" x14ac:dyDescent="0.25">
      <c r="A2224">
        <v>3</v>
      </c>
      <c r="B2224">
        <v>9</v>
      </c>
      <c r="C2224"/>
      <c r="D2224" t="s">
        <v>31</v>
      </c>
      <c r="E2224" t="s">
        <v>35</v>
      </c>
      <c r="F2224" t="s">
        <v>47</v>
      </c>
      <c r="G2224" s="118">
        <v>0.51547453703703705</v>
      </c>
      <c r="H2224" s="118">
        <v>8.564814814814815E-4</v>
      </c>
      <c r="I2224" s="118">
        <v>5.2083333333333333E-4</v>
      </c>
      <c r="J2224"/>
      <c r="K2224"/>
    </row>
    <row r="2225" spans="1:11" x14ac:dyDescent="0.25">
      <c r="A2225">
        <v>2</v>
      </c>
      <c r="B2225">
        <v>9</v>
      </c>
      <c r="C2225"/>
      <c r="D2225" t="s">
        <v>31</v>
      </c>
      <c r="E2225" t="s">
        <v>32</v>
      </c>
      <c r="F2225" t="s">
        <v>52</v>
      </c>
      <c r="G2225" s="118">
        <v>0.51557870370370373</v>
      </c>
      <c r="H2225" s="118">
        <v>3.4722222222222224E-4</v>
      </c>
      <c r="I2225" s="118">
        <v>1.0532407407407407E-3</v>
      </c>
      <c r="J2225" s="118">
        <v>7.0717592592592594E-3</v>
      </c>
      <c r="K2225" s="118">
        <v>7.0717592592592594E-3</v>
      </c>
    </row>
    <row r="2226" spans="1:11" x14ac:dyDescent="0.25">
      <c r="A2226">
        <v>1</v>
      </c>
      <c r="B2226">
        <v>8</v>
      </c>
      <c r="C2226"/>
      <c r="D2226" t="s">
        <v>31</v>
      </c>
      <c r="E2226" t="s">
        <v>35</v>
      </c>
      <c r="F2226" t="s">
        <v>55</v>
      </c>
      <c r="G2226" s="118">
        <v>0.5157870370370371</v>
      </c>
      <c r="H2226" s="118">
        <v>1.0069444444444444E-3</v>
      </c>
      <c r="I2226" s="118">
        <v>4.6296296296296293E-4</v>
      </c>
      <c r="J2226"/>
      <c r="K2226"/>
    </row>
    <row r="2227" spans="1:11" x14ac:dyDescent="0.25">
      <c r="A2227">
        <v>3</v>
      </c>
      <c r="B2227">
        <v>9</v>
      </c>
      <c r="C2227"/>
      <c r="D2227" t="s">
        <v>31</v>
      </c>
      <c r="E2227" t="s">
        <v>32</v>
      </c>
      <c r="F2227" t="s">
        <v>47</v>
      </c>
      <c r="G2227" s="118">
        <v>0.51599537037037035</v>
      </c>
      <c r="H2227" s="118">
        <v>5.2083333333333333E-4</v>
      </c>
      <c r="I2227" s="118">
        <v>8.7962962962962962E-4</v>
      </c>
      <c r="J2227" s="118">
        <v>7.0717592592592594E-3</v>
      </c>
      <c r="K2227" s="118">
        <v>7.0717592592592594E-3</v>
      </c>
    </row>
    <row r="2228" spans="1:11" x14ac:dyDescent="0.25">
      <c r="A2228">
        <v>5</v>
      </c>
      <c r="B2228">
        <v>9</v>
      </c>
      <c r="C2228"/>
      <c r="D2228" t="s">
        <v>31</v>
      </c>
      <c r="E2228" t="s">
        <v>35</v>
      </c>
      <c r="F2228" t="s">
        <v>36</v>
      </c>
      <c r="G2228" s="118">
        <v>0.516087962962963</v>
      </c>
      <c r="H2228" s="118">
        <v>9.6064814814814808E-4</v>
      </c>
      <c r="I2228" s="118">
        <v>3.4722222222222224E-4</v>
      </c>
      <c r="J2228"/>
      <c r="K2228"/>
    </row>
    <row r="2229" spans="1:11" x14ac:dyDescent="0.25">
      <c r="A2229">
        <v>4</v>
      </c>
      <c r="B2229">
        <v>8</v>
      </c>
      <c r="C2229"/>
      <c r="D2229" t="s">
        <v>31</v>
      </c>
      <c r="E2229" t="s">
        <v>35</v>
      </c>
      <c r="F2229" t="s">
        <v>42</v>
      </c>
      <c r="G2229" s="118">
        <v>0.51612268518518511</v>
      </c>
      <c r="H2229" s="118">
        <v>9.0277777777777784E-4</v>
      </c>
      <c r="I2229" s="118">
        <v>3.4722222222222224E-4</v>
      </c>
      <c r="J2229"/>
      <c r="K2229"/>
    </row>
    <row r="2230" spans="1:11" x14ac:dyDescent="0.25">
      <c r="A2230">
        <v>1</v>
      </c>
      <c r="B2230">
        <v>8</v>
      </c>
      <c r="C2230"/>
      <c r="D2230" t="s">
        <v>31</v>
      </c>
      <c r="E2230" t="s">
        <v>32</v>
      </c>
      <c r="F2230" t="s">
        <v>55</v>
      </c>
      <c r="G2230" s="118">
        <v>0.51624999999999999</v>
      </c>
      <c r="H2230" s="118">
        <v>4.6296296296296293E-4</v>
      </c>
      <c r="I2230" s="118">
        <v>4.3981481481481481E-4</v>
      </c>
      <c r="J2230" s="118">
        <v>7.0717592592592594E-3</v>
      </c>
      <c r="K2230" s="118">
        <v>7.0717592592592594E-3</v>
      </c>
    </row>
    <row r="2231" spans="1:11" x14ac:dyDescent="0.25">
      <c r="A2231">
        <v>5</v>
      </c>
      <c r="B2231">
        <v>9</v>
      </c>
      <c r="C2231"/>
      <c r="D2231" t="s">
        <v>31</v>
      </c>
      <c r="E2231" t="s">
        <v>32</v>
      </c>
      <c r="F2231" t="s">
        <v>36</v>
      </c>
      <c r="G2231" s="118">
        <v>0.51643518518518516</v>
      </c>
      <c r="H2231" s="118">
        <v>3.4722222222222224E-4</v>
      </c>
      <c r="I2231" s="118">
        <v>1.0995370370370371E-3</v>
      </c>
      <c r="J2231" s="118">
        <v>7.0717592592592594E-3</v>
      </c>
      <c r="K2231" s="118">
        <v>7.0717592592592594E-3</v>
      </c>
    </row>
    <row r="2232" spans="1:11" x14ac:dyDescent="0.25">
      <c r="A2232">
        <v>4</v>
      </c>
      <c r="B2232">
        <v>8</v>
      </c>
      <c r="C2232"/>
      <c r="D2232" t="s">
        <v>31</v>
      </c>
      <c r="E2232" t="s">
        <v>32</v>
      </c>
      <c r="F2232" t="s">
        <v>42</v>
      </c>
      <c r="G2232" s="118">
        <v>0.51646990740740739</v>
      </c>
      <c r="H2232" s="118">
        <v>3.4722222222222224E-4</v>
      </c>
      <c r="I2232" s="118">
        <v>9.1435185185185185E-4</v>
      </c>
      <c r="J2232" s="118">
        <v>7.0717592592592594E-3</v>
      </c>
      <c r="K2232" s="118">
        <v>7.0717592592592594E-3</v>
      </c>
    </row>
    <row r="2233" spans="1:11" x14ac:dyDescent="0.25">
      <c r="A2233">
        <v>2</v>
      </c>
      <c r="B2233">
        <v>9</v>
      </c>
      <c r="C2233"/>
      <c r="D2233" t="s">
        <v>31</v>
      </c>
      <c r="E2233" t="s">
        <v>35</v>
      </c>
      <c r="F2233" t="s">
        <v>57</v>
      </c>
      <c r="G2233" s="118">
        <v>0.51663194444444438</v>
      </c>
      <c r="H2233" s="118">
        <v>1.0532407407407407E-3</v>
      </c>
      <c r="I2233" s="118">
        <v>3.4722222222222224E-4</v>
      </c>
      <c r="J2233"/>
      <c r="K2233"/>
    </row>
    <row r="2234" spans="1:11" x14ac:dyDescent="0.25">
      <c r="A2234">
        <v>1</v>
      </c>
      <c r="B2234">
        <v>8</v>
      </c>
      <c r="C2234"/>
      <c r="D2234" t="s">
        <v>31</v>
      </c>
      <c r="E2234" t="s">
        <v>35</v>
      </c>
      <c r="F2234" t="s">
        <v>58</v>
      </c>
      <c r="G2234" s="118">
        <v>0.5166898148148148</v>
      </c>
      <c r="H2234" s="118">
        <v>4.3981481481481481E-4</v>
      </c>
      <c r="I2234" s="118">
        <v>5.7870370370370366E-5</v>
      </c>
      <c r="J2234"/>
      <c r="K2234"/>
    </row>
    <row r="2235" spans="1:11" x14ac:dyDescent="0.25">
      <c r="A2235">
        <v>1</v>
      </c>
      <c r="B2235">
        <v>8</v>
      </c>
      <c r="C2235"/>
      <c r="D2235" t="s">
        <v>31</v>
      </c>
      <c r="E2235" t="s">
        <v>32</v>
      </c>
      <c r="F2235" t="s">
        <v>58</v>
      </c>
      <c r="G2235" s="118">
        <v>0.51674768518518521</v>
      </c>
      <c r="H2235" s="118">
        <v>5.7870370370370366E-5</v>
      </c>
      <c r="I2235" s="118">
        <v>4.8611111111111104E-4</v>
      </c>
      <c r="J2235" s="118">
        <v>7.0717592592592594E-3</v>
      </c>
      <c r="K2235" s="118">
        <v>7.0717592592592594E-3</v>
      </c>
    </row>
    <row r="2236" spans="1:11" x14ac:dyDescent="0.25">
      <c r="A2236">
        <v>3</v>
      </c>
      <c r="B2236">
        <v>9</v>
      </c>
      <c r="C2236"/>
      <c r="D2236" t="s">
        <v>31</v>
      </c>
      <c r="E2236" t="s">
        <v>35</v>
      </c>
      <c r="F2236" t="s">
        <v>53</v>
      </c>
      <c r="G2236" s="118">
        <v>0.51687499999999997</v>
      </c>
      <c r="H2236" s="118">
        <v>8.7962962962962962E-4</v>
      </c>
      <c r="I2236" s="118">
        <v>3.4722222222222224E-4</v>
      </c>
      <c r="J2236"/>
      <c r="K2236"/>
    </row>
    <row r="2237" spans="1:11" x14ac:dyDescent="0.25">
      <c r="A2237">
        <v>2</v>
      </c>
      <c r="B2237">
        <v>9</v>
      </c>
      <c r="C2237"/>
      <c r="D2237" t="s">
        <v>31</v>
      </c>
      <c r="E2237" t="s">
        <v>32</v>
      </c>
      <c r="F2237" t="s">
        <v>57</v>
      </c>
      <c r="G2237" s="118">
        <v>0.51697916666666666</v>
      </c>
      <c r="H2237" s="118">
        <v>3.4722222222222224E-4</v>
      </c>
      <c r="I2237" s="118">
        <v>9.3750000000000007E-4</v>
      </c>
      <c r="J2237" s="118">
        <v>7.0717592592592594E-3</v>
      </c>
      <c r="K2237" s="118">
        <v>7.0717592592592594E-3</v>
      </c>
    </row>
    <row r="2238" spans="1:11" x14ac:dyDescent="0.25">
      <c r="A2238">
        <v>3</v>
      </c>
      <c r="B2238">
        <v>9</v>
      </c>
      <c r="C2238"/>
      <c r="D2238" t="s">
        <v>31</v>
      </c>
      <c r="E2238" t="s">
        <v>32</v>
      </c>
      <c r="F2238" t="s">
        <v>53</v>
      </c>
      <c r="G2238" s="118">
        <v>0.51722222222222225</v>
      </c>
      <c r="H2238" s="118">
        <v>3.4722222222222224E-4</v>
      </c>
      <c r="I2238" s="118">
        <v>8.449074074074075E-4</v>
      </c>
      <c r="J2238" s="118">
        <v>7.0717592592592594E-3</v>
      </c>
      <c r="K2238" s="118">
        <v>7.0717592592592594E-3</v>
      </c>
    </row>
    <row r="2239" spans="1:11" x14ac:dyDescent="0.25">
      <c r="A2239">
        <v>1</v>
      </c>
      <c r="B2239">
        <v>8</v>
      </c>
      <c r="C2239"/>
      <c r="D2239" t="s">
        <v>31</v>
      </c>
      <c r="E2239" t="s">
        <v>35</v>
      </c>
      <c r="F2239" t="s">
        <v>40</v>
      </c>
      <c r="G2239" s="118">
        <v>0.51723379629629629</v>
      </c>
      <c r="H2239" s="118">
        <v>4.8611111111111104E-4</v>
      </c>
      <c r="I2239" s="118">
        <v>4.6296296296296293E-4</v>
      </c>
      <c r="J2239"/>
      <c r="K2239"/>
    </row>
    <row r="2240" spans="1:11" x14ac:dyDescent="0.25">
      <c r="A2240">
        <v>4</v>
      </c>
      <c r="B2240">
        <v>8</v>
      </c>
      <c r="C2240"/>
      <c r="D2240" t="s">
        <v>31</v>
      </c>
      <c r="E2240" t="s">
        <v>35</v>
      </c>
      <c r="F2240" t="s">
        <v>48</v>
      </c>
      <c r="G2240" s="118">
        <v>0.51738425925925924</v>
      </c>
      <c r="H2240" s="118">
        <v>9.1435185185185185E-4</v>
      </c>
      <c r="I2240" s="118">
        <v>5.2083333333333333E-4</v>
      </c>
      <c r="J2240"/>
      <c r="K2240"/>
    </row>
    <row r="2241" spans="1:11" x14ac:dyDescent="0.25">
      <c r="A2241">
        <v>5</v>
      </c>
      <c r="B2241">
        <v>9</v>
      </c>
      <c r="C2241"/>
      <c r="D2241" t="s">
        <v>31</v>
      </c>
      <c r="E2241" t="s">
        <v>35</v>
      </c>
      <c r="F2241" t="s">
        <v>43</v>
      </c>
      <c r="G2241" s="118">
        <v>0.51753472222222219</v>
      </c>
      <c r="H2241" s="118">
        <v>1.0995370370370371E-3</v>
      </c>
      <c r="I2241" s="118">
        <v>3.4722222222222224E-4</v>
      </c>
      <c r="J2241"/>
      <c r="K2241"/>
    </row>
    <row r="2242" spans="1:11" x14ac:dyDescent="0.25">
      <c r="A2242">
        <v>1</v>
      </c>
      <c r="B2242">
        <v>8</v>
      </c>
      <c r="C2242"/>
      <c r="D2242" t="s">
        <v>31</v>
      </c>
      <c r="E2242" t="s">
        <v>32</v>
      </c>
      <c r="F2242" t="s">
        <v>40</v>
      </c>
      <c r="G2242" s="118">
        <v>0.51769675925925929</v>
      </c>
      <c r="H2242" s="118">
        <v>4.6296296296296293E-4</v>
      </c>
      <c r="I2242" s="118">
        <v>1.0069444444444444E-3</v>
      </c>
      <c r="J2242" s="118">
        <v>7.0717592592592594E-3</v>
      </c>
      <c r="K2242" s="118">
        <v>7.0717592592592594E-3</v>
      </c>
    </row>
    <row r="2243" spans="1:11" x14ac:dyDescent="0.25">
      <c r="A2243">
        <v>5</v>
      </c>
      <c r="B2243">
        <v>9</v>
      </c>
      <c r="C2243"/>
      <c r="D2243" t="s">
        <v>31</v>
      </c>
      <c r="E2243" t="s">
        <v>32</v>
      </c>
      <c r="F2243" t="s">
        <v>43</v>
      </c>
      <c r="G2243" s="118">
        <v>0.51788194444444446</v>
      </c>
      <c r="H2243" s="118">
        <v>3.4722222222222224E-4</v>
      </c>
      <c r="I2243" s="118">
        <v>1.1458333333333333E-3</v>
      </c>
      <c r="J2243" s="118">
        <v>7.0717592592592594E-3</v>
      </c>
      <c r="K2243" s="118">
        <v>7.0717592592592594E-3</v>
      </c>
    </row>
    <row r="2244" spans="1:11" x14ac:dyDescent="0.25">
      <c r="A2244">
        <v>4</v>
      </c>
      <c r="B2244">
        <v>8</v>
      </c>
      <c r="C2244"/>
      <c r="D2244" t="s">
        <v>31</v>
      </c>
      <c r="E2244" t="s">
        <v>32</v>
      </c>
      <c r="F2244" t="s">
        <v>48</v>
      </c>
      <c r="G2244" s="118">
        <v>0.51790509259259265</v>
      </c>
      <c r="H2244" s="118">
        <v>5.2083333333333333E-4</v>
      </c>
      <c r="I2244" s="118">
        <v>8.6805555555555551E-4</v>
      </c>
      <c r="J2244" s="118">
        <v>7.0717592592592594E-3</v>
      </c>
      <c r="K2244" s="118">
        <v>7.0717592592592594E-3</v>
      </c>
    </row>
    <row r="2245" spans="1:11" x14ac:dyDescent="0.25">
      <c r="A2245">
        <v>2</v>
      </c>
      <c r="B2245">
        <v>9</v>
      </c>
      <c r="C2245"/>
      <c r="D2245" t="s">
        <v>31</v>
      </c>
      <c r="E2245" t="s">
        <v>35</v>
      </c>
      <c r="F2245" t="s">
        <v>39</v>
      </c>
      <c r="G2245" s="118">
        <v>0.51791666666666669</v>
      </c>
      <c r="H2245" s="118">
        <v>9.3750000000000007E-4</v>
      </c>
      <c r="I2245" s="118">
        <v>5.2083333333333333E-4</v>
      </c>
      <c r="J2245"/>
      <c r="K2245"/>
    </row>
    <row r="2246" spans="1:11" x14ac:dyDescent="0.25">
      <c r="A2246">
        <v>3</v>
      </c>
      <c r="B2246">
        <v>9</v>
      </c>
      <c r="C2246"/>
      <c r="D2246" t="s">
        <v>31</v>
      </c>
      <c r="E2246" t="s">
        <v>35</v>
      </c>
      <c r="F2246" t="s">
        <v>34</v>
      </c>
      <c r="G2246" s="118">
        <v>0.51806712962962964</v>
      </c>
      <c r="H2246" s="118">
        <v>8.449074074074075E-4</v>
      </c>
      <c r="I2246" s="118">
        <v>3.4722222222222224E-4</v>
      </c>
      <c r="J2246"/>
      <c r="K2246"/>
    </row>
    <row r="2247" spans="1:11" x14ac:dyDescent="0.25">
      <c r="A2247">
        <v>3</v>
      </c>
      <c r="B2247">
        <v>9</v>
      </c>
      <c r="C2247"/>
      <c r="D2247" t="s">
        <v>31</v>
      </c>
      <c r="E2247" t="s">
        <v>32</v>
      </c>
      <c r="F2247" t="s">
        <v>34</v>
      </c>
      <c r="G2247" s="118">
        <v>0.51841435185185192</v>
      </c>
      <c r="H2247" s="118">
        <v>3.4722222222222224E-4</v>
      </c>
      <c r="I2247" s="118">
        <v>9.1435185185185185E-4</v>
      </c>
      <c r="J2247" s="118">
        <v>7.0717592592592594E-3</v>
      </c>
      <c r="K2247" s="118">
        <v>7.0717592592592594E-3</v>
      </c>
    </row>
    <row r="2248" spans="1:11" x14ac:dyDescent="0.25">
      <c r="A2248">
        <v>2</v>
      </c>
      <c r="B2248">
        <v>9</v>
      </c>
      <c r="C2248"/>
      <c r="D2248" t="s">
        <v>31</v>
      </c>
      <c r="E2248" t="s">
        <v>32</v>
      </c>
      <c r="F2248" t="s">
        <v>39</v>
      </c>
      <c r="G2248" s="118">
        <v>0.5184375</v>
      </c>
      <c r="H2248" s="118">
        <v>5.2083333333333333E-4</v>
      </c>
      <c r="I2248" s="118">
        <v>1.8055555555555557E-3</v>
      </c>
      <c r="J2248" s="118">
        <v>7.0717592592592594E-3</v>
      </c>
      <c r="K2248" s="118">
        <v>7.0717592592592594E-3</v>
      </c>
    </row>
    <row r="2249" spans="1:11" x14ac:dyDescent="0.25">
      <c r="A2249">
        <v>1</v>
      </c>
      <c r="B2249">
        <v>8</v>
      </c>
      <c r="C2249"/>
      <c r="D2249" t="s">
        <v>31</v>
      </c>
      <c r="E2249" t="s">
        <v>35</v>
      </c>
      <c r="F2249" t="s">
        <v>44</v>
      </c>
      <c r="G2249" s="118">
        <v>0.51870370370370367</v>
      </c>
      <c r="H2249" s="118">
        <v>1.0069444444444444E-3</v>
      </c>
      <c r="I2249" s="118">
        <v>3.4722222222222224E-4</v>
      </c>
      <c r="J2249"/>
      <c r="K2249"/>
    </row>
    <row r="2250" spans="1:11" x14ac:dyDescent="0.25">
      <c r="A2250">
        <v>4</v>
      </c>
      <c r="B2250">
        <v>8</v>
      </c>
      <c r="C2250"/>
      <c r="D2250" t="s">
        <v>31</v>
      </c>
      <c r="E2250" t="s">
        <v>35</v>
      </c>
      <c r="F2250" t="s">
        <v>54</v>
      </c>
      <c r="G2250" s="118">
        <v>0.51877314814814812</v>
      </c>
      <c r="H2250" s="118">
        <v>8.6805555555555551E-4</v>
      </c>
      <c r="I2250" s="118">
        <v>3.4722222222222224E-4</v>
      </c>
      <c r="J2250"/>
      <c r="K2250"/>
    </row>
    <row r="2251" spans="1:11" x14ac:dyDescent="0.25">
      <c r="A2251">
        <v>5</v>
      </c>
      <c r="B2251">
        <v>9</v>
      </c>
      <c r="C2251"/>
      <c r="D2251" t="s">
        <v>31</v>
      </c>
      <c r="E2251" t="s">
        <v>35</v>
      </c>
      <c r="F2251" t="s">
        <v>50</v>
      </c>
      <c r="G2251" s="118">
        <v>0.51902777777777775</v>
      </c>
      <c r="H2251" s="118">
        <v>1.1458333333333333E-3</v>
      </c>
      <c r="I2251" s="118">
        <v>3.4722222222222224E-4</v>
      </c>
      <c r="J2251"/>
      <c r="K2251"/>
    </row>
    <row r="2252" spans="1:11" x14ac:dyDescent="0.25">
      <c r="A2252">
        <v>1</v>
      </c>
      <c r="B2252">
        <v>8</v>
      </c>
      <c r="C2252"/>
      <c r="D2252" t="s">
        <v>31</v>
      </c>
      <c r="E2252" t="s">
        <v>32</v>
      </c>
      <c r="F2252" t="s">
        <v>44</v>
      </c>
      <c r="G2252" s="118">
        <v>0.51905092592592594</v>
      </c>
      <c r="H2252" s="118">
        <v>3.4722222222222224E-4</v>
      </c>
      <c r="I2252" s="118">
        <v>9.2592592592592585E-4</v>
      </c>
      <c r="J2252" s="118">
        <v>7.0717592592592594E-3</v>
      </c>
      <c r="K2252" s="118">
        <v>7.0717592592592594E-3</v>
      </c>
    </row>
    <row r="2253" spans="1:11" x14ac:dyDescent="0.25">
      <c r="A2253">
        <v>4</v>
      </c>
      <c r="B2253">
        <v>8</v>
      </c>
      <c r="C2253"/>
      <c r="D2253" t="s">
        <v>31</v>
      </c>
      <c r="E2253" t="s">
        <v>32</v>
      </c>
      <c r="F2253" t="s">
        <v>54</v>
      </c>
      <c r="G2253" s="118">
        <v>0.5191203703703704</v>
      </c>
      <c r="H2253" s="118">
        <v>3.4722222222222224E-4</v>
      </c>
      <c r="I2253" s="118">
        <v>6.9444444444444447E-4</v>
      </c>
      <c r="J2253" s="118">
        <v>7.0717592592592594E-3</v>
      </c>
      <c r="K2253" s="118">
        <v>7.0717592592592594E-3</v>
      </c>
    </row>
    <row r="2254" spans="1:11" x14ac:dyDescent="0.25">
      <c r="A2254">
        <v>3</v>
      </c>
      <c r="B2254">
        <v>9</v>
      </c>
      <c r="C2254"/>
      <c r="D2254" t="s">
        <v>31</v>
      </c>
      <c r="E2254" t="s">
        <v>35</v>
      </c>
      <c r="F2254" t="s">
        <v>38</v>
      </c>
      <c r="G2254" s="118">
        <v>0.51932870370370365</v>
      </c>
      <c r="H2254" s="118">
        <v>9.1435185185185185E-4</v>
      </c>
      <c r="I2254" s="118">
        <v>3.4722222222222224E-4</v>
      </c>
      <c r="J2254"/>
      <c r="K2254"/>
    </row>
    <row r="2255" spans="1:11" x14ac:dyDescent="0.25">
      <c r="A2255">
        <v>5</v>
      </c>
      <c r="B2255">
        <v>9</v>
      </c>
      <c r="C2255"/>
      <c r="D2255" t="s">
        <v>31</v>
      </c>
      <c r="E2255" t="s">
        <v>32</v>
      </c>
      <c r="F2255" t="s">
        <v>50</v>
      </c>
      <c r="G2255" s="118">
        <v>0.51937500000000003</v>
      </c>
      <c r="H2255" s="118">
        <v>3.4722222222222224E-4</v>
      </c>
      <c r="I2255" s="118">
        <v>1.261574074074074E-3</v>
      </c>
      <c r="J2255" s="118">
        <v>7.0717592592592594E-3</v>
      </c>
      <c r="K2255" s="118">
        <v>7.0717592592592594E-3</v>
      </c>
    </row>
    <row r="2256" spans="1:11" x14ac:dyDescent="0.25">
      <c r="A2256">
        <v>3</v>
      </c>
      <c r="B2256">
        <v>9</v>
      </c>
      <c r="C2256"/>
      <c r="D2256" t="s">
        <v>31</v>
      </c>
      <c r="E2256" t="s">
        <v>32</v>
      </c>
      <c r="F2256" t="s">
        <v>38</v>
      </c>
      <c r="G2256" s="118">
        <v>0.51967592592592593</v>
      </c>
      <c r="H2256" s="118">
        <v>3.4722222222222224E-4</v>
      </c>
      <c r="I2256" s="118">
        <v>1.2384259259259258E-3</v>
      </c>
      <c r="J2256" s="118">
        <v>7.0717592592592594E-3</v>
      </c>
      <c r="K2256" s="118">
        <v>7.0717592592592594E-3</v>
      </c>
    </row>
    <row r="2257" spans="1:11" x14ac:dyDescent="0.25">
      <c r="A2257">
        <v>4</v>
      </c>
      <c r="B2257">
        <v>8</v>
      </c>
      <c r="C2257"/>
      <c r="D2257" t="s">
        <v>31</v>
      </c>
      <c r="E2257" t="s">
        <v>35</v>
      </c>
      <c r="F2257" t="s">
        <v>92</v>
      </c>
      <c r="G2257" s="118">
        <v>0.51981481481481484</v>
      </c>
      <c r="H2257" s="118">
        <v>6.9444444444444447E-4</v>
      </c>
      <c r="I2257" s="118">
        <v>5.2083333333333333E-4</v>
      </c>
      <c r="J2257"/>
      <c r="K2257"/>
    </row>
    <row r="2258" spans="1:11" x14ac:dyDescent="0.25">
      <c r="A2258">
        <v>1</v>
      </c>
      <c r="B2258">
        <v>8</v>
      </c>
      <c r="C2258"/>
      <c r="D2258" t="s">
        <v>31</v>
      </c>
      <c r="E2258" t="s">
        <v>35</v>
      </c>
      <c r="F2258" t="s">
        <v>49</v>
      </c>
      <c r="G2258" s="118">
        <v>0.51997685185185183</v>
      </c>
      <c r="H2258" s="118">
        <v>9.2592592592592585E-4</v>
      </c>
      <c r="I2258" s="118">
        <v>3.4722222222222224E-4</v>
      </c>
      <c r="J2258"/>
      <c r="K2258"/>
    </row>
    <row r="2259" spans="1:11" x14ac:dyDescent="0.25">
      <c r="A2259">
        <v>2</v>
      </c>
      <c r="B2259">
        <v>9</v>
      </c>
      <c r="C2259"/>
      <c r="D2259" t="s">
        <v>31</v>
      </c>
      <c r="E2259" t="s">
        <v>35</v>
      </c>
      <c r="F2259" t="s">
        <v>46</v>
      </c>
      <c r="G2259" s="118">
        <v>0.52024305555555561</v>
      </c>
      <c r="H2259" s="118">
        <v>1.8055555555555557E-3</v>
      </c>
      <c r="I2259" s="118">
        <v>3.4722222222222224E-4</v>
      </c>
      <c r="J2259"/>
      <c r="K2259"/>
    </row>
    <row r="2260" spans="1:11" x14ac:dyDescent="0.25">
      <c r="A2260">
        <v>1</v>
      </c>
      <c r="B2260">
        <v>8</v>
      </c>
      <c r="C2260"/>
      <c r="D2260" t="s">
        <v>31</v>
      </c>
      <c r="E2260" t="s">
        <v>32</v>
      </c>
      <c r="F2260" t="s">
        <v>49</v>
      </c>
      <c r="G2260" s="118">
        <v>0.52032407407407411</v>
      </c>
      <c r="H2260" s="118">
        <v>3.4722222222222224E-4</v>
      </c>
      <c r="I2260" s="118">
        <v>1.3541666666666667E-3</v>
      </c>
      <c r="J2260" s="118">
        <v>7.0717592592592594E-3</v>
      </c>
      <c r="K2260" s="118">
        <v>7.0717592592592594E-3</v>
      </c>
    </row>
    <row r="2261" spans="1:11" x14ac:dyDescent="0.25">
      <c r="A2261">
        <v>4</v>
      </c>
      <c r="B2261">
        <v>9</v>
      </c>
      <c r="C2261"/>
      <c r="D2261" t="s">
        <v>31</v>
      </c>
      <c r="E2261" t="s">
        <v>32</v>
      </c>
      <c r="F2261" t="s">
        <v>92</v>
      </c>
      <c r="G2261" s="118">
        <v>0.52033564814814814</v>
      </c>
      <c r="H2261" s="118">
        <v>5.2083333333333333E-4</v>
      </c>
      <c r="I2261" s="118">
        <v>1.0069444444444444E-3</v>
      </c>
      <c r="J2261" s="118">
        <v>7.0717592592592594E-3</v>
      </c>
      <c r="K2261" s="118">
        <v>7.0717592592592594E-3</v>
      </c>
    </row>
    <row r="2262" spans="1:11" x14ac:dyDescent="0.25">
      <c r="A2262">
        <v>2</v>
      </c>
      <c r="B2262">
        <v>9</v>
      </c>
      <c r="C2262"/>
      <c r="D2262" t="s">
        <v>31</v>
      </c>
      <c r="E2262" t="s">
        <v>32</v>
      </c>
      <c r="F2262" t="s">
        <v>46</v>
      </c>
      <c r="G2262" s="118">
        <v>0.52059027777777778</v>
      </c>
      <c r="H2262" s="118">
        <v>3.4722222222222224E-4</v>
      </c>
      <c r="I2262" s="118">
        <v>9.1435185185185185E-4</v>
      </c>
      <c r="J2262" s="118">
        <v>7.0717592592592594E-3</v>
      </c>
      <c r="K2262" s="118">
        <v>7.0717592592592594E-3</v>
      </c>
    </row>
    <row r="2263" spans="1:11" x14ac:dyDescent="0.25">
      <c r="A2263">
        <v>5</v>
      </c>
      <c r="B2263">
        <v>9</v>
      </c>
      <c r="C2263"/>
      <c r="D2263" t="s">
        <v>31</v>
      </c>
      <c r="E2263" t="s">
        <v>35</v>
      </c>
      <c r="F2263" t="s">
        <v>56</v>
      </c>
      <c r="G2263" s="118">
        <v>0.52063657407407404</v>
      </c>
      <c r="H2263" s="118">
        <v>1.261574074074074E-3</v>
      </c>
      <c r="I2263" s="118">
        <v>3.4722222222222224E-4</v>
      </c>
      <c r="J2263"/>
      <c r="K2263"/>
    </row>
    <row r="2264" spans="1:11" x14ac:dyDescent="0.25">
      <c r="A2264">
        <v>3</v>
      </c>
      <c r="B2264">
        <v>9</v>
      </c>
      <c r="C2264"/>
      <c r="D2264" t="s">
        <v>31</v>
      </c>
      <c r="E2264" t="s">
        <v>35</v>
      </c>
      <c r="F2264" t="s">
        <v>45</v>
      </c>
      <c r="G2264" s="118">
        <v>0.52091435185185186</v>
      </c>
      <c r="H2264" s="118">
        <v>1.2384259259259258E-3</v>
      </c>
      <c r="I2264" s="118">
        <v>3.4722222222222224E-4</v>
      </c>
      <c r="J2264"/>
      <c r="K2264"/>
    </row>
    <row r="2265" spans="1:11" x14ac:dyDescent="0.25">
      <c r="A2265">
        <v>5</v>
      </c>
      <c r="B2265">
        <v>9</v>
      </c>
      <c r="C2265"/>
      <c r="D2265" t="s">
        <v>31</v>
      </c>
      <c r="E2265" t="s">
        <v>32</v>
      </c>
      <c r="F2265" t="s">
        <v>56</v>
      </c>
      <c r="G2265" s="118">
        <v>0.52098379629629632</v>
      </c>
      <c r="H2265" s="118">
        <v>3.4722222222222224E-4</v>
      </c>
      <c r="I2265" s="118">
        <v>9.6064814814814808E-4</v>
      </c>
      <c r="J2265" s="118">
        <v>7.0717592592592594E-3</v>
      </c>
      <c r="K2265" s="118">
        <v>7.0717592592592594E-3</v>
      </c>
    </row>
    <row r="2266" spans="1:11" x14ac:dyDescent="0.25">
      <c r="A2266">
        <v>3</v>
      </c>
      <c r="B2266">
        <v>9</v>
      </c>
      <c r="C2266"/>
      <c r="D2266" t="s">
        <v>31</v>
      </c>
      <c r="E2266" t="s">
        <v>32</v>
      </c>
      <c r="F2266" t="s">
        <v>45</v>
      </c>
      <c r="G2266" s="118">
        <v>0.52126157407407414</v>
      </c>
      <c r="H2266" s="118">
        <v>3.4722222222222224E-4</v>
      </c>
      <c r="I2266" s="118">
        <v>1.0416666666666667E-3</v>
      </c>
      <c r="J2266" s="118">
        <v>7.0717592592592594E-3</v>
      </c>
      <c r="K2266" s="118">
        <v>7.0717592592592594E-3</v>
      </c>
    </row>
    <row r="2267" spans="1:11" x14ac:dyDescent="0.25">
      <c r="A2267">
        <v>4</v>
      </c>
      <c r="B2267">
        <v>9</v>
      </c>
      <c r="C2267"/>
      <c r="D2267" t="s">
        <v>31</v>
      </c>
      <c r="E2267" t="s">
        <v>35</v>
      </c>
      <c r="F2267" t="s">
        <v>41</v>
      </c>
      <c r="G2267" s="118">
        <v>0.52134259259259264</v>
      </c>
      <c r="H2267" s="118">
        <v>1.0069444444444444E-3</v>
      </c>
      <c r="I2267" s="118">
        <v>3.4722222222222224E-4</v>
      </c>
      <c r="J2267"/>
      <c r="K2267"/>
    </row>
    <row r="2268" spans="1:11" x14ac:dyDescent="0.25">
      <c r="A2268">
        <v>2</v>
      </c>
      <c r="B2268">
        <v>9</v>
      </c>
      <c r="C2268"/>
      <c r="D2268" t="s">
        <v>31</v>
      </c>
      <c r="E2268" t="s">
        <v>35</v>
      </c>
      <c r="F2268" t="s">
        <v>51</v>
      </c>
      <c r="G2268" s="118">
        <v>0.52150462962962962</v>
      </c>
      <c r="H2268" s="118">
        <v>9.1435185185185185E-4</v>
      </c>
      <c r="I2268" s="118">
        <v>3.4722222222222224E-4</v>
      </c>
      <c r="J2268"/>
      <c r="K2268"/>
    </row>
    <row r="2269" spans="1:11" x14ac:dyDescent="0.25">
      <c r="A2269">
        <v>1</v>
      </c>
      <c r="B2269">
        <v>8</v>
      </c>
      <c r="C2269"/>
      <c r="D2269" t="s">
        <v>31</v>
      </c>
      <c r="E2269" t="s">
        <v>35</v>
      </c>
      <c r="F2269" t="s">
        <v>33</v>
      </c>
      <c r="G2269" s="118">
        <v>0.52167824074074076</v>
      </c>
      <c r="H2269" s="118">
        <v>1.3541666666666667E-3</v>
      </c>
      <c r="I2269" s="118">
        <v>5.2083333333333333E-4</v>
      </c>
      <c r="J2269"/>
      <c r="K2269"/>
    </row>
    <row r="2270" spans="1:11" x14ac:dyDescent="0.25">
      <c r="A2270">
        <v>4</v>
      </c>
      <c r="B2270">
        <v>9</v>
      </c>
      <c r="C2270"/>
      <c r="D2270" t="s">
        <v>31</v>
      </c>
      <c r="E2270" t="s">
        <v>32</v>
      </c>
      <c r="F2270" t="s">
        <v>41</v>
      </c>
      <c r="G2270" s="118">
        <v>0.5216898148148148</v>
      </c>
      <c r="H2270" s="118">
        <v>3.4722222222222224E-4</v>
      </c>
      <c r="I2270" s="118">
        <v>8.564814814814815E-4</v>
      </c>
      <c r="J2270" s="118">
        <v>7.0717592592592594E-3</v>
      </c>
      <c r="K2270" s="118">
        <v>7.0717592592592594E-3</v>
      </c>
    </row>
    <row r="2271" spans="1:11" x14ac:dyDescent="0.25">
      <c r="A2271">
        <v>2</v>
      </c>
      <c r="B2271">
        <v>9</v>
      </c>
      <c r="C2271"/>
      <c r="D2271" t="s">
        <v>31</v>
      </c>
      <c r="E2271" t="s">
        <v>32</v>
      </c>
      <c r="F2271" t="s">
        <v>51</v>
      </c>
      <c r="G2271" s="118">
        <v>0.5218518518518519</v>
      </c>
      <c r="H2271" s="118">
        <v>3.4722222222222224E-4</v>
      </c>
      <c r="I2271" s="118">
        <v>1.0069444444444444E-3</v>
      </c>
      <c r="J2271" s="118">
        <v>7.0717592592592594E-3</v>
      </c>
      <c r="K2271" s="118">
        <v>7.0717592592592594E-3</v>
      </c>
    </row>
    <row r="2272" spans="1:11" x14ac:dyDescent="0.25">
      <c r="A2272">
        <v>5</v>
      </c>
      <c r="B2272">
        <v>9</v>
      </c>
      <c r="C2272"/>
      <c r="D2272" t="s">
        <v>31</v>
      </c>
      <c r="E2272" t="s">
        <v>35</v>
      </c>
      <c r="F2272" t="s">
        <v>37</v>
      </c>
      <c r="G2272" s="118">
        <v>0.52194444444444443</v>
      </c>
      <c r="H2272" s="118">
        <v>9.6064814814814808E-4</v>
      </c>
      <c r="I2272" s="118">
        <v>3.4722222222222224E-4</v>
      </c>
      <c r="J2272"/>
      <c r="K2272"/>
    </row>
    <row r="2273" spans="1:11" x14ac:dyDescent="0.25">
      <c r="A2273">
        <v>1</v>
      </c>
      <c r="B2273">
        <v>8</v>
      </c>
      <c r="C2273"/>
      <c r="D2273" t="s">
        <v>31</v>
      </c>
      <c r="E2273" t="s">
        <v>32</v>
      </c>
      <c r="F2273" t="s">
        <v>33</v>
      </c>
      <c r="G2273" s="118">
        <v>0.52219907407407407</v>
      </c>
      <c r="H2273" s="118">
        <v>5.2083333333333333E-4</v>
      </c>
      <c r="I2273" s="118">
        <v>9.6064814814814808E-4</v>
      </c>
      <c r="J2273" s="118">
        <v>7.0717592592592594E-3</v>
      </c>
      <c r="K2273" s="118">
        <v>7.0717592592592594E-3</v>
      </c>
    </row>
    <row r="2274" spans="1:11" x14ac:dyDescent="0.25">
      <c r="A2274">
        <v>5</v>
      </c>
      <c r="B2274">
        <v>9</v>
      </c>
      <c r="C2274"/>
      <c r="D2274" t="s">
        <v>31</v>
      </c>
      <c r="E2274" t="s">
        <v>32</v>
      </c>
      <c r="F2274" t="s">
        <v>37</v>
      </c>
      <c r="G2274" s="118">
        <v>0.52229166666666671</v>
      </c>
      <c r="H2274" s="118">
        <v>3.4722222222222224E-4</v>
      </c>
      <c r="I2274" s="118">
        <v>9.0277777777777784E-4</v>
      </c>
      <c r="J2274" s="118">
        <v>7.0717592592592594E-3</v>
      </c>
      <c r="K2274" s="118">
        <v>7.0717592592592594E-3</v>
      </c>
    </row>
    <row r="2275" spans="1:11" x14ac:dyDescent="0.25">
      <c r="A2275">
        <v>3</v>
      </c>
      <c r="B2275">
        <v>9</v>
      </c>
      <c r="C2275"/>
      <c r="D2275" t="s">
        <v>31</v>
      </c>
      <c r="E2275" t="s">
        <v>35</v>
      </c>
      <c r="F2275" t="s">
        <v>52</v>
      </c>
      <c r="G2275" s="118">
        <v>0.52230324074074075</v>
      </c>
      <c r="H2275" s="118">
        <v>1.0416666666666667E-3</v>
      </c>
      <c r="I2275" s="118">
        <v>3.4722222222222224E-4</v>
      </c>
      <c r="J2275"/>
      <c r="K2275"/>
    </row>
    <row r="2276" spans="1:11" x14ac:dyDescent="0.25">
      <c r="A2276">
        <v>4</v>
      </c>
      <c r="B2276">
        <v>9</v>
      </c>
      <c r="C2276"/>
      <c r="D2276" t="s">
        <v>31</v>
      </c>
      <c r="E2276" t="s">
        <v>35</v>
      </c>
      <c r="F2276" t="s">
        <v>47</v>
      </c>
      <c r="G2276" s="118">
        <v>0.52254629629629623</v>
      </c>
      <c r="H2276" s="118">
        <v>8.564814814814815E-4</v>
      </c>
      <c r="I2276" s="118">
        <v>5.2083333333333333E-4</v>
      </c>
      <c r="J2276"/>
      <c r="K2276"/>
    </row>
    <row r="2277" spans="1:11" x14ac:dyDescent="0.25">
      <c r="A2277">
        <v>3</v>
      </c>
      <c r="B2277">
        <v>9</v>
      </c>
      <c r="C2277"/>
      <c r="D2277" t="s">
        <v>31</v>
      </c>
      <c r="E2277" t="s">
        <v>32</v>
      </c>
      <c r="F2277" t="s">
        <v>52</v>
      </c>
      <c r="G2277" s="118">
        <v>0.52265046296296302</v>
      </c>
      <c r="H2277" s="118">
        <v>3.4722222222222224E-4</v>
      </c>
      <c r="I2277" s="118">
        <v>1.0532407407407407E-3</v>
      </c>
      <c r="J2277" s="118">
        <v>7.0717592592592594E-3</v>
      </c>
      <c r="K2277" s="118">
        <v>7.0717592592592594E-3</v>
      </c>
    </row>
    <row r="2278" spans="1:11" x14ac:dyDescent="0.25">
      <c r="A2278">
        <v>2</v>
      </c>
      <c r="B2278">
        <v>9</v>
      </c>
      <c r="C2278"/>
      <c r="D2278" t="s">
        <v>31</v>
      </c>
      <c r="E2278" t="s">
        <v>35</v>
      </c>
      <c r="F2278" t="s">
        <v>55</v>
      </c>
      <c r="G2278" s="118">
        <v>0.52285879629629628</v>
      </c>
      <c r="H2278" s="118">
        <v>1.0069444444444444E-3</v>
      </c>
      <c r="I2278" s="118">
        <v>4.6296296296296293E-4</v>
      </c>
      <c r="J2278"/>
      <c r="K2278"/>
    </row>
    <row r="2279" spans="1:11" x14ac:dyDescent="0.25">
      <c r="A2279">
        <v>4</v>
      </c>
      <c r="B2279">
        <v>9</v>
      </c>
      <c r="C2279"/>
      <c r="D2279" t="s">
        <v>31</v>
      </c>
      <c r="E2279" t="s">
        <v>32</v>
      </c>
      <c r="F2279" t="s">
        <v>47</v>
      </c>
      <c r="G2279" s="118">
        <v>0.52306712962962965</v>
      </c>
      <c r="H2279" s="118">
        <v>5.2083333333333333E-4</v>
      </c>
      <c r="I2279" s="118">
        <v>8.7962962962962962E-4</v>
      </c>
      <c r="J2279" s="118">
        <v>7.0717592592592594E-3</v>
      </c>
      <c r="K2279" s="118">
        <v>7.0717592592592594E-3</v>
      </c>
    </row>
    <row r="2280" spans="1:11" x14ac:dyDescent="0.25">
      <c r="A2280">
        <v>1</v>
      </c>
      <c r="B2280">
        <v>8</v>
      </c>
      <c r="C2280"/>
      <c r="D2280" t="s">
        <v>31</v>
      </c>
      <c r="E2280" t="s">
        <v>35</v>
      </c>
      <c r="F2280" t="s">
        <v>36</v>
      </c>
      <c r="G2280" s="118">
        <v>0.52315972222222229</v>
      </c>
      <c r="H2280" s="118">
        <v>9.6064814814814808E-4</v>
      </c>
      <c r="I2280" s="118">
        <v>3.4722222222222224E-4</v>
      </c>
      <c r="J2280"/>
      <c r="K2280"/>
    </row>
    <row r="2281" spans="1:11" x14ac:dyDescent="0.25">
      <c r="A2281">
        <v>5</v>
      </c>
      <c r="B2281">
        <v>9</v>
      </c>
      <c r="C2281"/>
      <c r="D2281" t="s">
        <v>31</v>
      </c>
      <c r="E2281" t="s">
        <v>35</v>
      </c>
      <c r="F2281" t="s">
        <v>42</v>
      </c>
      <c r="G2281" s="118">
        <v>0.52319444444444441</v>
      </c>
      <c r="H2281" s="118">
        <v>9.0277777777777784E-4</v>
      </c>
      <c r="I2281" s="118">
        <v>3.4722222222222224E-4</v>
      </c>
      <c r="J2281"/>
      <c r="K2281"/>
    </row>
    <row r="2282" spans="1:11" x14ac:dyDescent="0.25">
      <c r="A2282">
        <v>2</v>
      </c>
      <c r="B2282">
        <v>9</v>
      </c>
      <c r="C2282"/>
      <c r="D2282" t="s">
        <v>31</v>
      </c>
      <c r="E2282" t="s">
        <v>32</v>
      </c>
      <c r="F2282" t="s">
        <v>55</v>
      </c>
      <c r="G2282" s="118">
        <v>0.52332175925925928</v>
      </c>
      <c r="H2282" s="118">
        <v>4.6296296296296293E-4</v>
      </c>
      <c r="I2282" s="118">
        <v>4.3981481481481481E-4</v>
      </c>
      <c r="J2282" s="118">
        <v>7.0717592592592594E-3</v>
      </c>
      <c r="K2282" s="118">
        <v>7.0717592592592594E-3</v>
      </c>
    </row>
    <row r="2283" spans="1:11" x14ac:dyDescent="0.25">
      <c r="A2283">
        <v>1</v>
      </c>
      <c r="B2283">
        <v>8</v>
      </c>
      <c r="C2283"/>
      <c r="D2283" t="s">
        <v>31</v>
      </c>
      <c r="E2283" t="s">
        <v>32</v>
      </c>
      <c r="F2283" t="s">
        <v>36</v>
      </c>
      <c r="G2283" s="118">
        <v>0.52350694444444446</v>
      </c>
      <c r="H2283" s="118">
        <v>3.4722222222222224E-4</v>
      </c>
      <c r="I2283" s="118">
        <v>1.0995370370370371E-3</v>
      </c>
      <c r="J2283" s="118">
        <v>7.0717592592592594E-3</v>
      </c>
      <c r="K2283" s="118">
        <v>7.0717592592592594E-3</v>
      </c>
    </row>
    <row r="2284" spans="1:11" x14ac:dyDescent="0.25">
      <c r="A2284">
        <v>5</v>
      </c>
      <c r="B2284">
        <v>9</v>
      </c>
      <c r="C2284"/>
      <c r="D2284" t="s">
        <v>31</v>
      </c>
      <c r="E2284" t="s">
        <v>32</v>
      </c>
      <c r="F2284" t="s">
        <v>42</v>
      </c>
      <c r="G2284" s="118">
        <v>0.52354166666666668</v>
      </c>
      <c r="H2284" s="118">
        <v>3.4722222222222224E-4</v>
      </c>
      <c r="I2284" s="118">
        <v>9.1435185185185185E-4</v>
      </c>
      <c r="J2284" s="118">
        <v>7.0717592592592594E-3</v>
      </c>
      <c r="K2284" s="118">
        <v>7.0717592592592594E-3</v>
      </c>
    </row>
    <row r="2285" spans="1:11" x14ac:dyDescent="0.25">
      <c r="A2285">
        <v>3</v>
      </c>
      <c r="B2285">
        <v>9</v>
      </c>
      <c r="C2285"/>
      <c r="D2285" t="s">
        <v>31</v>
      </c>
      <c r="E2285" t="s">
        <v>35</v>
      </c>
      <c r="F2285" t="s">
        <v>57</v>
      </c>
      <c r="G2285" s="118">
        <v>0.52370370370370367</v>
      </c>
      <c r="H2285" s="118">
        <v>1.0532407407407407E-3</v>
      </c>
      <c r="I2285" s="118">
        <v>3.4722222222222224E-4</v>
      </c>
      <c r="J2285"/>
      <c r="K2285"/>
    </row>
    <row r="2286" spans="1:11" x14ac:dyDescent="0.25">
      <c r="A2286">
        <v>2</v>
      </c>
      <c r="B2286">
        <v>9</v>
      </c>
      <c r="C2286"/>
      <c r="D2286" t="s">
        <v>31</v>
      </c>
      <c r="E2286" t="s">
        <v>35</v>
      </c>
      <c r="F2286" t="s">
        <v>58</v>
      </c>
      <c r="G2286" s="118">
        <v>0.52376157407407409</v>
      </c>
      <c r="H2286" s="118">
        <v>4.3981481481481481E-4</v>
      </c>
      <c r="I2286" s="118">
        <v>5.7870370370370366E-5</v>
      </c>
      <c r="J2286"/>
      <c r="K2286"/>
    </row>
    <row r="2287" spans="1:11" x14ac:dyDescent="0.25">
      <c r="A2287">
        <v>2</v>
      </c>
      <c r="B2287">
        <v>9</v>
      </c>
      <c r="C2287"/>
      <c r="D2287" t="s">
        <v>31</v>
      </c>
      <c r="E2287" t="s">
        <v>32</v>
      </c>
      <c r="F2287" t="s">
        <v>58</v>
      </c>
      <c r="G2287" s="118">
        <v>0.5238194444444445</v>
      </c>
      <c r="H2287" s="118">
        <v>5.7870370370370366E-5</v>
      </c>
      <c r="I2287" s="118">
        <v>4.8611111111111104E-4</v>
      </c>
      <c r="J2287" s="118">
        <v>7.0717592592592594E-3</v>
      </c>
      <c r="K2287" s="118">
        <v>7.0717592592592594E-3</v>
      </c>
    </row>
    <row r="2288" spans="1:11" x14ac:dyDescent="0.25">
      <c r="A2288">
        <v>4</v>
      </c>
      <c r="B2288">
        <v>9</v>
      </c>
      <c r="C2288"/>
      <c r="D2288" t="s">
        <v>31</v>
      </c>
      <c r="E2288" t="s">
        <v>35</v>
      </c>
      <c r="F2288" t="s">
        <v>53</v>
      </c>
      <c r="G2288" s="118">
        <v>0.52394675925925926</v>
      </c>
      <c r="H2288" s="118">
        <v>8.7962962962962962E-4</v>
      </c>
      <c r="I2288" s="118">
        <v>3.4722222222222224E-4</v>
      </c>
      <c r="J2288"/>
      <c r="K2288"/>
    </row>
    <row r="2289" spans="1:11" x14ac:dyDescent="0.25">
      <c r="A2289">
        <v>3</v>
      </c>
      <c r="B2289">
        <v>9</v>
      </c>
      <c r="C2289"/>
      <c r="D2289" t="s">
        <v>31</v>
      </c>
      <c r="E2289" t="s">
        <v>32</v>
      </c>
      <c r="F2289" t="s">
        <v>57</v>
      </c>
      <c r="G2289" s="118">
        <v>0.52405092592592595</v>
      </c>
      <c r="H2289" s="118">
        <v>3.4722222222222224E-4</v>
      </c>
      <c r="I2289" s="118">
        <v>9.3750000000000007E-4</v>
      </c>
      <c r="J2289" s="118">
        <v>7.0717592592592594E-3</v>
      </c>
      <c r="K2289" s="118">
        <v>7.0717592592592594E-3</v>
      </c>
    </row>
    <row r="2290" spans="1:11" x14ac:dyDescent="0.25">
      <c r="A2290">
        <v>4</v>
      </c>
      <c r="B2290">
        <v>9</v>
      </c>
      <c r="C2290"/>
      <c r="D2290" t="s">
        <v>31</v>
      </c>
      <c r="E2290" t="s">
        <v>32</v>
      </c>
      <c r="F2290" t="s">
        <v>53</v>
      </c>
      <c r="G2290" s="118">
        <v>0.52429398148148143</v>
      </c>
      <c r="H2290" s="118">
        <v>3.4722222222222224E-4</v>
      </c>
      <c r="I2290" s="118">
        <v>8.449074074074075E-4</v>
      </c>
      <c r="J2290" s="118">
        <v>7.0717592592592594E-3</v>
      </c>
      <c r="K2290" s="118">
        <v>7.0717592592592594E-3</v>
      </c>
    </row>
    <row r="2291" spans="1:11" x14ac:dyDescent="0.25">
      <c r="A2291">
        <v>2</v>
      </c>
      <c r="B2291">
        <v>9</v>
      </c>
      <c r="C2291"/>
      <c r="D2291" t="s">
        <v>31</v>
      </c>
      <c r="E2291" t="s">
        <v>35</v>
      </c>
      <c r="F2291" t="s">
        <v>40</v>
      </c>
      <c r="G2291" s="118">
        <v>0.52430555555555558</v>
      </c>
      <c r="H2291" s="118">
        <v>4.8611111111111104E-4</v>
      </c>
      <c r="I2291" s="118">
        <v>4.6296296296296293E-4</v>
      </c>
      <c r="J2291"/>
      <c r="K2291"/>
    </row>
    <row r="2292" spans="1:11" x14ac:dyDescent="0.25">
      <c r="A2292">
        <v>5</v>
      </c>
      <c r="B2292">
        <v>9</v>
      </c>
      <c r="C2292"/>
      <c r="D2292" t="s">
        <v>31</v>
      </c>
      <c r="E2292" t="s">
        <v>35</v>
      </c>
      <c r="F2292" t="s">
        <v>48</v>
      </c>
      <c r="G2292" s="118">
        <v>0.52445601851851853</v>
      </c>
      <c r="H2292" s="118">
        <v>9.1435185185185185E-4</v>
      </c>
      <c r="I2292" s="118">
        <v>5.2083333333333333E-4</v>
      </c>
      <c r="J2292"/>
      <c r="K2292"/>
    </row>
    <row r="2293" spans="1:11" x14ac:dyDescent="0.25">
      <c r="A2293">
        <v>1</v>
      </c>
      <c r="B2293">
        <v>8</v>
      </c>
      <c r="C2293"/>
      <c r="D2293" t="s">
        <v>31</v>
      </c>
      <c r="E2293" t="s">
        <v>35</v>
      </c>
      <c r="F2293" t="s">
        <v>43</v>
      </c>
      <c r="G2293" s="118">
        <v>0.52460648148148148</v>
      </c>
      <c r="H2293" s="118">
        <v>1.0995370370370371E-3</v>
      </c>
      <c r="I2293" s="118">
        <v>3.4722222222222224E-4</v>
      </c>
      <c r="J2293"/>
      <c r="K2293"/>
    </row>
    <row r="2294" spans="1:11" x14ac:dyDescent="0.25">
      <c r="A2294">
        <v>2</v>
      </c>
      <c r="B2294">
        <v>9</v>
      </c>
      <c r="C2294"/>
      <c r="D2294" t="s">
        <v>31</v>
      </c>
      <c r="E2294" t="s">
        <v>32</v>
      </c>
      <c r="F2294" t="s">
        <v>40</v>
      </c>
      <c r="G2294" s="118">
        <v>0.52476851851851858</v>
      </c>
      <c r="H2294" s="118">
        <v>4.6296296296296293E-4</v>
      </c>
      <c r="I2294" s="118">
        <v>1.0069444444444444E-3</v>
      </c>
      <c r="J2294" s="118">
        <v>7.0717592592592594E-3</v>
      </c>
      <c r="K2294" s="118">
        <v>7.0717592592592594E-3</v>
      </c>
    </row>
    <row r="2295" spans="1:11" x14ac:dyDescent="0.25">
      <c r="A2295">
        <v>1</v>
      </c>
      <c r="B2295">
        <v>8</v>
      </c>
      <c r="C2295"/>
      <c r="D2295" t="s">
        <v>31</v>
      </c>
      <c r="E2295" t="s">
        <v>32</v>
      </c>
      <c r="F2295" t="s">
        <v>43</v>
      </c>
      <c r="G2295" s="118">
        <v>0.52495370370370364</v>
      </c>
      <c r="H2295" s="118">
        <v>3.4722222222222224E-4</v>
      </c>
      <c r="I2295" s="118">
        <v>1.1458333333333333E-3</v>
      </c>
      <c r="J2295" s="118">
        <v>7.0717592592592594E-3</v>
      </c>
      <c r="K2295" s="118">
        <v>7.0717592592592594E-3</v>
      </c>
    </row>
    <row r="2296" spans="1:11" x14ac:dyDescent="0.25">
      <c r="A2296">
        <v>5</v>
      </c>
      <c r="B2296">
        <v>9</v>
      </c>
      <c r="C2296"/>
      <c r="D2296" t="s">
        <v>31</v>
      </c>
      <c r="E2296" t="s">
        <v>32</v>
      </c>
      <c r="F2296" t="s">
        <v>48</v>
      </c>
      <c r="G2296" s="118">
        <v>0.52497685185185183</v>
      </c>
      <c r="H2296" s="118">
        <v>5.2083333333333333E-4</v>
      </c>
      <c r="I2296" s="118">
        <v>8.6805555555555551E-4</v>
      </c>
      <c r="J2296" s="118">
        <v>7.0717592592592594E-3</v>
      </c>
      <c r="K2296" s="118">
        <v>7.0717592592592594E-3</v>
      </c>
    </row>
    <row r="2297" spans="1:11" x14ac:dyDescent="0.25">
      <c r="A2297">
        <v>3</v>
      </c>
      <c r="B2297">
        <v>9</v>
      </c>
      <c r="C2297"/>
      <c r="D2297" t="s">
        <v>31</v>
      </c>
      <c r="E2297" t="s">
        <v>35</v>
      </c>
      <c r="F2297" t="s">
        <v>39</v>
      </c>
      <c r="G2297" s="118">
        <v>0.52498842592592598</v>
      </c>
      <c r="H2297" s="118">
        <v>9.3750000000000007E-4</v>
      </c>
      <c r="I2297" s="118">
        <v>5.2083333333333333E-4</v>
      </c>
      <c r="J2297"/>
      <c r="K2297"/>
    </row>
    <row r="2298" spans="1:11" x14ac:dyDescent="0.25">
      <c r="A2298">
        <v>4</v>
      </c>
      <c r="B2298">
        <v>9</v>
      </c>
      <c r="C2298"/>
      <c r="D2298" t="s">
        <v>31</v>
      </c>
      <c r="E2298" t="s">
        <v>35</v>
      </c>
      <c r="F2298" t="s">
        <v>34</v>
      </c>
      <c r="G2298" s="118">
        <v>0.52513888888888893</v>
      </c>
      <c r="H2298" s="118">
        <v>8.449074074074075E-4</v>
      </c>
      <c r="I2298" s="118">
        <v>3.4722222222222224E-4</v>
      </c>
      <c r="J2298"/>
      <c r="K2298"/>
    </row>
    <row r="2299" spans="1:11" x14ac:dyDescent="0.25">
      <c r="A2299">
        <v>4</v>
      </c>
      <c r="B2299">
        <v>9</v>
      </c>
      <c r="C2299"/>
      <c r="D2299" t="s">
        <v>31</v>
      </c>
      <c r="E2299" t="s">
        <v>32</v>
      </c>
      <c r="F2299" t="s">
        <v>34</v>
      </c>
      <c r="G2299" s="118">
        <v>0.5254861111111111</v>
      </c>
      <c r="H2299" s="118">
        <v>3.4722222222222224E-4</v>
      </c>
      <c r="I2299" s="118">
        <v>9.1435185185185185E-4</v>
      </c>
      <c r="J2299" s="118">
        <v>7.0717592592592594E-3</v>
      </c>
      <c r="K2299" s="118">
        <v>7.0717592592592594E-3</v>
      </c>
    </row>
    <row r="2300" spans="1:11" x14ac:dyDescent="0.25">
      <c r="A2300">
        <v>3</v>
      </c>
      <c r="B2300">
        <v>9</v>
      </c>
      <c r="C2300"/>
      <c r="D2300" t="s">
        <v>31</v>
      </c>
      <c r="E2300" t="s">
        <v>32</v>
      </c>
      <c r="F2300" t="s">
        <v>39</v>
      </c>
      <c r="G2300" s="118">
        <v>0.52550925925925929</v>
      </c>
      <c r="H2300" s="118">
        <v>5.2083333333333333E-4</v>
      </c>
      <c r="I2300" s="118">
        <v>1.8055555555555557E-3</v>
      </c>
      <c r="J2300" s="118">
        <v>7.0717592592592594E-3</v>
      </c>
      <c r="K2300" s="118">
        <v>7.0717592592592594E-3</v>
      </c>
    </row>
    <row r="2301" spans="1:11" x14ac:dyDescent="0.25">
      <c r="A2301">
        <v>2</v>
      </c>
      <c r="B2301">
        <v>9</v>
      </c>
      <c r="C2301"/>
      <c r="D2301" t="s">
        <v>31</v>
      </c>
      <c r="E2301" t="s">
        <v>35</v>
      </c>
      <c r="F2301" t="s">
        <v>44</v>
      </c>
      <c r="G2301" s="118">
        <v>0.52577546296296296</v>
      </c>
      <c r="H2301" s="118">
        <v>1.0069444444444444E-3</v>
      </c>
      <c r="I2301" s="118">
        <v>3.4722222222222224E-4</v>
      </c>
      <c r="J2301"/>
      <c r="K2301"/>
    </row>
    <row r="2302" spans="1:11" x14ac:dyDescent="0.25">
      <c r="A2302">
        <v>5</v>
      </c>
      <c r="B2302">
        <v>9</v>
      </c>
      <c r="C2302"/>
      <c r="D2302" t="s">
        <v>31</v>
      </c>
      <c r="E2302" t="s">
        <v>35</v>
      </c>
      <c r="F2302" t="s">
        <v>54</v>
      </c>
      <c r="G2302" s="118">
        <v>0.52584490740740741</v>
      </c>
      <c r="H2302" s="118">
        <v>8.6805555555555551E-4</v>
      </c>
      <c r="I2302" s="118">
        <v>3.4722222222222224E-4</v>
      </c>
      <c r="J2302"/>
      <c r="K2302"/>
    </row>
    <row r="2303" spans="1:11" x14ac:dyDescent="0.25">
      <c r="A2303">
        <v>1</v>
      </c>
      <c r="B2303">
        <v>8</v>
      </c>
      <c r="C2303"/>
      <c r="D2303" t="s">
        <v>31</v>
      </c>
      <c r="E2303" t="s">
        <v>35</v>
      </c>
      <c r="F2303" t="s">
        <v>50</v>
      </c>
      <c r="G2303" s="118">
        <v>0.52609953703703705</v>
      </c>
      <c r="H2303" s="118">
        <v>1.1458333333333333E-3</v>
      </c>
      <c r="I2303" s="118">
        <v>3.4722222222222224E-4</v>
      </c>
      <c r="J2303"/>
      <c r="K2303"/>
    </row>
    <row r="2304" spans="1:11" x14ac:dyDescent="0.25">
      <c r="A2304">
        <v>2</v>
      </c>
      <c r="B2304">
        <v>9</v>
      </c>
      <c r="C2304"/>
      <c r="D2304" t="s">
        <v>31</v>
      </c>
      <c r="E2304" t="s">
        <v>32</v>
      </c>
      <c r="F2304" t="s">
        <v>44</v>
      </c>
      <c r="G2304" s="118">
        <v>0.52612268518518512</v>
      </c>
      <c r="H2304" s="118">
        <v>3.4722222222222224E-4</v>
      </c>
      <c r="I2304" s="118">
        <v>9.2592592592592585E-4</v>
      </c>
      <c r="J2304" s="118">
        <v>7.0717592592592594E-3</v>
      </c>
      <c r="K2304" s="118">
        <v>7.0717592592592594E-3</v>
      </c>
    </row>
    <row r="2305" spans="1:11" x14ac:dyDescent="0.25">
      <c r="A2305">
        <v>5</v>
      </c>
      <c r="B2305">
        <v>9</v>
      </c>
      <c r="C2305"/>
      <c r="D2305" t="s">
        <v>31</v>
      </c>
      <c r="E2305" t="s">
        <v>32</v>
      </c>
      <c r="F2305" t="s">
        <v>54</v>
      </c>
      <c r="G2305" s="118">
        <v>0.52619212962962958</v>
      </c>
      <c r="H2305" s="118">
        <v>3.4722222222222224E-4</v>
      </c>
      <c r="I2305" s="118">
        <v>6.9444444444444447E-4</v>
      </c>
      <c r="J2305" s="118">
        <v>7.0717592592592594E-3</v>
      </c>
      <c r="K2305" s="118">
        <v>7.0717592592592594E-3</v>
      </c>
    </row>
    <row r="2306" spans="1:11" x14ac:dyDescent="0.25">
      <c r="A2306">
        <v>4</v>
      </c>
      <c r="B2306">
        <v>9</v>
      </c>
      <c r="C2306"/>
      <c r="D2306" t="s">
        <v>31</v>
      </c>
      <c r="E2306" t="s">
        <v>35</v>
      </c>
      <c r="F2306" t="s">
        <v>38</v>
      </c>
      <c r="G2306" s="118">
        <v>0.52640046296296295</v>
      </c>
      <c r="H2306" s="118">
        <v>9.1435185185185185E-4</v>
      </c>
      <c r="I2306" s="118">
        <v>3.4722222222222224E-4</v>
      </c>
      <c r="J2306"/>
      <c r="K2306"/>
    </row>
    <row r="2307" spans="1:11" x14ac:dyDescent="0.25">
      <c r="A2307">
        <v>1</v>
      </c>
      <c r="B2307">
        <v>8</v>
      </c>
      <c r="C2307"/>
      <c r="D2307" t="s">
        <v>31</v>
      </c>
      <c r="E2307" t="s">
        <v>32</v>
      </c>
      <c r="F2307" t="s">
        <v>50</v>
      </c>
      <c r="G2307" s="118">
        <v>0.52644675925925932</v>
      </c>
      <c r="H2307" s="118">
        <v>3.4722222222222224E-4</v>
      </c>
      <c r="I2307" s="118">
        <v>1.261574074074074E-3</v>
      </c>
      <c r="J2307" s="118">
        <v>7.0717592592592594E-3</v>
      </c>
      <c r="K2307" s="118">
        <v>7.0717592592592594E-3</v>
      </c>
    </row>
    <row r="2308" spans="1:11" x14ac:dyDescent="0.25">
      <c r="A2308">
        <v>4</v>
      </c>
      <c r="B2308">
        <v>9</v>
      </c>
      <c r="C2308"/>
      <c r="D2308" t="s">
        <v>31</v>
      </c>
      <c r="E2308" t="s">
        <v>32</v>
      </c>
      <c r="F2308" t="s">
        <v>38</v>
      </c>
      <c r="G2308" s="118">
        <v>0.52674768518518522</v>
      </c>
      <c r="H2308" s="118">
        <v>3.4722222222222224E-4</v>
      </c>
      <c r="I2308" s="118">
        <v>1.2384259259259258E-3</v>
      </c>
      <c r="J2308" s="118">
        <v>7.0717592592592594E-3</v>
      </c>
      <c r="K2308" s="118">
        <v>7.0717592592592594E-3</v>
      </c>
    </row>
    <row r="2309" spans="1:11" x14ac:dyDescent="0.25">
      <c r="A2309">
        <v>5</v>
      </c>
      <c r="B2309">
        <v>9</v>
      </c>
      <c r="C2309"/>
      <c r="D2309" t="s">
        <v>31</v>
      </c>
      <c r="E2309" t="s">
        <v>35</v>
      </c>
      <c r="F2309" t="s">
        <v>92</v>
      </c>
      <c r="G2309" s="118">
        <v>0.52688657407407413</v>
      </c>
      <c r="H2309" s="118">
        <v>6.9444444444444447E-4</v>
      </c>
      <c r="I2309" s="118">
        <v>5.2083333333333333E-4</v>
      </c>
      <c r="J2309"/>
      <c r="K2309"/>
    </row>
    <row r="2310" spans="1:11" x14ac:dyDescent="0.25">
      <c r="A2310">
        <v>2</v>
      </c>
      <c r="B2310">
        <v>9</v>
      </c>
      <c r="C2310"/>
      <c r="D2310" t="s">
        <v>31</v>
      </c>
      <c r="E2310" t="s">
        <v>35</v>
      </c>
      <c r="F2310" t="s">
        <v>49</v>
      </c>
      <c r="G2310" s="118">
        <v>0.52704861111111112</v>
      </c>
      <c r="H2310" s="118">
        <v>9.2592592592592585E-4</v>
      </c>
      <c r="I2310" s="118">
        <v>3.4722222222222224E-4</v>
      </c>
      <c r="J2310"/>
      <c r="K2310"/>
    </row>
    <row r="2311" spans="1:11" x14ac:dyDescent="0.25">
      <c r="A2311">
        <v>3</v>
      </c>
      <c r="B2311">
        <v>9</v>
      </c>
      <c r="C2311"/>
      <c r="D2311" t="s">
        <v>31</v>
      </c>
      <c r="E2311" t="s">
        <v>35</v>
      </c>
      <c r="F2311" t="s">
        <v>46</v>
      </c>
      <c r="G2311" s="118">
        <v>0.52731481481481479</v>
      </c>
      <c r="H2311" s="118">
        <v>1.8055555555555557E-3</v>
      </c>
      <c r="I2311" s="118">
        <v>3.4722222222222224E-4</v>
      </c>
      <c r="J2311"/>
      <c r="K2311"/>
    </row>
    <row r="2312" spans="1:11" x14ac:dyDescent="0.25">
      <c r="A2312">
        <v>2</v>
      </c>
      <c r="B2312">
        <v>9</v>
      </c>
      <c r="C2312"/>
      <c r="D2312" t="s">
        <v>31</v>
      </c>
      <c r="E2312" t="s">
        <v>32</v>
      </c>
      <c r="F2312" t="s">
        <v>49</v>
      </c>
      <c r="G2312" s="118">
        <v>0.5273958333333334</v>
      </c>
      <c r="H2312" s="118">
        <v>3.4722222222222224E-4</v>
      </c>
      <c r="I2312" s="118">
        <v>1.3541666666666667E-3</v>
      </c>
      <c r="J2312" s="118">
        <v>7.0717592592592594E-3</v>
      </c>
      <c r="K2312" s="118">
        <v>7.0717592592592594E-3</v>
      </c>
    </row>
    <row r="2313" spans="1:11" x14ac:dyDescent="0.25">
      <c r="A2313">
        <v>5</v>
      </c>
      <c r="B2313">
        <v>10</v>
      </c>
      <c r="C2313"/>
      <c r="D2313" t="s">
        <v>31</v>
      </c>
      <c r="E2313" t="s">
        <v>32</v>
      </c>
      <c r="F2313" t="s">
        <v>92</v>
      </c>
      <c r="G2313" s="118">
        <v>0.52740740740740744</v>
      </c>
      <c r="H2313" s="118">
        <v>5.2083333333333333E-4</v>
      </c>
      <c r="I2313" s="118">
        <v>1.0069444444444444E-3</v>
      </c>
      <c r="J2313" s="118">
        <v>7.0717592592592594E-3</v>
      </c>
      <c r="K2313" s="118">
        <v>7.0717592592592594E-3</v>
      </c>
    </row>
    <row r="2314" spans="1:11" x14ac:dyDescent="0.25">
      <c r="A2314">
        <v>3</v>
      </c>
      <c r="B2314">
        <v>9</v>
      </c>
      <c r="C2314"/>
      <c r="D2314" t="s">
        <v>31</v>
      </c>
      <c r="E2314" t="s">
        <v>32</v>
      </c>
      <c r="F2314" t="s">
        <v>46</v>
      </c>
      <c r="G2314" s="118">
        <v>0.52766203703703707</v>
      </c>
      <c r="H2314" s="118">
        <v>3.4722222222222224E-4</v>
      </c>
      <c r="I2314" s="118">
        <v>9.1435185185185185E-4</v>
      </c>
      <c r="J2314" s="118">
        <v>7.0717592592592594E-3</v>
      </c>
      <c r="K2314" s="118">
        <v>7.0717592592592594E-3</v>
      </c>
    </row>
    <row r="2315" spans="1:11" x14ac:dyDescent="0.25">
      <c r="A2315">
        <v>1</v>
      </c>
      <c r="B2315">
        <v>8</v>
      </c>
      <c r="C2315"/>
      <c r="D2315" t="s">
        <v>31</v>
      </c>
      <c r="E2315" t="s">
        <v>35</v>
      </c>
      <c r="F2315" t="s">
        <v>56</v>
      </c>
      <c r="G2315" s="118">
        <v>0.52770833333333333</v>
      </c>
      <c r="H2315" s="118">
        <v>1.261574074074074E-3</v>
      </c>
      <c r="I2315" s="118">
        <v>3.4722222222222224E-4</v>
      </c>
      <c r="J2315"/>
      <c r="K2315"/>
    </row>
    <row r="2316" spans="1:11" x14ac:dyDescent="0.25">
      <c r="A2316">
        <v>4</v>
      </c>
      <c r="B2316">
        <v>9</v>
      </c>
      <c r="C2316"/>
      <c r="D2316" t="s">
        <v>31</v>
      </c>
      <c r="E2316" t="s">
        <v>35</v>
      </c>
      <c r="F2316" t="s">
        <v>45</v>
      </c>
      <c r="G2316" s="118">
        <v>0.52798611111111116</v>
      </c>
      <c r="H2316" s="118">
        <v>1.2384259259259258E-3</v>
      </c>
      <c r="I2316" s="118">
        <v>3.4722222222222224E-4</v>
      </c>
      <c r="J2316"/>
      <c r="K2316"/>
    </row>
    <row r="2317" spans="1:11" x14ac:dyDescent="0.25">
      <c r="A2317">
        <v>1</v>
      </c>
      <c r="B2317">
        <v>8</v>
      </c>
      <c r="C2317"/>
      <c r="D2317" t="s">
        <v>31</v>
      </c>
      <c r="E2317" t="s">
        <v>32</v>
      </c>
      <c r="F2317" t="s">
        <v>56</v>
      </c>
      <c r="G2317" s="118">
        <v>0.52805555555555561</v>
      </c>
      <c r="H2317" s="118">
        <v>3.4722222222222224E-4</v>
      </c>
      <c r="I2317" s="118">
        <v>9.6064814814814808E-4</v>
      </c>
      <c r="J2317" s="118">
        <v>7.0717592592592594E-3</v>
      </c>
      <c r="K2317" s="118">
        <v>7.0717592592592594E-3</v>
      </c>
    </row>
    <row r="2318" spans="1:11" x14ac:dyDescent="0.25">
      <c r="A2318">
        <v>4</v>
      </c>
      <c r="B2318">
        <v>9</v>
      </c>
      <c r="C2318"/>
      <c r="D2318" t="s">
        <v>31</v>
      </c>
      <c r="E2318" t="s">
        <v>32</v>
      </c>
      <c r="F2318" t="s">
        <v>45</v>
      </c>
      <c r="G2318" s="118">
        <v>0.52833333333333332</v>
      </c>
      <c r="H2318" s="118">
        <v>3.4722222222222224E-4</v>
      </c>
      <c r="I2318" s="118">
        <v>1.0416666666666667E-3</v>
      </c>
      <c r="J2318" s="118">
        <v>7.0717592592592594E-3</v>
      </c>
      <c r="K2318" s="118">
        <v>7.0717592592592594E-3</v>
      </c>
    </row>
    <row r="2319" spans="1:11" x14ac:dyDescent="0.25">
      <c r="A2319">
        <v>5</v>
      </c>
      <c r="B2319">
        <v>10</v>
      </c>
      <c r="C2319"/>
      <c r="D2319" t="s">
        <v>31</v>
      </c>
      <c r="E2319" t="s">
        <v>35</v>
      </c>
      <c r="F2319" t="s">
        <v>41</v>
      </c>
      <c r="G2319" s="118">
        <v>0.52841435185185182</v>
      </c>
      <c r="H2319" s="118">
        <v>1.0069444444444444E-3</v>
      </c>
      <c r="I2319" s="118">
        <v>3.4722222222222224E-4</v>
      </c>
      <c r="J2319"/>
      <c r="K2319"/>
    </row>
    <row r="2320" spans="1:11" x14ac:dyDescent="0.25">
      <c r="A2320">
        <v>3</v>
      </c>
      <c r="B2320">
        <v>9</v>
      </c>
      <c r="C2320"/>
      <c r="D2320" t="s">
        <v>31</v>
      </c>
      <c r="E2320" t="s">
        <v>35</v>
      </c>
      <c r="F2320" t="s">
        <v>51</v>
      </c>
      <c r="G2320" s="118">
        <v>0.52857638888888892</v>
      </c>
      <c r="H2320" s="118">
        <v>9.1435185185185185E-4</v>
      </c>
      <c r="I2320" s="118">
        <v>3.4722222222222224E-4</v>
      </c>
      <c r="J2320"/>
      <c r="K2320"/>
    </row>
    <row r="2321" spans="1:11" x14ac:dyDescent="0.25">
      <c r="A2321">
        <v>2</v>
      </c>
      <c r="B2321">
        <v>9</v>
      </c>
      <c r="C2321"/>
      <c r="D2321" t="s">
        <v>31</v>
      </c>
      <c r="E2321" t="s">
        <v>35</v>
      </c>
      <c r="F2321" t="s">
        <v>33</v>
      </c>
      <c r="G2321" s="118">
        <v>0.52874999999999994</v>
      </c>
      <c r="H2321" s="118">
        <v>1.3541666666666667E-3</v>
      </c>
      <c r="I2321" s="118">
        <v>5.2083333333333333E-4</v>
      </c>
      <c r="J2321"/>
      <c r="K2321"/>
    </row>
    <row r="2322" spans="1:11" x14ac:dyDescent="0.25">
      <c r="A2322">
        <v>5</v>
      </c>
      <c r="B2322">
        <v>10</v>
      </c>
      <c r="C2322"/>
      <c r="D2322" t="s">
        <v>31</v>
      </c>
      <c r="E2322" t="s">
        <v>32</v>
      </c>
      <c r="F2322" t="s">
        <v>41</v>
      </c>
      <c r="G2322" s="118">
        <v>0.52876157407407409</v>
      </c>
      <c r="H2322" s="118">
        <v>3.4722222222222224E-4</v>
      </c>
      <c r="I2322" s="118">
        <v>8.564814814814815E-4</v>
      </c>
      <c r="J2322" s="118">
        <v>7.0717592592592594E-3</v>
      </c>
      <c r="K2322" s="118">
        <v>7.0717592592592594E-3</v>
      </c>
    </row>
    <row r="2323" spans="1:11" x14ac:dyDescent="0.25">
      <c r="A2323">
        <v>3</v>
      </c>
      <c r="B2323">
        <v>9</v>
      </c>
      <c r="C2323"/>
      <c r="D2323" t="s">
        <v>31</v>
      </c>
      <c r="E2323" t="s">
        <v>32</v>
      </c>
      <c r="F2323" t="s">
        <v>51</v>
      </c>
      <c r="G2323" s="118">
        <v>0.52892361111111108</v>
      </c>
      <c r="H2323" s="118">
        <v>3.4722222222222224E-4</v>
      </c>
      <c r="I2323" s="118">
        <v>1.0069444444444444E-3</v>
      </c>
      <c r="J2323" s="118">
        <v>7.0717592592592594E-3</v>
      </c>
      <c r="K2323" s="118">
        <v>7.0717592592592594E-3</v>
      </c>
    </row>
    <row r="2324" spans="1:11" x14ac:dyDescent="0.25">
      <c r="A2324">
        <v>1</v>
      </c>
      <c r="B2324">
        <v>8</v>
      </c>
      <c r="C2324"/>
      <c r="D2324" t="s">
        <v>31</v>
      </c>
      <c r="E2324" t="s">
        <v>35</v>
      </c>
      <c r="F2324" t="s">
        <v>37</v>
      </c>
      <c r="G2324" s="118">
        <v>0.52901620370370372</v>
      </c>
      <c r="H2324" s="118">
        <v>9.6064814814814808E-4</v>
      </c>
      <c r="I2324" s="118">
        <v>3.4722222222222224E-4</v>
      </c>
      <c r="J2324"/>
      <c r="K2324"/>
    </row>
    <row r="2325" spans="1:11" x14ac:dyDescent="0.25">
      <c r="A2325">
        <v>2</v>
      </c>
      <c r="B2325">
        <v>9</v>
      </c>
      <c r="C2325"/>
      <c r="D2325" t="s">
        <v>31</v>
      </c>
      <c r="E2325" t="s">
        <v>32</v>
      </c>
      <c r="F2325" t="s">
        <v>33</v>
      </c>
      <c r="G2325" s="118">
        <v>0.52927083333333336</v>
      </c>
      <c r="H2325" s="118">
        <v>5.2083333333333333E-4</v>
      </c>
      <c r="I2325" s="118">
        <v>9.6064814814814808E-4</v>
      </c>
      <c r="J2325" s="118">
        <v>7.0717592592592594E-3</v>
      </c>
      <c r="K2325" s="118">
        <v>7.0717592592592594E-3</v>
      </c>
    </row>
    <row r="2326" spans="1:11" x14ac:dyDescent="0.25">
      <c r="A2326">
        <v>1</v>
      </c>
      <c r="B2326">
        <v>8</v>
      </c>
      <c r="C2326"/>
      <c r="D2326" t="s">
        <v>31</v>
      </c>
      <c r="E2326" t="s">
        <v>32</v>
      </c>
      <c r="F2326" t="s">
        <v>37</v>
      </c>
      <c r="G2326" s="118">
        <v>0.52936342592592589</v>
      </c>
      <c r="H2326" s="118">
        <v>3.4722222222222224E-4</v>
      </c>
      <c r="I2326" s="118">
        <v>9.0277777777777784E-4</v>
      </c>
      <c r="J2326" s="118">
        <v>7.0717592592592594E-3</v>
      </c>
      <c r="K2326" s="118">
        <v>7.0717592592592594E-3</v>
      </c>
    </row>
    <row r="2327" spans="1:11" x14ac:dyDescent="0.25">
      <c r="A2327">
        <v>4</v>
      </c>
      <c r="B2327">
        <v>9</v>
      </c>
      <c r="C2327"/>
      <c r="D2327" t="s">
        <v>31</v>
      </c>
      <c r="E2327" t="s">
        <v>35</v>
      </c>
      <c r="F2327" t="s">
        <v>52</v>
      </c>
      <c r="G2327" s="118">
        <v>0.52937500000000004</v>
      </c>
      <c r="H2327" s="118">
        <v>1.0416666666666667E-3</v>
      </c>
      <c r="I2327" s="118">
        <v>3.4722222222222224E-4</v>
      </c>
      <c r="J2327"/>
      <c r="K2327"/>
    </row>
    <row r="2328" spans="1:11" x14ac:dyDescent="0.25">
      <c r="A2328">
        <v>5</v>
      </c>
      <c r="B2328">
        <v>10</v>
      </c>
      <c r="C2328"/>
      <c r="D2328" t="s">
        <v>31</v>
      </c>
      <c r="E2328" t="s">
        <v>35</v>
      </c>
      <c r="F2328" t="s">
        <v>47</v>
      </c>
      <c r="G2328" s="118">
        <v>0.52961805555555552</v>
      </c>
      <c r="H2328" s="118">
        <v>8.564814814814815E-4</v>
      </c>
      <c r="I2328" s="118">
        <v>5.2083333333333333E-4</v>
      </c>
      <c r="J2328"/>
      <c r="K2328"/>
    </row>
    <row r="2329" spans="1:11" x14ac:dyDescent="0.25">
      <c r="A2329">
        <v>4</v>
      </c>
      <c r="B2329">
        <v>9</v>
      </c>
      <c r="C2329"/>
      <c r="D2329" t="s">
        <v>31</v>
      </c>
      <c r="E2329" t="s">
        <v>32</v>
      </c>
      <c r="F2329" t="s">
        <v>52</v>
      </c>
      <c r="G2329" s="118">
        <v>0.52972222222222221</v>
      </c>
      <c r="H2329" s="118">
        <v>3.4722222222222224E-4</v>
      </c>
      <c r="I2329" s="118">
        <v>1.0532407407407407E-3</v>
      </c>
      <c r="J2329" s="118">
        <v>7.0717592592592594E-3</v>
      </c>
      <c r="K2329" s="118">
        <v>7.0717592592592594E-3</v>
      </c>
    </row>
    <row r="2330" spans="1:11" x14ac:dyDescent="0.25">
      <c r="A2330">
        <v>3</v>
      </c>
      <c r="B2330">
        <v>9</v>
      </c>
      <c r="C2330"/>
      <c r="D2330" t="s">
        <v>31</v>
      </c>
      <c r="E2330" t="s">
        <v>35</v>
      </c>
      <c r="F2330" t="s">
        <v>55</v>
      </c>
      <c r="G2330" s="118">
        <v>0.52993055555555557</v>
      </c>
      <c r="H2330" s="118">
        <v>1.0069444444444444E-3</v>
      </c>
      <c r="I2330" s="118">
        <v>4.6296296296296293E-4</v>
      </c>
      <c r="J2330"/>
      <c r="K2330"/>
    </row>
    <row r="2331" spans="1:11" x14ac:dyDescent="0.25">
      <c r="A2331">
        <v>5</v>
      </c>
      <c r="B2331">
        <v>10</v>
      </c>
      <c r="C2331"/>
      <c r="D2331" t="s">
        <v>31</v>
      </c>
      <c r="E2331" t="s">
        <v>32</v>
      </c>
      <c r="F2331" t="s">
        <v>47</v>
      </c>
      <c r="G2331" s="118">
        <v>0.53013888888888883</v>
      </c>
      <c r="H2331" s="118">
        <v>5.2083333333333333E-4</v>
      </c>
      <c r="I2331" s="118">
        <v>8.7962962962962962E-4</v>
      </c>
      <c r="J2331" s="118">
        <v>7.0717592592592594E-3</v>
      </c>
      <c r="K2331" s="118">
        <v>7.0717592592592594E-3</v>
      </c>
    </row>
    <row r="2332" spans="1:11" x14ac:dyDescent="0.25">
      <c r="A2332">
        <v>2</v>
      </c>
      <c r="B2332">
        <v>9</v>
      </c>
      <c r="C2332"/>
      <c r="D2332" t="s">
        <v>31</v>
      </c>
      <c r="E2332" t="s">
        <v>35</v>
      </c>
      <c r="F2332" t="s">
        <v>36</v>
      </c>
      <c r="G2332" s="118">
        <v>0.53023148148148147</v>
      </c>
      <c r="H2332" s="118">
        <v>9.6064814814814808E-4</v>
      </c>
      <c r="I2332" s="118">
        <v>3.4722222222222224E-4</v>
      </c>
      <c r="J2332"/>
      <c r="K2332"/>
    </row>
    <row r="2333" spans="1:11" x14ac:dyDescent="0.25">
      <c r="A2333">
        <v>1</v>
      </c>
      <c r="B2333">
        <v>8</v>
      </c>
      <c r="C2333"/>
      <c r="D2333" t="s">
        <v>31</v>
      </c>
      <c r="E2333" t="s">
        <v>35</v>
      </c>
      <c r="F2333" t="s">
        <v>42</v>
      </c>
      <c r="G2333" s="118">
        <v>0.5302662037037037</v>
      </c>
      <c r="H2333" s="118">
        <v>9.0277777777777784E-4</v>
      </c>
      <c r="I2333" s="118">
        <v>3.4722222222222224E-4</v>
      </c>
      <c r="J2333"/>
      <c r="K2333"/>
    </row>
    <row r="2334" spans="1:11" x14ac:dyDescent="0.25">
      <c r="A2334">
        <v>3</v>
      </c>
      <c r="B2334">
        <v>9</v>
      </c>
      <c r="C2334"/>
      <c r="D2334" t="s">
        <v>31</v>
      </c>
      <c r="E2334" t="s">
        <v>32</v>
      </c>
      <c r="F2334" t="s">
        <v>55</v>
      </c>
      <c r="G2334" s="118">
        <v>0.53039351851851857</v>
      </c>
      <c r="H2334" s="118">
        <v>4.6296296296296293E-4</v>
      </c>
      <c r="I2334" s="118">
        <v>4.3981481481481481E-4</v>
      </c>
      <c r="J2334" s="118">
        <v>7.0717592592592594E-3</v>
      </c>
      <c r="K2334" s="118">
        <v>7.0717592592592594E-3</v>
      </c>
    </row>
    <row r="2335" spans="1:11" x14ac:dyDescent="0.25">
      <c r="A2335">
        <v>2</v>
      </c>
      <c r="B2335">
        <v>9</v>
      </c>
      <c r="C2335"/>
      <c r="D2335" t="s">
        <v>31</v>
      </c>
      <c r="E2335" t="s">
        <v>32</v>
      </c>
      <c r="F2335" t="s">
        <v>36</v>
      </c>
      <c r="G2335" s="118">
        <v>0.53057870370370364</v>
      </c>
      <c r="H2335" s="118">
        <v>3.4722222222222224E-4</v>
      </c>
      <c r="I2335" s="118">
        <v>1.0995370370370371E-3</v>
      </c>
      <c r="J2335" s="118">
        <v>7.0717592592592594E-3</v>
      </c>
      <c r="K2335" s="118">
        <v>7.0717592592592594E-3</v>
      </c>
    </row>
    <row r="2336" spans="1:11" x14ac:dyDescent="0.25">
      <c r="A2336">
        <v>1</v>
      </c>
      <c r="B2336">
        <v>8</v>
      </c>
      <c r="C2336"/>
      <c r="D2336" t="s">
        <v>31</v>
      </c>
      <c r="E2336" t="s">
        <v>32</v>
      </c>
      <c r="F2336" t="s">
        <v>42</v>
      </c>
      <c r="G2336" s="118">
        <v>0.53061342592592597</v>
      </c>
      <c r="H2336" s="118">
        <v>3.4722222222222224E-4</v>
      </c>
      <c r="I2336" s="118">
        <v>9.1435185185185185E-4</v>
      </c>
      <c r="J2336" s="118">
        <v>7.0717592592592594E-3</v>
      </c>
      <c r="K2336" s="118">
        <v>7.0717592592592594E-3</v>
      </c>
    </row>
    <row r="2337" spans="1:11" x14ac:dyDescent="0.25">
      <c r="A2337">
        <v>4</v>
      </c>
      <c r="B2337">
        <v>9</v>
      </c>
      <c r="C2337"/>
      <c r="D2337" t="s">
        <v>31</v>
      </c>
      <c r="E2337" t="s">
        <v>35</v>
      </c>
      <c r="F2337" t="s">
        <v>57</v>
      </c>
      <c r="G2337" s="118">
        <v>0.53077546296296296</v>
      </c>
      <c r="H2337" s="118">
        <v>1.0532407407407407E-3</v>
      </c>
      <c r="I2337" s="118">
        <v>3.4722222222222224E-4</v>
      </c>
      <c r="J2337"/>
      <c r="K2337"/>
    </row>
    <row r="2338" spans="1:11" x14ac:dyDescent="0.25">
      <c r="A2338">
        <v>3</v>
      </c>
      <c r="B2338">
        <v>9</v>
      </c>
      <c r="C2338"/>
      <c r="D2338" t="s">
        <v>31</v>
      </c>
      <c r="E2338" t="s">
        <v>35</v>
      </c>
      <c r="F2338" t="s">
        <v>58</v>
      </c>
      <c r="G2338" s="118">
        <v>0.53083333333333338</v>
      </c>
      <c r="H2338" s="118">
        <v>4.3981481481481481E-4</v>
      </c>
      <c r="I2338" s="118">
        <v>5.7870370370370366E-5</v>
      </c>
      <c r="J2338"/>
      <c r="K2338"/>
    </row>
    <row r="2339" spans="1:11" x14ac:dyDescent="0.25">
      <c r="A2339">
        <v>3</v>
      </c>
      <c r="B2339">
        <v>9</v>
      </c>
      <c r="C2339"/>
      <c r="D2339" t="s">
        <v>31</v>
      </c>
      <c r="E2339" t="s">
        <v>32</v>
      </c>
      <c r="F2339" t="s">
        <v>58</v>
      </c>
      <c r="G2339" s="118">
        <v>0.53089120370370368</v>
      </c>
      <c r="H2339" s="118">
        <v>5.7870370370370366E-5</v>
      </c>
      <c r="I2339" s="118">
        <v>4.8611111111111104E-4</v>
      </c>
      <c r="J2339" s="118">
        <v>7.0717592592592594E-3</v>
      </c>
      <c r="K2339" s="118">
        <v>7.0717592592592594E-3</v>
      </c>
    </row>
    <row r="2340" spans="1:11" x14ac:dyDescent="0.25">
      <c r="A2340">
        <v>5</v>
      </c>
      <c r="B2340">
        <v>10</v>
      </c>
      <c r="C2340"/>
      <c r="D2340" t="s">
        <v>31</v>
      </c>
      <c r="E2340" t="s">
        <v>35</v>
      </c>
      <c r="F2340" t="s">
        <v>53</v>
      </c>
      <c r="G2340" s="118">
        <v>0.53101851851851845</v>
      </c>
      <c r="H2340" s="118">
        <v>8.7962962962962962E-4</v>
      </c>
      <c r="I2340" s="118">
        <v>3.4722222222222224E-4</v>
      </c>
      <c r="J2340"/>
      <c r="K2340"/>
    </row>
    <row r="2341" spans="1:11" x14ac:dyDescent="0.25">
      <c r="A2341">
        <v>4</v>
      </c>
      <c r="B2341">
        <v>9</v>
      </c>
      <c r="C2341"/>
      <c r="D2341" t="s">
        <v>31</v>
      </c>
      <c r="E2341" t="s">
        <v>32</v>
      </c>
      <c r="F2341" t="s">
        <v>57</v>
      </c>
      <c r="G2341" s="118">
        <v>0.53112268518518524</v>
      </c>
      <c r="H2341" s="118">
        <v>3.4722222222222224E-4</v>
      </c>
      <c r="I2341" s="118">
        <v>9.3750000000000007E-4</v>
      </c>
      <c r="J2341" s="118">
        <v>7.0717592592592594E-3</v>
      </c>
      <c r="K2341" s="118">
        <v>7.0717592592592594E-3</v>
      </c>
    </row>
    <row r="2342" spans="1:11" x14ac:dyDescent="0.25">
      <c r="A2342">
        <v>5</v>
      </c>
      <c r="B2342">
        <v>10</v>
      </c>
      <c r="C2342"/>
      <c r="D2342" t="s">
        <v>31</v>
      </c>
      <c r="E2342" t="s">
        <v>32</v>
      </c>
      <c r="F2342" t="s">
        <v>53</v>
      </c>
      <c r="G2342" s="118">
        <v>0.53136574074074072</v>
      </c>
      <c r="H2342" s="118">
        <v>3.4722222222222224E-4</v>
      </c>
      <c r="I2342" s="118">
        <v>8.449074074074075E-4</v>
      </c>
      <c r="J2342" s="118">
        <v>7.0717592592592594E-3</v>
      </c>
      <c r="K2342" s="118">
        <v>7.0717592592592594E-3</v>
      </c>
    </row>
    <row r="2343" spans="1:11" x14ac:dyDescent="0.25">
      <c r="A2343">
        <v>3</v>
      </c>
      <c r="B2343">
        <v>9</v>
      </c>
      <c r="C2343"/>
      <c r="D2343" t="s">
        <v>31</v>
      </c>
      <c r="E2343" t="s">
        <v>35</v>
      </c>
      <c r="F2343" t="s">
        <v>40</v>
      </c>
      <c r="G2343" s="118">
        <v>0.53137731481481476</v>
      </c>
      <c r="H2343" s="118">
        <v>4.8611111111111104E-4</v>
      </c>
      <c r="I2343" s="118">
        <v>4.6296296296296293E-4</v>
      </c>
      <c r="J2343"/>
      <c r="K2343"/>
    </row>
    <row r="2344" spans="1:11" x14ac:dyDescent="0.25">
      <c r="A2344">
        <v>1</v>
      </c>
      <c r="B2344">
        <v>8</v>
      </c>
      <c r="C2344"/>
      <c r="D2344" t="s">
        <v>31</v>
      </c>
      <c r="E2344" t="s">
        <v>35</v>
      </c>
      <c r="F2344" t="s">
        <v>48</v>
      </c>
      <c r="G2344" s="118">
        <v>0.53152777777777771</v>
      </c>
      <c r="H2344" s="118">
        <v>9.1435185185185185E-4</v>
      </c>
      <c r="I2344" s="118">
        <v>5.2083333333333333E-4</v>
      </c>
      <c r="J2344"/>
      <c r="K2344"/>
    </row>
    <row r="2345" spans="1:11" x14ac:dyDescent="0.25">
      <c r="A2345">
        <v>2</v>
      </c>
      <c r="B2345">
        <v>9</v>
      </c>
      <c r="C2345"/>
      <c r="D2345" t="s">
        <v>31</v>
      </c>
      <c r="E2345" t="s">
        <v>35</v>
      </c>
      <c r="F2345" t="s">
        <v>43</v>
      </c>
      <c r="G2345" s="118">
        <v>0.53167824074074077</v>
      </c>
      <c r="H2345" s="118">
        <v>1.0995370370370371E-3</v>
      </c>
      <c r="I2345" s="118">
        <v>3.4722222222222224E-4</v>
      </c>
      <c r="J2345"/>
      <c r="K2345"/>
    </row>
    <row r="2346" spans="1:11" x14ac:dyDescent="0.25">
      <c r="A2346">
        <v>3</v>
      </c>
      <c r="B2346">
        <v>9</v>
      </c>
      <c r="C2346"/>
      <c r="D2346" t="s">
        <v>31</v>
      </c>
      <c r="E2346" t="s">
        <v>32</v>
      </c>
      <c r="F2346" t="s">
        <v>40</v>
      </c>
      <c r="G2346" s="118">
        <v>0.53184027777777776</v>
      </c>
      <c r="H2346" s="118">
        <v>4.6296296296296293E-4</v>
      </c>
      <c r="I2346" s="118">
        <v>1.0069444444444444E-3</v>
      </c>
      <c r="J2346" s="118">
        <v>7.0717592592592594E-3</v>
      </c>
      <c r="K2346" s="118">
        <v>7.0717592592592594E-3</v>
      </c>
    </row>
    <row r="2347" spans="1:11" x14ac:dyDescent="0.25">
      <c r="A2347">
        <v>2</v>
      </c>
      <c r="B2347">
        <v>9</v>
      </c>
      <c r="C2347"/>
      <c r="D2347" t="s">
        <v>31</v>
      </c>
      <c r="E2347" t="s">
        <v>32</v>
      </c>
      <c r="F2347" t="s">
        <v>43</v>
      </c>
      <c r="G2347" s="118">
        <v>0.53202546296296294</v>
      </c>
      <c r="H2347" s="118">
        <v>3.4722222222222224E-4</v>
      </c>
      <c r="I2347" s="118">
        <v>1.1458333333333333E-3</v>
      </c>
      <c r="J2347" s="118">
        <v>7.0717592592592594E-3</v>
      </c>
      <c r="K2347" s="118">
        <v>7.0717592592592594E-3</v>
      </c>
    </row>
    <row r="2348" spans="1:11" x14ac:dyDescent="0.25">
      <c r="A2348">
        <v>1</v>
      </c>
      <c r="B2348">
        <v>8</v>
      </c>
      <c r="C2348"/>
      <c r="D2348" t="s">
        <v>31</v>
      </c>
      <c r="E2348" t="s">
        <v>32</v>
      </c>
      <c r="F2348" t="s">
        <v>48</v>
      </c>
      <c r="G2348" s="118">
        <v>0.53204861111111112</v>
      </c>
      <c r="H2348" s="118">
        <v>5.2083333333333333E-4</v>
      </c>
      <c r="I2348" s="118">
        <v>8.6805555555555551E-4</v>
      </c>
      <c r="J2348" s="118">
        <v>7.0717592592592594E-3</v>
      </c>
      <c r="K2348" s="118">
        <v>7.0717592592592594E-3</v>
      </c>
    </row>
    <row r="2349" spans="1:11" x14ac:dyDescent="0.25">
      <c r="A2349">
        <v>4</v>
      </c>
      <c r="B2349">
        <v>9</v>
      </c>
      <c r="C2349"/>
      <c r="D2349" t="s">
        <v>31</v>
      </c>
      <c r="E2349" t="s">
        <v>35</v>
      </c>
      <c r="F2349" t="s">
        <v>39</v>
      </c>
      <c r="G2349" s="118">
        <v>0.53206018518518516</v>
      </c>
      <c r="H2349" s="118">
        <v>9.3750000000000007E-4</v>
      </c>
      <c r="I2349" s="118">
        <v>5.2083333333333333E-4</v>
      </c>
      <c r="J2349"/>
      <c r="K2349"/>
    </row>
    <row r="2350" spans="1:11" x14ac:dyDescent="0.25">
      <c r="A2350">
        <v>5</v>
      </c>
      <c r="B2350">
        <v>10</v>
      </c>
      <c r="C2350"/>
      <c r="D2350" t="s">
        <v>31</v>
      </c>
      <c r="E2350" t="s">
        <v>35</v>
      </c>
      <c r="F2350" t="s">
        <v>34</v>
      </c>
      <c r="G2350" s="118">
        <v>0.53221064814814811</v>
      </c>
      <c r="H2350" s="118">
        <v>8.449074074074075E-4</v>
      </c>
      <c r="I2350" s="118">
        <v>3.4722222222222224E-4</v>
      </c>
      <c r="J2350"/>
      <c r="K2350"/>
    </row>
    <row r="2351" spans="1:11" x14ac:dyDescent="0.25">
      <c r="A2351">
        <v>5</v>
      </c>
      <c r="B2351">
        <v>10</v>
      </c>
      <c r="C2351"/>
      <c r="D2351" t="s">
        <v>31</v>
      </c>
      <c r="E2351" t="s">
        <v>32</v>
      </c>
      <c r="F2351" t="s">
        <v>34</v>
      </c>
      <c r="G2351" s="118">
        <v>0.53255787037037039</v>
      </c>
      <c r="H2351" s="118">
        <v>3.4722222222222224E-4</v>
      </c>
      <c r="I2351" s="118">
        <v>9.1435185185185185E-4</v>
      </c>
      <c r="J2351" s="118">
        <v>7.0717592592592594E-3</v>
      </c>
      <c r="K2351" s="118">
        <v>7.0717592592592594E-3</v>
      </c>
    </row>
    <row r="2352" spans="1:11" x14ac:dyDescent="0.25">
      <c r="A2352">
        <v>4</v>
      </c>
      <c r="B2352">
        <v>9</v>
      </c>
      <c r="C2352"/>
      <c r="D2352" t="s">
        <v>31</v>
      </c>
      <c r="E2352" t="s">
        <v>32</v>
      </c>
      <c r="F2352" t="s">
        <v>39</v>
      </c>
      <c r="G2352" s="118">
        <v>0.53258101851851858</v>
      </c>
      <c r="H2352" s="118">
        <v>5.2083333333333333E-4</v>
      </c>
      <c r="I2352" s="118">
        <v>1.8055555555555557E-3</v>
      </c>
      <c r="J2352" s="118">
        <v>7.0717592592592594E-3</v>
      </c>
      <c r="K2352" s="118">
        <v>7.0717592592592594E-3</v>
      </c>
    </row>
    <row r="2353" spans="1:11" x14ac:dyDescent="0.25">
      <c r="A2353">
        <v>3</v>
      </c>
      <c r="B2353">
        <v>9</v>
      </c>
      <c r="C2353"/>
      <c r="D2353" t="s">
        <v>31</v>
      </c>
      <c r="E2353" t="s">
        <v>35</v>
      </c>
      <c r="F2353" t="s">
        <v>44</v>
      </c>
      <c r="G2353" s="118">
        <v>0.53284722222222225</v>
      </c>
      <c r="H2353" s="118">
        <v>1.0069444444444444E-3</v>
      </c>
      <c r="I2353" s="118">
        <v>3.4722222222222224E-4</v>
      </c>
      <c r="J2353"/>
      <c r="K2353"/>
    </row>
    <row r="2354" spans="1:11" x14ac:dyDescent="0.25">
      <c r="A2354">
        <v>1</v>
      </c>
      <c r="B2354">
        <v>8</v>
      </c>
      <c r="C2354"/>
      <c r="D2354" t="s">
        <v>31</v>
      </c>
      <c r="E2354" t="s">
        <v>35</v>
      </c>
      <c r="F2354" t="s">
        <v>54</v>
      </c>
      <c r="G2354" s="118">
        <v>0.53291666666666659</v>
      </c>
      <c r="H2354" s="118">
        <v>8.6805555555555551E-4</v>
      </c>
      <c r="I2354" s="118">
        <v>3.4722222222222224E-4</v>
      </c>
      <c r="J2354"/>
      <c r="K2354"/>
    </row>
    <row r="2355" spans="1:11" x14ac:dyDescent="0.25">
      <c r="A2355">
        <v>2</v>
      </c>
      <c r="B2355">
        <v>9</v>
      </c>
      <c r="C2355"/>
      <c r="D2355" t="s">
        <v>31</v>
      </c>
      <c r="E2355" t="s">
        <v>35</v>
      </c>
      <c r="F2355" t="s">
        <v>50</v>
      </c>
      <c r="G2355" s="118">
        <v>0.53317129629629634</v>
      </c>
      <c r="H2355" s="118">
        <v>1.1458333333333333E-3</v>
      </c>
      <c r="I2355" s="118">
        <v>3.4722222222222224E-4</v>
      </c>
      <c r="J2355"/>
      <c r="K2355"/>
    </row>
    <row r="2356" spans="1:11" x14ac:dyDescent="0.25">
      <c r="A2356">
        <v>3</v>
      </c>
      <c r="B2356">
        <v>9</v>
      </c>
      <c r="C2356"/>
      <c r="D2356" t="s">
        <v>31</v>
      </c>
      <c r="E2356" t="s">
        <v>32</v>
      </c>
      <c r="F2356" t="s">
        <v>44</v>
      </c>
      <c r="G2356" s="118">
        <v>0.53319444444444442</v>
      </c>
      <c r="H2356" s="118">
        <v>3.4722222222222224E-4</v>
      </c>
      <c r="I2356" s="118">
        <v>9.2592592592592585E-4</v>
      </c>
      <c r="J2356" s="118">
        <v>7.0717592592592594E-3</v>
      </c>
      <c r="K2356" s="118">
        <v>7.0717592592592594E-3</v>
      </c>
    </row>
    <row r="2357" spans="1:11" x14ac:dyDescent="0.25">
      <c r="A2357">
        <v>1</v>
      </c>
      <c r="B2357">
        <v>8</v>
      </c>
      <c r="C2357"/>
      <c r="D2357" t="s">
        <v>31</v>
      </c>
      <c r="E2357" t="s">
        <v>32</v>
      </c>
      <c r="F2357" t="s">
        <v>54</v>
      </c>
      <c r="G2357" s="118">
        <v>0.53326388888888887</v>
      </c>
      <c r="H2357" s="118">
        <v>3.4722222222222224E-4</v>
      </c>
      <c r="I2357" s="118">
        <v>6.9444444444444447E-4</v>
      </c>
      <c r="J2357" s="118">
        <v>7.0717592592592594E-3</v>
      </c>
      <c r="K2357" s="118">
        <v>7.0717592592592594E-3</v>
      </c>
    </row>
    <row r="2358" spans="1:11" x14ac:dyDescent="0.25">
      <c r="A2358">
        <v>5</v>
      </c>
      <c r="B2358">
        <v>10</v>
      </c>
      <c r="C2358"/>
      <c r="D2358" t="s">
        <v>31</v>
      </c>
      <c r="E2358" t="s">
        <v>35</v>
      </c>
      <c r="F2358" t="s">
        <v>38</v>
      </c>
      <c r="G2358" s="118">
        <v>0.53347222222222224</v>
      </c>
      <c r="H2358" s="118">
        <v>9.1435185185185185E-4</v>
      </c>
      <c r="I2358" s="118">
        <v>3.4722222222222224E-4</v>
      </c>
      <c r="J2358"/>
      <c r="K2358"/>
    </row>
    <row r="2359" spans="1:11" x14ac:dyDescent="0.25">
      <c r="A2359">
        <v>2</v>
      </c>
      <c r="B2359">
        <v>9</v>
      </c>
      <c r="C2359"/>
      <c r="D2359" t="s">
        <v>31</v>
      </c>
      <c r="E2359" t="s">
        <v>32</v>
      </c>
      <c r="F2359" t="s">
        <v>50</v>
      </c>
      <c r="G2359" s="118">
        <v>0.5335185185185185</v>
      </c>
      <c r="H2359" s="118">
        <v>3.4722222222222224E-4</v>
      </c>
      <c r="I2359" s="118">
        <v>1.261574074074074E-3</v>
      </c>
      <c r="J2359" s="118">
        <v>7.0717592592592594E-3</v>
      </c>
      <c r="K2359" s="118">
        <v>7.0717592592592594E-3</v>
      </c>
    </row>
    <row r="2360" spans="1:11" x14ac:dyDescent="0.25">
      <c r="A2360">
        <v>5</v>
      </c>
      <c r="B2360">
        <v>10</v>
      </c>
      <c r="C2360"/>
      <c r="D2360" t="s">
        <v>31</v>
      </c>
      <c r="E2360" t="s">
        <v>32</v>
      </c>
      <c r="F2360" t="s">
        <v>38</v>
      </c>
      <c r="G2360" s="118">
        <v>0.53381944444444451</v>
      </c>
      <c r="H2360" s="118">
        <v>3.4722222222222224E-4</v>
      </c>
      <c r="I2360" s="118">
        <v>1.2384259259259258E-3</v>
      </c>
      <c r="J2360" s="118">
        <v>7.0717592592592594E-3</v>
      </c>
      <c r="K2360" s="118">
        <v>7.0717592592592594E-3</v>
      </c>
    </row>
    <row r="2361" spans="1:11" x14ac:dyDescent="0.25">
      <c r="A2361">
        <v>1</v>
      </c>
      <c r="B2361">
        <v>8</v>
      </c>
      <c r="C2361"/>
      <c r="D2361" t="s">
        <v>31</v>
      </c>
      <c r="E2361" t="s">
        <v>35</v>
      </c>
      <c r="F2361" t="s">
        <v>92</v>
      </c>
      <c r="G2361" s="118">
        <v>0.53395833333333331</v>
      </c>
      <c r="H2361" s="118">
        <v>6.9444444444444447E-4</v>
      </c>
      <c r="I2361" s="118">
        <v>5.2083333333333333E-4</v>
      </c>
      <c r="J2361"/>
      <c r="K2361"/>
    </row>
    <row r="2362" spans="1:11" x14ac:dyDescent="0.25">
      <c r="A2362">
        <v>3</v>
      </c>
      <c r="B2362">
        <v>9</v>
      </c>
      <c r="C2362"/>
      <c r="D2362" t="s">
        <v>31</v>
      </c>
      <c r="E2362" t="s">
        <v>35</v>
      </c>
      <c r="F2362" t="s">
        <v>49</v>
      </c>
      <c r="G2362" s="118">
        <v>0.53412037037037041</v>
      </c>
      <c r="H2362" s="118">
        <v>9.2592592592592585E-4</v>
      </c>
      <c r="I2362" s="118">
        <v>3.4722222222222224E-4</v>
      </c>
      <c r="J2362"/>
      <c r="K2362"/>
    </row>
    <row r="2363" spans="1:11" x14ac:dyDescent="0.25">
      <c r="A2363">
        <v>4</v>
      </c>
      <c r="B2363">
        <v>9</v>
      </c>
      <c r="C2363"/>
      <c r="D2363" t="s">
        <v>31</v>
      </c>
      <c r="E2363" t="s">
        <v>35</v>
      </c>
      <c r="F2363" t="s">
        <v>46</v>
      </c>
      <c r="G2363" s="118">
        <v>0.53438657407407408</v>
      </c>
      <c r="H2363" s="118">
        <v>1.8055555555555557E-3</v>
      </c>
      <c r="I2363" s="118">
        <v>3.4722222222222224E-4</v>
      </c>
      <c r="J2363"/>
      <c r="K2363"/>
    </row>
    <row r="2364" spans="1:11" x14ac:dyDescent="0.25">
      <c r="A2364">
        <v>3</v>
      </c>
      <c r="B2364">
        <v>9</v>
      </c>
      <c r="C2364"/>
      <c r="D2364" t="s">
        <v>31</v>
      </c>
      <c r="E2364" t="s">
        <v>32</v>
      </c>
      <c r="F2364" t="s">
        <v>49</v>
      </c>
      <c r="G2364" s="118">
        <v>0.53446759259259258</v>
      </c>
      <c r="H2364" s="118">
        <v>3.4722222222222224E-4</v>
      </c>
      <c r="I2364" s="118">
        <v>1.3541666666666667E-3</v>
      </c>
      <c r="J2364" s="118">
        <v>7.0717592592592594E-3</v>
      </c>
      <c r="K2364" s="118">
        <v>7.0717592592592594E-3</v>
      </c>
    </row>
    <row r="2365" spans="1:11" x14ac:dyDescent="0.25">
      <c r="A2365">
        <v>1</v>
      </c>
      <c r="B2365">
        <v>9</v>
      </c>
      <c r="C2365"/>
      <c r="D2365" t="s">
        <v>31</v>
      </c>
      <c r="E2365" t="s">
        <v>32</v>
      </c>
      <c r="F2365" t="s">
        <v>92</v>
      </c>
      <c r="G2365" s="118">
        <v>0.53447916666666673</v>
      </c>
      <c r="H2365" s="118">
        <v>5.2083333333333333E-4</v>
      </c>
      <c r="I2365" s="118">
        <v>1.0069444444444444E-3</v>
      </c>
      <c r="J2365" s="118">
        <v>7.0717592592592594E-3</v>
      </c>
      <c r="K2365" s="118">
        <v>7.0717592592592594E-3</v>
      </c>
    </row>
    <row r="2366" spans="1:11" x14ac:dyDescent="0.25">
      <c r="A2366">
        <v>4</v>
      </c>
      <c r="B2366">
        <v>9</v>
      </c>
      <c r="C2366"/>
      <c r="D2366" t="s">
        <v>31</v>
      </c>
      <c r="E2366" t="s">
        <v>32</v>
      </c>
      <c r="F2366" t="s">
        <v>46</v>
      </c>
      <c r="G2366" s="118">
        <v>0.53473379629629625</v>
      </c>
      <c r="H2366" s="118">
        <v>3.4722222222222224E-4</v>
      </c>
      <c r="I2366" s="118">
        <v>9.1435185185185185E-4</v>
      </c>
      <c r="J2366" s="118">
        <v>7.0717592592592594E-3</v>
      </c>
      <c r="K2366" s="118">
        <v>7.0717592592592594E-3</v>
      </c>
    </row>
    <row r="2367" spans="1:11" x14ac:dyDescent="0.25">
      <c r="A2367">
        <v>2</v>
      </c>
      <c r="B2367">
        <v>9</v>
      </c>
      <c r="C2367"/>
      <c r="D2367" t="s">
        <v>31</v>
      </c>
      <c r="E2367" t="s">
        <v>35</v>
      </c>
      <c r="F2367" t="s">
        <v>56</v>
      </c>
      <c r="G2367" s="118">
        <v>0.53478009259259263</v>
      </c>
      <c r="H2367" s="118">
        <v>1.261574074074074E-3</v>
      </c>
      <c r="I2367" s="118">
        <v>3.4722222222222224E-4</v>
      </c>
      <c r="J2367"/>
      <c r="K2367"/>
    </row>
    <row r="2368" spans="1:11" x14ac:dyDescent="0.25">
      <c r="A2368">
        <v>5</v>
      </c>
      <c r="B2368">
        <v>10</v>
      </c>
      <c r="C2368"/>
      <c r="D2368" t="s">
        <v>31</v>
      </c>
      <c r="E2368" t="s">
        <v>35</v>
      </c>
      <c r="F2368" t="s">
        <v>45</v>
      </c>
      <c r="G2368" s="118">
        <v>0.53505787037037034</v>
      </c>
      <c r="H2368" s="118">
        <v>1.2384259259259258E-3</v>
      </c>
      <c r="I2368" s="118">
        <v>3.4722222222222224E-4</v>
      </c>
      <c r="J2368"/>
      <c r="K2368"/>
    </row>
    <row r="2369" spans="1:11" x14ac:dyDescent="0.25">
      <c r="A2369">
        <v>2</v>
      </c>
      <c r="B2369">
        <v>9</v>
      </c>
      <c r="C2369"/>
      <c r="D2369" t="s">
        <v>31</v>
      </c>
      <c r="E2369" t="s">
        <v>32</v>
      </c>
      <c r="F2369" t="s">
        <v>56</v>
      </c>
      <c r="G2369" s="118">
        <v>0.53512731481481479</v>
      </c>
      <c r="H2369" s="118">
        <v>3.4722222222222224E-4</v>
      </c>
      <c r="I2369" s="118">
        <v>9.6064814814814808E-4</v>
      </c>
      <c r="J2369" s="118">
        <v>7.0717592592592594E-3</v>
      </c>
      <c r="K2369" s="118">
        <v>7.0717592592592594E-3</v>
      </c>
    </row>
    <row r="2370" spans="1:11" x14ac:dyDescent="0.25">
      <c r="A2370">
        <v>5</v>
      </c>
      <c r="B2370">
        <v>10</v>
      </c>
      <c r="C2370"/>
      <c r="D2370" t="s">
        <v>31</v>
      </c>
      <c r="E2370" t="s">
        <v>32</v>
      </c>
      <c r="F2370" t="s">
        <v>45</v>
      </c>
      <c r="G2370" s="118">
        <v>0.53540509259259261</v>
      </c>
      <c r="H2370" s="118">
        <v>3.4722222222222224E-4</v>
      </c>
      <c r="I2370" s="118">
        <v>1.0416666666666667E-3</v>
      </c>
      <c r="J2370" s="118">
        <v>7.0717592592592594E-3</v>
      </c>
      <c r="K2370" s="118">
        <v>7.0717592592592594E-3</v>
      </c>
    </row>
    <row r="2371" spans="1:11" x14ac:dyDescent="0.25">
      <c r="A2371">
        <v>1</v>
      </c>
      <c r="B2371">
        <v>9</v>
      </c>
      <c r="C2371"/>
      <c r="D2371" t="s">
        <v>31</v>
      </c>
      <c r="E2371" t="s">
        <v>35</v>
      </c>
      <c r="F2371" t="s">
        <v>41</v>
      </c>
      <c r="G2371" s="118">
        <v>0.53548611111111111</v>
      </c>
      <c r="H2371" s="118">
        <v>1.0069444444444444E-3</v>
      </c>
      <c r="I2371" s="118">
        <v>3.4722222222222224E-4</v>
      </c>
      <c r="J2371"/>
      <c r="K2371"/>
    </row>
    <row r="2372" spans="1:11" x14ac:dyDescent="0.25">
      <c r="A2372">
        <v>4</v>
      </c>
      <c r="B2372">
        <v>9</v>
      </c>
      <c r="C2372"/>
      <c r="D2372" t="s">
        <v>31</v>
      </c>
      <c r="E2372" t="s">
        <v>35</v>
      </c>
      <c r="F2372" t="s">
        <v>51</v>
      </c>
      <c r="G2372" s="118">
        <v>0.53564814814814821</v>
      </c>
      <c r="H2372" s="118">
        <v>9.1435185185185185E-4</v>
      </c>
      <c r="I2372" s="118">
        <v>3.4722222222222224E-4</v>
      </c>
      <c r="J2372"/>
      <c r="K2372"/>
    </row>
    <row r="2373" spans="1:11" x14ac:dyDescent="0.25">
      <c r="A2373">
        <v>3</v>
      </c>
      <c r="B2373">
        <v>9</v>
      </c>
      <c r="C2373"/>
      <c r="D2373" t="s">
        <v>31</v>
      </c>
      <c r="E2373" t="s">
        <v>35</v>
      </c>
      <c r="F2373" t="s">
        <v>33</v>
      </c>
      <c r="G2373" s="118">
        <v>0.53582175925925923</v>
      </c>
      <c r="H2373" s="118">
        <v>1.3541666666666667E-3</v>
      </c>
      <c r="I2373" s="118">
        <v>5.2083333333333333E-4</v>
      </c>
      <c r="J2373"/>
      <c r="K2373"/>
    </row>
    <row r="2374" spans="1:11" x14ac:dyDescent="0.25">
      <c r="A2374">
        <v>1</v>
      </c>
      <c r="B2374">
        <v>9</v>
      </c>
      <c r="C2374"/>
      <c r="D2374" t="s">
        <v>31</v>
      </c>
      <c r="E2374" t="s">
        <v>32</v>
      </c>
      <c r="F2374" t="s">
        <v>41</v>
      </c>
      <c r="G2374" s="118">
        <v>0.53583333333333327</v>
      </c>
      <c r="H2374" s="118">
        <v>3.4722222222222224E-4</v>
      </c>
      <c r="I2374" s="118">
        <v>8.564814814814815E-4</v>
      </c>
      <c r="J2374" s="118">
        <v>7.0717592592592594E-3</v>
      </c>
      <c r="K2374" s="118">
        <v>7.0717592592592594E-3</v>
      </c>
    </row>
    <row r="2375" spans="1:11" x14ac:dyDescent="0.25">
      <c r="A2375">
        <v>4</v>
      </c>
      <c r="B2375">
        <v>9</v>
      </c>
      <c r="C2375"/>
      <c r="D2375" t="s">
        <v>31</v>
      </c>
      <c r="E2375" t="s">
        <v>32</v>
      </c>
      <c r="F2375" t="s">
        <v>51</v>
      </c>
      <c r="G2375" s="118">
        <v>0.53599537037037037</v>
      </c>
      <c r="H2375" s="118">
        <v>3.4722222222222224E-4</v>
      </c>
      <c r="I2375" s="118">
        <v>1.0069444444444444E-3</v>
      </c>
      <c r="J2375" s="118">
        <v>7.0717592592592594E-3</v>
      </c>
      <c r="K2375" s="118">
        <v>7.0717592592592594E-3</v>
      </c>
    </row>
    <row r="2376" spans="1:11" x14ac:dyDescent="0.25">
      <c r="A2376">
        <v>2</v>
      </c>
      <c r="B2376">
        <v>9</v>
      </c>
      <c r="C2376"/>
      <c r="D2376" t="s">
        <v>31</v>
      </c>
      <c r="E2376" t="s">
        <v>35</v>
      </c>
      <c r="F2376" t="s">
        <v>37</v>
      </c>
      <c r="G2376" s="118">
        <v>0.53608796296296302</v>
      </c>
      <c r="H2376" s="118">
        <v>9.6064814814814808E-4</v>
      </c>
      <c r="I2376" s="118">
        <v>3.4722222222222224E-4</v>
      </c>
      <c r="J2376"/>
      <c r="K2376"/>
    </row>
    <row r="2377" spans="1:11" x14ac:dyDescent="0.25">
      <c r="A2377">
        <v>3</v>
      </c>
      <c r="B2377">
        <v>9</v>
      </c>
      <c r="C2377"/>
      <c r="D2377" t="s">
        <v>31</v>
      </c>
      <c r="E2377" t="s">
        <v>32</v>
      </c>
      <c r="F2377" t="s">
        <v>33</v>
      </c>
      <c r="G2377" s="118">
        <v>0.53634259259259254</v>
      </c>
      <c r="H2377" s="118">
        <v>5.2083333333333333E-4</v>
      </c>
      <c r="I2377" s="118">
        <v>9.6064814814814808E-4</v>
      </c>
      <c r="J2377" s="118">
        <v>7.0717592592592594E-3</v>
      </c>
      <c r="K2377" s="118">
        <v>7.0717592592592594E-3</v>
      </c>
    </row>
    <row r="2378" spans="1:11" x14ac:dyDescent="0.25">
      <c r="A2378">
        <v>2</v>
      </c>
      <c r="B2378">
        <v>9</v>
      </c>
      <c r="C2378"/>
      <c r="D2378" t="s">
        <v>31</v>
      </c>
      <c r="E2378" t="s">
        <v>32</v>
      </c>
      <c r="F2378" t="s">
        <v>37</v>
      </c>
      <c r="G2378" s="118">
        <v>0.53643518518518518</v>
      </c>
      <c r="H2378" s="118">
        <v>3.4722222222222224E-4</v>
      </c>
      <c r="I2378" s="118">
        <v>9.0277777777777784E-4</v>
      </c>
      <c r="J2378" s="118">
        <v>7.0717592592592594E-3</v>
      </c>
      <c r="K2378" s="118">
        <v>7.0717592592592594E-3</v>
      </c>
    </row>
    <row r="2379" spans="1:11" x14ac:dyDescent="0.25">
      <c r="A2379">
        <v>5</v>
      </c>
      <c r="B2379">
        <v>10</v>
      </c>
      <c r="C2379"/>
      <c r="D2379" t="s">
        <v>31</v>
      </c>
      <c r="E2379" t="s">
        <v>35</v>
      </c>
      <c r="F2379" t="s">
        <v>52</v>
      </c>
      <c r="G2379" s="118">
        <v>0.53644675925925933</v>
      </c>
      <c r="H2379" s="118">
        <v>1.0416666666666667E-3</v>
      </c>
      <c r="I2379" s="118">
        <v>3.4722222222222224E-4</v>
      </c>
      <c r="J2379"/>
      <c r="K2379"/>
    </row>
    <row r="2380" spans="1:11" x14ac:dyDescent="0.25">
      <c r="A2380">
        <v>1</v>
      </c>
      <c r="B2380">
        <v>9</v>
      </c>
      <c r="C2380"/>
      <c r="D2380" t="s">
        <v>31</v>
      </c>
      <c r="E2380" t="s">
        <v>35</v>
      </c>
      <c r="F2380" t="s">
        <v>47</v>
      </c>
      <c r="G2380" s="118">
        <v>0.53668981481481481</v>
      </c>
      <c r="H2380" s="118">
        <v>8.564814814814815E-4</v>
      </c>
      <c r="I2380" s="118">
        <v>5.2083333333333333E-4</v>
      </c>
      <c r="J2380"/>
      <c r="K2380"/>
    </row>
    <row r="2381" spans="1:11" x14ac:dyDescent="0.25">
      <c r="A2381">
        <v>5</v>
      </c>
      <c r="B2381">
        <v>10</v>
      </c>
      <c r="C2381"/>
      <c r="D2381" t="s">
        <v>31</v>
      </c>
      <c r="E2381" t="s">
        <v>32</v>
      </c>
      <c r="F2381" t="s">
        <v>52</v>
      </c>
      <c r="G2381" s="118">
        <v>0.5367939814814815</v>
      </c>
      <c r="H2381" s="118">
        <v>3.4722222222222224E-4</v>
      </c>
      <c r="I2381" s="118">
        <v>1.0532407407407407E-3</v>
      </c>
      <c r="J2381" s="118">
        <v>7.0717592592592594E-3</v>
      </c>
      <c r="K2381" s="118">
        <v>7.0717592592592594E-3</v>
      </c>
    </row>
    <row r="2382" spans="1:11" x14ac:dyDescent="0.25">
      <c r="A2382">
        <v>4</v>
      </c>
      <c r="B2382">
        <v>9</v>
      </c>
      <c r="C2382"/>
      <c r="D2382" t="s">
        <v>31</v>
      </c>
      <c r="E2382" t="s">
        <v>35</v>
      </c>
      <c r="F2382" t="s">
        <v>55</v>
      </c>
      <c r="G2382" s="118">
        <v>0.53700231481481475</v>
      </c>
      <c r="H2382" s="118">
        <v>1.0069444444444444E-3</v>
      </c>
      <c r="I2382" s="118">
        <v>4.6296296296296293E-4</v>
      </c>
      <c r="J2382"/>
      <c r="K2382"/>
    </row>
    <row r="2383" spans="1:11" x14ac:dyDescent="0.25">
      <c r="A2383">
        <v>1</v>
      </c>
      <c r="B2383">
        <v>9</v>
      </c>
      <c r="C2383"/>
      <c r="D2383" t="s">
        <v>31</v>
      </c>
      <c r="E2383" t="s">
        <v>32</v>
      </c>
      <c r="F2383" t="s">
        <v>47</v>
      </c>
      <c r="G2383" s="118">
        <v>0.53721064814814812</v>
      </c>
      <c r="H2383" s="118">
        <v>5.2083333333333333E-4</v>
      </c>
      <c r="I2383" s="118">
        <v>8.7962962962962962E-4</v>
      </c>
      <c r="J2383" s="118">
        <v>7.0717592592592594E-3</v>
      </c>
      <c r="K2383" s="118">
        <v>7.0717592592592594E-3</v>
      </c>
    </row>
    <row r="2384" spans="1:11" x14ac:dyDescent="0.25">
      <c r="A2384">
        <v>3</v>
      </c>
      <c r="B2384">
        <v>9</v>
      </c>
      <c r="C2384"/>
      <c r="D2384" t="s">
        <v>31</v>
      </c>
      <c r="E2384" t="s">
        <v>35</v>
      </c>
      <c r="F2384" t="s">
        <v>36</v>
      </c>
      <c r="G2384" s="118">
        <v>0.53730324074074076</v>
      </c>
      <c r="H2384" s="118">
        <v>9.6064814814814808E-4</v>
      </c>
      <c r="I2384" s="118">
        <v>3.4722222222222224E-4</v>
      </c>
      <c r="J2384"/>
      <c r="K2384"/>
    </row>
    <row r="2385" spans="1:11" x14ac:dyDescent="0.25">
      <c r="A2385">
        <v>2</v>
      </c>
      <c r="B2385">
        <v>9</v>
      </c>
      <c r="C2385"/>
      <c r="D2385" t="s">
        <v>31</v>
      </c>
      <c r="E2385" t="s">
        <v>35</v>
      </c>
      <c r="F2385" t="s">
        <v>42</v>
      </c>
      <c r="G2385" s="118">
        <v>0.53733796296296299</v>
      </c>
      <c r="H2385" s="118">
        <v>9.0277777777777784E-4</v>
      </c>
      <c r="I2385" s="118">
        <v>3.4722222222222224E-4</v>
      </c>
      <c r="J2385"/>
      <c r="K2385"/>
    </row>
    <row r="2386" spans="1:11" x14ac:dyDescent="0.25">
      <c r="A2386">
        <v>4</v>
      </c>
      <c r="B2386">
        <v>9</v>
      </c>
      <c r="C2386"/>
      <c r="D2386" t="s">
        <v>31</v>
      </c>
      <c r="E2386" t="s">
        <v>32</v>
      </c>
      <c r="F2386" t="s">
        <v>55</v>
      </c>
      <c r="G2386" s="118">
        <v>0.53746527777777775</v>
      </c>
      <c r="H2386" s="118">
        <v>4.6296296296296293E-4</v>
      </c>
      <c r="I2386" s="118">
        <v>4.3981481481481481E-4</v>
      </c>
      <c r="J2386" s="118">
        <v>7.0717592592592594E-3</v>
      </c>
      <c r="K2386" s="118">
        <v>7.0717592592592594E-3</v>
      </c>
    </row>
    <row r="2387" spans="1:11" x14ac:dyDescent="0.25">
      <c r="A2387">
        <v>3</v>
      </c>
      <c r="B2387">
        <v>9</v>
      </c>
      <c r="C2387"/>
      <c r="D2387" t="s">
        <v>31</v>
      </c>
      <c r="E2387" t="s">
        <v>32</v>
      </c>
      <c r="F2387" t="s">
        <v>36</v>
      </c>
      <c r="G2387" s="118">
        <v>0.53765046296296293</v>
      </c>
      <c r="H2387" s="118">
        <v>3.4722222222222224E-4</v>
      </c>
      <c r="I2387" s="118">
        <v>1.0995370370370371E-3</v>
      </c>
      <c r="J2387" s="118">
        <v>7.0717592592592594E-3</v>
      </c>
      <c r="K2387" s="118">
        <v>7.0717592592592594E-3</v>
      </c>
    </row>
    <row r="2388" spans="1:11" x14ac:dyDescent="0.25">
      <c r="A2388">
        <v>2</v>
      </c>
      <c r="B2388">
        <v>9</v>
      </c>
      <c r="C2388"/>
      <c r="D2388" t="s">
        <v>31</v>
      </c>
      <c r="E2388" t="s">
        <v>32</v>
      </c>
      <c r="F2388" t="s">
        <v>42</v>
      </c>
      <c r="G2388" s="118">
        <v>0.53768518518518515</v>
      </c>
      <c r="H2388" s="118">
        <v>3.4722222222222224E-4</v>
      </c>
      <c r="I2388" s="118">
        <v>9.1435185185185185E-4</v>
      </c>
      <c r="J2388" s="118">
        <v>7.0717592592592594E-3</v>
      </c>
      <c r="K2388" s="118">
        <v>7.0717592592592594E-3</v>
      </c>
    </row>
    <row r="2389" spans="1:11" x14ac:dyDescent="0.25">
      <c r="A2389">
        <v>5</v>
      </c>
      <c r="B2389">
        <v>10</v>
      </c>
      <c r="C2389"/>
      <c r="D2389" t="s">
        <v>31</v>
      </c>
      <c r="E2389" t="s">
        <v>35</v>
      </c>
      <c r="F2389" t="s">
        <v>57</v>
      </c>
      <c r="G2389" s="118">
        <v>0.53784722222222225</v>
      </c>
      <c r="H2389" s="118">
        <v>1.0532407407407407E-3</v>
      </c>
      <c r="I2389" s="118">
        <v>3.4722222222222224E-4</v>
      </c>
      <c r="J2389"/>
      <c r="K2389"/>
    </row>
    <row r="2390" spans="1:11" x14ac:dyDescent="0.25">
      <c r="A2390">
        <v>4</v>
      </c>
      <c r="B2390">
        <v>9</v>
      </c>
      <c r="C2390"/>
      <c r="D2390" t="s">
        <v>31</v>
      </c>
      <c r="E2390" t="s">
        <v>35</v>
      </c>
      <c r="F2390" t="s">
        <v>58</v>
      </c>
      <c r="G2390" s="118">
        <v>0.53790509259259256</v>
      </c>
      <c r="H2390" s="118">
        <v>4.3981481481481481E-4</v>
      </c>
      <c r="I2390" s="118">
        <v>5.7870370370370366E-5</v>
      </c>
      <c r="J2390"/>
      <c r="K2390"/>
    </row>
    <row r="2391" spans="1:11" x14ac:dyDescent="0.25">
      <c r="A2391">
        <v>4</v>
      </c>
      <c r="B2391">
        <v>9</v>
      </c>
      <c r="C2391"/>
      <c r="D2391" t="s">
        <v>31</v>
      </c>
      <c r="E2391" t="s">
        <v>32</v>
      </c>
      <c r="F2391" t="s">
        <v>58</v>
      </c>
      <c r="G2391" s="118">
        <v>0.53796296296296298</v>
      </c>
      <c r="H2391" s="118">
        <v>5.7870370370370366E-5</v>
      </c>
      <c r="I2391" s="118">
        <v>4.8611111111111104E-4</v>
      </c>
      <c r="J2391" s="118">
        <v>7.0717592592592594E-3</v>
      </c>
      <c r="K2391" s="118">
        <v>7.0717592592592594E-3</v>
      </c>
    </row>
    <row r="2392" spans="1:11" x14ac:dyDescent="0.25">
      <c r="A2392">
        <v>1</v>
      </c>
      <c r="B2392">
        <v>9</v>
      </c>
      <c r="C2392"/>
      <c r="D2392" t="s">
        <v>31</v>
      </c>
      <c r="E2392" t="s">
        <v>35</v>
      </c>
      <c r="F2392" t="s">
        <v>53</v>
      </c>
      <c r="G2392" s="118">
        <v>0.53809027777777774</v>
      </c>
      <c r="H2392" s="118">
        <v>8.7962962962962962E-4</v>
      </c>
      <c r="I2392" s="118">
        <v>3.4722222222222224E-4</v>
      </c>
      <c r="J2392"/>
      <c r="K2392"/>
    </row>
    <row r="2393" spans="1:11" x14ac:dyDescent="0.25">
      <c r="A2393">
        <v>5</v>
      </c>
      <c r="B2393">
        <v>10</v>
      </c>
      <c r="C2393"/>
      <c r="D2393" t="s">
        <v>31</v>
      </c>
      <c r="E2393" t="s">
        <v>32</v>
      </c>
      <c r="F2393" t="s">
        <v>57</v>
      </c>
      <c r="G2393" s="118">
        <v>0.53819444444444442</v>
      </c>
      <c r="H2393" s="118">
        <v>3.4722222222222224E-4</v>
      </c>
      <c r="I2393" s="118">
        <v>9.3750000000000007E-4</v>
      </c>
      <c r="J2393" s="118">
        <v>7.0717592592592594E-3</v>
      </c>
      <c r="K2393" s="118">
        <v>7.0717592592592594E-3</v>
      </c>
    </row>
    <row r="2394" spans="1:11" x14ac:dyDescent="0.25">
      <c r="A2394">
        <v>1</v>
      </c>
      <c r="B2394">
        <v>9</v>
      </c>
      <c r="C2394"/>
      <c r="D2394" t="s">
        <v>31</v>
      </c>
      <c r="E2394" t="s">
        <v>32</v>
      </c>
      <c r="F2394" t="s">
        <v>53</v>
      </c>
      <c r="G2394" s="118">
        <v>0.53843750000000001</v>
      </c>
      <c r="H2394" s="118">
        <v>3.4722222222222224E-4</v>
      </c>
      <c r="I2394" s="118">
        <v>8.449074074074075E-4</v>
      </c>
      <c r="J2394" s="118">
        <v>7.0717592592592594E-3</v>
      </c>
      <c r="K2394" s="118">
        <v>7.0717592592592594E-3</v>
      </c>
    </row>
    <row r="2395" spans="1:11" x14ac:dyDescent="0.25">
      <c r="A2395">
        <v>4</v>
      </c>
      <c r="B2395">
        <v>9</v>
      </c>
      <c r="C2395"/>
      <c r="D2395" t="s">
        <v>31</v>
      </c>
      <c r="E2395" t="s">
        <v>35</v>
      </c>
      <c r="F2395" t="s">
        <v>40</v>
      </c>
      <c r="G2395" s="118">
        <v>0.53844907407407405</v>
      </c>
      <c r="H2395" s="118">
        <v>4.8611111111111104E-4</v>
      </c>
      <c r="I2395" s="118">
        <v>4.6296296296296293E-4</v>
      </c>
      <c r="J2395"/>
      <c r="K2395"/>
    </row>
    <row r="2396" spans="1:11" x14ac:dyDescent="0.25">
      <c r="A2396">
        <v>2</v>
      </c>
      <c r="B2396">
        <v>9</v>
      </c>
      <c r="C2396"/>
      <c r="D2396" t="s">
        <v>31</v>
      </c>
      <c r="E2396" t="s">
        <v>35</v>
      </c>
      <c r="F2396" t="s">
        <v>48</v>
      </c>
      <c r="G2396" s="118">
        <v>0.538599537037037</v>
      </c>
      <c r="H2396" s="118">
        <v>9.1435185185185185E-4</v>
      </c>
      <c r="I2396" s="118">
        <v>5.2083333333333333E-4</v>
      </c>
      <c r="J2396"/>
      <c r="K2396"/>
    </row>
    <row r="2397" spans="1:11" x14ac:dyDescent="0.25">
      <c r="A2397">
        <v>3</v>
      </c>
      <c r="B2397">
        <v>9</v>
      </c>
      <c r="C2397"/>
      <c r="D2397" t="s">
        <v>31</v>
      </c>
      <c r="E2397" t="s">
        <v>35</v>
      </c>
      <c r="F2397" t="s">
        <v>43</v>
      </c>
      <c r="G2397" s="118">
        <v>0.53874999999999995</v>
      </c>
      <c r="H2397" s="118">
        <v>1.0995370370370371E-3</v>
      </c>
      <c r="I2397" s="118">
        <v>3.4722222222222224E-4</v>
      </c>
      <c r="J2397"/>
      <c r="K2397"/>
    </row>
    <row r="2398" spans="1:11" x14ac:dyDescent="0.25">
      <c r="A2398">
        <v>4</v>
      </c>
      <c r="B2398">
        <v>9</v>
      </c>
      <c r="C2398"/>
      <c r="D2398" t="s">
        <v>31</v>
      </c>
      <c r="E2398" t="s">
        <v>32</v>
      </c>
      <c r="F2398" t="s">
        <v>40</v>
      </c>
      <c r="G2398" s="118">
        <v>0.53891203703703705</v>
      </c>
      <c r="H2398" s="118">
        <v>4.6296296296296293E-4</v>
      </c>
      <c r="I2398" s="118">
        <v>1.0069444444444444E-3</v>
      </c>
      <c r="J2398" s="118">
        <v>7.0717592592592594E-3</v>
      </c>
      <c r="K2398" s="118">
        <v>7.0717592592592594E-3</v>
      </c>
    </row>
    <row r="2399" spans="1:11" x14ac:dyDescent="0.25">
      <c r="A2399">
        <v>3</v>
      </c>
      <c r="B2399">
        <v>9</v>
      </c>
      <c r="C2399"/>
      <c r="D2399" t="s">
        <v>31</v>
      </c>
      <c r="E2399" t="s">
        <v>32</v>
      </c>
      <c r="F2399" t="s">
        <v>43</v>
      </c>
      <c r="G2399" s="118">
        <v>0.53909722222222223</v>
      </c>
      <c r="H2399" s="118">
        <v>3.4722222222222224E-4</v>
      </c>
      <c r="I2399" s="118">
        <v>1.1458333333333333E-3</v>
      </c>
      <c r="J2399" s="118">
        <v>7.0717592592592594E-3</v>
      </c>
      <c r="K2399" s="118">
        <v>7.0717592592592594E-3</v>
      </c>
    </row>
    <row r="2400" spans="1:11" x14ac:dyDescent="0.25">
      <c r="A2400">
        <v>2</v>
      </c>
      <c r="B2400">
        <v>9</v>
      </c>
      <c r="C2400"/>
      <c r="D2400" t="s">
        <v>31</v>
      </c>
      <c r="E2400" t="s">
        <v>32</v>
      </c>
      <c r="F2400" t="s">
        <v>48</v>
      </c>
      <c r="G2400" s="118">
        <v>0.53912037037037031</v>
      </c>
      <c r="H2400" s="118">
        <v>5.2083333333333333E-4</v>
      </c>
      <c r="I2400" s="118">
        <v>8.6805555555555551E-4</v>
      </c>
      <c r="J2400" s="118">
        <v>7.0717592592592594E-3</v>
      </c>
      <c r="K2400" s="118">
        <v>7.0717592592592594E-3</v>
      </c>
    </row>
    <row r="2401" spans="1:11" x14ac:dyDescent="0.25">
      <c r="A2401">
        <v>5</v>
      </c>
      <c r="B2401">
        <v>10</v>
      </c>
      <c r="C2401"/>
      <c r="D2401" t="s">
        <v>31</v>
      </c>
      <c r="E2401" t="s">
        <v>35</v>
      </c>
      <c r="F2401" t="s">
        <v>39</v>
      </c>
      <c r="G2401" s="118">
        <v>0.53913194444444446</v>
      </c>
      <c r="H2401" s="118">
        <v>9.3750000000000007E-4</v>
      </c>
      <c r="I2401" s="118">
        <v>5.2083333333333333E-4</v>
      </c>
      <c r="J2401"/>
      <c r="K2401"/>
    </row>
    <row r="2402" spans="1:11" x14ac:dyDescent="0.25">
      <c r="A2402">
        <v>1</v>
      </c>
      <c r="B2402">
        <v>9</v>
      </c>
      <c r="C2402"/>
      <c r="D2402" t="s">
        <v>31</v>
      </c>
      <c r="E2402" t="s">
        <v>35</v>
      </c>
      <c r="F2402" t="s">
        <v>34</v>
      </c>
      <c r="G2402" s="118">
        <v>0.5392824074074074</v>
      </c>
      <c r="H2402" s="118">
        <v>8.449074074074075E-4</v>
      </c>
      <c r="I2402" s="118">
        <v>3.4722222222222224E-4</v>
      </c>
      <c r="J2402"/>
      <c r="K2402"/>
    </row>
    <row r="2403" spans="1:11" x14ac:dyDescent="0.25">
      <c r="A2403">
        <v>1</v>
      </c>
      <c r="B2403">
        <v>9</v>
      </c>
      <c r="C2403"/>
      <c r="D2403" t="s">
        <v>31</v>
      </c>
      <c r="E2403" t="s">
        <v>32</v>
      </c>
      <c r="F2403" t="s">
        <v>34</v>
      </c>
      <c r="G2403" s="118">
        <v>0.53962962962962957</v>
      </c>
      <c r="H2403" s="118">
        <v>3.4722222222222224E-4</v>
      </c>
      <c r="I2403" s="118">
        <v>9.1435185185185185E-4</v>
      </c>
      <c r="J2403" s="118">
        <v>7.0717592592592594E-3</v>
      </c>
      <c r="K2403" s="118">
        <v>7.0717592592592594E-3</v>
      </c>
    </row>
    <row r="2404" spans="1:11" x14ac:dyDescent="0.25">
      <c r="A2404">
        <v>5</v>
      </c>
      <c r="B2404">
        <v>10</v>
      </c>
      <c r="C2404"/>
      <c r="D2404" t="s">
        <v>31</v>
      </c>
      <c r="E2404" t="s">
        <v>32</v>
      </c>
      <c r="F2404" t="s">
        <v>39</v>
      </c>
      <c r="G2404" s="118">
        <v>0.53965277777777776</v>
      </c>
      <c r="H2404" s="118">
        <v>5.2083333333333333E-4</v>
      </c>
      <c r="I2404" s="118">
        <v>1.8055555555555557E-3</v>
      </c>
      <c r="J2404" s="118">
        <v>7.0717592592592594E-3</v>
      </c>
      <c r="K2404" s="118">
        <v>7.0717592592592594E-3</v>
      </c>
    </row>
    <row r="2405" spans="1:11" x14ac:dyDescent="0.25">
      <c r="A2405">
        <v>4</v>
      </c>
      <c r="B2405">
        <v>9</v>
      </c>
      <c r="C2405"/>
      <c r="D2405" t="s">
        <v>31</v>
      </c>
      <c r="E2405" t="s">
        <v>35</v>
      </c>
      <c r="F2405" t="s">
        <v>44</v>
      </c>
      <c r="G2405" s="118">
        <v>0.53991898148148143</v>
      </c>
      <c r="H2405" s="118">
        <v>1.0069444444444444E-3</v>
      </c>
      <c r="I2405" s="118">
        <v>3.4722222222222224E-4</v>
      </c>
      <c r="J2405"/>
      <c r="K2405"/>
    </row>
    <row r="2406" spans="1:11" x14ac:dyDescent="0.25">
      <c r="A2406">
        <v>2</v>
      </c>
      <c r="B2406">
        <v>9</v>
      </c>
      <c r="C2406"/>
      <c r="D2406" t="s">
        <v>31</v>
      </c>
      <c r="E2406" t="s">
        <v>35</v>
      </c>
      <c r="F2406" t="s">
        <v>54</v>
      </c>
      <c r="G2406" s="118">
        <v>0.53998842592592589</v>
      </c>
      <c r="H2406" s="118">
        <v>8.6805555555555551E-4</v>
      </c>
      <c r="I2406" s="118">
        <v>3.4722222222222224E-4</v>
      </c>
      <c r="J2406"/>
      <c r="K2406"/>
    </row>
    <row r="2407" spans="1:11" x14ac:dyDescent="0.25">
      <c r="A2407">
        <v>3</v>
      </c>
      <c r="B2407">
        <v>9</v>
      </c>
      <c r="C2407"/>
      <c r="D2407" t="s">
        <v>31</v>
      </c>
      <c r="E2407" t="s">
        <v>35</v>
      </c>
      <c r="F2407" t="s">
        <v>50</v>
      </c>
      <c r="G2407" s="118">
        <v>0.54024305555555563</v>
      </c>
      <c r="H2407" s="118">
        <v>1.1458333333333333E-3</v>
      </c>
      <c r="I2407" s="118">
        <v>3.4722222222222224E-4</v>
      </c>
      <c r="J2407"/>
      <c r="K2407"/>
    </row>
    <row r="2408" spans="1:11" x14ac:dyDescent="0.25">
      <c r="A2408">
        <v>4</v>
      </c>
      <c r="B2408">
        <v>9</v>
      </c>
      <c r="C2408"/>
      <c r="D2408" t="s">
        <v>31</v>
      </c>
      <c r="E2408" t="s">
        <v>32</v>
      </c>
      <c r="F2408" t="s">
        <v>44</v>
      </c>
      <c r="G2408" s="118">
        <v>0.54026620370370371</v>
      </c>
      <c r="H2408" s="118">
        <v>3.4722222222222224E-4</v>
      </c>
      <c r="I2408" s="118">
        <v>9.2592592592592585E-4</v>
      </c>
      <c r="J2408" s="118">
        <v>7.0717592592592594E-3</v>
      </c>
      <c r="K2408" s="118">
        <v>7.0717592592592594E-3</v>
      </c>
    </row>
    <row r="2409" spans="1:11" x14ac:dyDescent="0.25">
      <c r="A2409">
        <v>2</v>
      </c>
      <c r="B2409">
        <v>9</v>
      </c>
      <c r="C2409"/>
      <c r="D2409" t="s">
        <v>31</v>
      </c>
      <c r="E2409" t="s">
        <v>32</v>
      </c>
      <c r="F2409" t="s">
        <v>54</v>
      </c>
      <c r="G2409" s="118">
        <v>0.54033564814814816</v>
      </c>
      <c r="H2409" s="118">
        <v>3.4722222222222224E-4</v>
      </c>
      <c r="I2409" s="118">
        <v>6.9444444444444447E-4</v>
      </c>
      <c r="J2409" s="118">
        <v>7.0717592592592594E-3</v>
      </c>
      <c r="K2409" s="118">
        <v>7.0717592592592594E-3</v>
      </c>
    </row>
    <row r="2410" spans="1:11" x14ac:dyDescent="0.25">
      <c r="A2410">
        <v>1</v>
      </c>
      <c r="B2410">
        <v>9</v>
      </c>
      <c r="C2410"/>
      <c r="D2410" t="s">
        <v>31</v>
      </c>
      <c r="E2410" t="s">
        <v>35</v>
      </c>
      <c r="F2410" t="s">
        <v>38</v>
      </c>
      <c r="G2410" s="118">
        <v>0.54054398148148153</v>
      </c>
      <c r="H2410" s="118">
        <v>9.1435185185185185E-4</v>
      </c>
      <c r="I2410" s="118">
        <v>3.4722222222222224E-4</v>
      </c>
      <c r="J2410"/>
      <c r="K2410"/>
    </row>
    <row r="2411" spans="1:11" x14ac:dyDescent="0.25">
      <c r="A2411">
        <v>3</v>
      </c>
      <c r="B2411">
        <v>9</v>
      </c>
      <c r="C2411"/>
      <c r="D2411" t="s">
        <v>31</v>
      </c>
      <c r="E2411" t="s">
        <v>32</v>
      </c>
      <c r="F2411" t="s">
        <v>50</v>
      </c>
      <c r="G2411" s="118">
        <v>0.54059027777777779</v>
      </c>
      <c r="H2411" s="118">
        <v>3.4722222222222224E-4</v>
      </c>
      <c r="I2411" s="118">
        <v>1.261574074074074E-3</v>
      </c>
      <c r="J2411" s="118">
        <v>7.0717592592592594E-3</v>
      </c>
      <c r="K2411" s="118">
        <v>7.0717592592592594E-3</v>
      </c>
    </row>
    <row r="2412" spans="1:11" x14ac:dyDescent="0.25">
      <c r="A2412">
        <v>1</v>
      </c>
      <c r="B2412">
        <v>9</v>
      </c>
      <c r="C2412"/>
      <c r="D2412" t="s">
        <v>31</v>
      </c>
      <c r="E2412" t="s">
        <v>32</v>
      </c>
      <c r="F2412" t="s">
        <v>38</v>
      </c>
      <c r="G2412" s="118">
        <v>0.54089120370370369</v>
      </c>
      <c r="H2412" s="118">
        <v>3.4722222222222224E-4</v>
      </c>
      <c r="I2412" s="118">
        <v>1.2384259259259258E-3</v>
      </c>
      <c r="J2412" s="118">
        <v>7.0717592592592594E-3</v>
      </c>
      <c r="K2412" s="118">
        <v>7.0717592592592594E-3</v>
      </c>
    </row>
    <row r="2413" spans="1:11" x14ac:dyDescent="0.25">
      <c r="A2413">
        <v>2</v>
      </c>
      <c r="B2413">
        <v>9</v>
      </c>
      <c r="C2413"/>
      <c r="D2413" t="s">
        <v>31</v>
      </c>
      <c r="E2413" t="s">
        <v>35</v>
      </c>
      <c r="F2413" t="s">
        <v>92</v>
      </c>
      <c r="G2413" s="118">
        <v>0.5410300925925926</v>
      </c>
      <c r="H2413" s="118">
        <v>6.9444444444444447E-4</v>
      </c>
      <c r="I2413" s="118">
        <v>5.2083333333333333E-4</v>
      </c>
      <c r="J2413"/>
      <c r="K2413"/>
    </row>
    <row r="2414" spans="1:11" x14ac:dyDescent="0.25">
      <c r="A2414">
        <v>4</v>
      </c>
      <c r="B2414">
        <v>9</v>
      </c>
      <c r="C2414"/>
      <c r="D2414" t="s">
        <v>31</v>
      </c>
      <c r="E2414" t="s">
        <v>35</v>
      </c>
      <c r="F2414" t="s">
        <v>49</v>
      </c>
      <c r="G2414" s="118">
        <v>0.5411921296296297</v>
      </c>
      <c r="H2414" s="118">
        <v>9.2592592592592585E-4</v>
      </c>
      <c r="I2414" s="118">
        <v>3.4722222222222224E-4</v>
      </c>
      <c r="J2414"/>
      <c r="K2414"/>
    </row>
    <row r="2415" spans="1:11" x14ac:dyDescent="0.25">
      <c r="A2415">
        <v>5</v>
      </c>
      <c r="B2415">
        <v>10</v>
      </c>
      <c r="C2415"/>
      <c r="D2415" t="s">
        <v>31</v>
      </c>
      <c r="E2415" t="s">
        <v>35</v>
      </c>
      <c r="F2415" t="s">
        <v>46</v>
      </c>
      <c r="G2415" s="118">
        <v>0.54145833333333326</v>
      </c>
      <c r="H2415" s="118">
        <v>1.8055555555555557E-3</v>
      </c>
      <c r="I2415" s="118">
        <v>3.4722222222222224E-4</v>
      </c>
      <c r="J2415"/>
      <c r="K2415"/>
    </row>
    <row r="2416" spans="1:11" x14ac:dyDescent="0.25">
      <c r="A2416">
        <v>4</v>
      </c>
      <c r="B2416">
        <v>9</v>
      </c>
      <c r="C2416"/>
      <c r="D2416" t="s">
        <v>31</v>
      </c>
      <c r="E2416" t="s">
        <v>32</v>
      </c>
      <c r="F2416" t="s">
        <v>49</v>
      </c>
      <c r="G2416" s="118">
        <v>0.54153935185185187</v>
      </c>
      <c r="H2416" s="118">
        <v>3.4722222222222224E-4</v>
      </c>
      <c r="I2416" s="118">
        <v>1.3541666666666667E-3</v>
      </c>
      <c r="J2416" s="118">
        <v>7.0717592592592594E-3</v>
      </c>
      <c r="K2416" s="118">
        <v>7.0717592592592594E-3</v>
      </c>
    </row>
    <row r="2417" spans="1:11" x14ac:dyDescent="0.25">
      <c r="A2417">
        <v>2</v>
      </c>
      <c r="B2417">
        <v>10</v>
      </c>
      <c r="C2417"/>
      <c r="D2417" t="s">
        <v>31</v>
      </c>
      <c r="E2417" t="s">
        <v>32</v>
      </c>
      <c r="F2417" t="s">
        <v>92</v>
      </c>
      <c r="G2417" s="118">
        <v>0.54155092592592591</v>
      </c>
      <c r="H2417" s="118">
        <v>5.2083333333333333E-4</v>
      </c>
      <c r="I2417" s="118">
        <v>1.0069444444444444E-3</v>
      </c>
      <c r="J2417" s="118">
        <v>7.0717592592592594E-3</v>
      </c>
      <c r="K2417" s="118">
        <v>7.0717592592592594E-3</v>
      </c>
    </row>
    <row r="2418" spans="1:11" x14ac:dyDescent="0.25">
      <c r="A2418">
        <v>5</v>
      </c>
      <c r="B2418">
        <v>10</v>
      </c>
      <c r="C2418"/>
      <c r="D2418" t="s">
        <v>31</v>
      </c>
      <c r="E2418" t="s">
        <v>32</v>
      </c>
      <c r="F2418" t="s">
        <v>46</v>
      </c>
      <c r="G2418" s="118">
        <v>0.54180555555555554</v>
      </c>
      <c r="H2418" s="118">
        <v>3.4722222222222224E-4</v>
      </c>
      <c r="I2418" s="118">
        <v>9.1435185185185185E-4</v>
      </c>
      <c r="J2418" s="118">
        <v>7.0717592592592594E-3</v>
      </c>
      <c r="K2418" s="118">
        <v>7.0717592592592594E-3</v>
      </c>
    </row>
    <row r="2419" spans="1:11" x14ac:dyDescent="0.25">
      <c r="A2419">
        <v>3</v>
      </c>
      <c r="B2419">
        <v>9</v>
      </c>
      <c r="C2419"/>
      <c r="D2419" t="s">
        <v>31</v>
      </c>
      <c r="E2419" t="s">
        <v>35</v>
      </c>
      <c r="F2419" t="s">
        <v>56</v>
      </c>
      <c r="G2419" s="118">
        <v>0.54185185185185192</v>
      </c>
      <c r="H2419" s="118">
        <v>1.261574074074074E-3</v>
      </c>
      <c r="I2419" s="118">
        <v>3.4722222222222224E-4</v>
      </c>
      <c r="J2419"/>
      <c r="K2419"/>
    </row>
    <row r="2420" spans="1:11" x14ac:dyDescent="0.25">
      <c r="A2420">
        <v>1</v>
      </c>
      <c r="B2420">
        <v>9</v>
      </c>
      <c r="C2420"/>
      <c r="D2420" t="s">
        <v>31</v>
      </c>
      <c r="E2420" t="s">
        <v>35</v>
      </c>
      <c r="F2420" t="s">
        <v>45</v>
      </c>
      <c r="G2420" s="118">
        <v>0.54212962962962963</v>
      </c>
      <c r="H2420" s="118">
        <v>1.2384259259259258E-3</v>
      </c>
      <c r="I2420" s="118">
        <v>3.4722222222222224E-4</v>
      </c>
      <c r="J2420"/>
      <c r="K2420"/>
    </row>
    <row r="2421" spans="1:11" x14ac:dyDescent="0.25">
      <c r="A2421">
        <v>3</v>
      </c>
      <c r="B2421">
        <v>9</v>
      </c>
      <c r="C2421"/>
      <c r="D2421" t="s">
        <v>31</v>
      </c>
      <c r="E2421" t="s">
        <v>32</v>
      </c>
      <c r="F2421" t="s">
        <v>56</v>
      </c>
      <c r="G2421" s="118">
        <v>0.54219907407407408</v>
      </c>
      <c r="H2421" s="118">
        <v>3.4722222222222224E-4</v>
      </c>
      <c r="I2421" s="118">
        <v>9.6064814814814808E-4</v>
      </c>
      <c r="J2421" s="118">
        <v>7.0717592592592594E-3</v>
      </c>
      <c r="K2421" s="118">
        <v>7.0717592592592594E-3</v>
      </c>
    </row>
    <row r="2422" spans="1:11" x14ac:dyDescent="0.25">
      <c r="A2422">
        <v>1</v>
      </c>
      <c r="B2422">
        <v>9</v>
      </c>
      <c r="C2422"/>
      <c r="D2422" t="s">
        <v>31</v>
      </c>
      <c r="E2422" t="s">
        <v>32</v>
      </c>
      <c r="F2422" t="s">
        <v>45</v>
      </c>
      <c r="G2422" s="118">
        <v>0.54247685185185179</v>
      </c>
      <c r="H2422" s="118">
        <v>3.4722222222222224E-4</v>
      </c>
      <c r="I2422" s="118">
        <v>1.0416666666666667E-3</v>
      </c>
      <c r="J2422" s="118">
        <v>7.0717592592592594E-3</v>
      </c>
      <c r="K2422" s="118">
        <v>7.0717592592592594E-3</v>
      </c>
    </row>
    <row r="2423" spans="1:11" x14ac:dyDescent="0.25">
      <c r="A2423">
        <v>2</v>
      </c>
      <c r="B2423">
        <v>10</v>
      </c>
      <c r="C2423"/>
      <c r="D2423" t="s">
        <v>31</v>
      </c>
      <c r="E2423" t="s">
        <v>35</v>
      </c>
      <c r="F2423" t="s">
        <v>41</v>
      </c>
      <c r="G2423" s="118">
        <v>0.5425578703703704</v>
      </c>
      <c r="H2423" s="118">
        <v>1.0069444444444444E-3</v>
      </c>
      <c r="I2423" s="118">
        <v>3.4722222222222224E-4</v>
      </c>
      <c r="J2423"/>
      <c r="K2423"/>
    </row>
    <row r="2424" spans="1:11" x14ac:dyDescent="0.25">
      <c r="A2424">
        <v>5</v>
      </c>
      <c r="B2424">
        <v>10</v>
      </c>
      <c r="C2424"/>
      <c r="D2424" t="s">
        <v>31</v>
      </c>
      <c r="E2424" t="s">
        <v>35</v>
      </c>
      <c r="F2424" t="s">
        <v>51</v>
      </c>
      <c r="G2424" s="118">
        <v>0.54271990740740739</v>
      </c>
      <c r="H2424" s="118">
        <v>9.1435185185185185E-4</v>
      </c>
      <c r="I2424" s="118">
        <v>3.4722222222222224E-4</v>
      </c>
      <c r="J2424"/>
      <c r="K2424"/>
    </row>
    <row r="2425" spans="1:11" x14ac:dyDescent="0.25">
      <c r="A2425">
        <v>4</v>
      </c>
      <c r="B2425">
        <v>9</v>
      </c>
      <c r="C2425"/>
      <c r="D2425" t="s">
        <v>31</v>
      </c>
      <c r="E2425" t="s">
        <v>35</v>
      </c>
      <c r="F2425" t="s">
        <v>33</v>
      </c>
      <c r="G2425" s="118">
        <v>0.54289351851851853</v>
      </c>
      <c r="H2425" s="118">
        <v>1.3541666666666667E-3</v>
      </c>
      <c r="I2425" s="118">
        <v>5.2083333333333333E-4</v>
      </c>
      <c r="J2425"/>
      <c r="K2425"/>
    </row>
    <row r="2426" spans="1:11" x14ac:dyDescent="0.25">
      <c r="A2426">
        <v>2</v>
      </c>
      <c r="B2426">
        <v>10</v>
      </c>
      <c r="C2426"/>
      <c r="D2426" t="s">
        <v>31</v>
      </c>
      <c r="E2426" t="s">
        <v>32</v>
      </c>
      <c r="F2426" t="s">
        <v>41</v>
      </c>
      <c r="G2426" s="118">
        <v>0.54290509259259256</v>
      </c>
      <c r="H2426" s="118">
        <v>3.4722222222222224E-4</v>
      </c>
      <c r="I2426" s="118">
        <v>8.564814814814815E-4</v>
      </c>
      <c r="J2426" s="118">
        <v>7.0717592592592594E-3</v>
      </c>
      <c r="K2426" s="118">
        <v>7.0717592592592594E-3</v>
      </c>
    </row>
    <row r="2427" spans="1:11" x14ac:dyDescent="0.25">
      <c r="A2427">
        <v>5</v>
      </c>
      <c r="B2427">
        <v>10</v>
      </c>
      <c r="C2427"/>
      <c r="D2427" t="s">
        <v>31</v>
      </c>
      <c r="E2427" t="s">
        <v>32</v>
      </c>
      <c r="F2427" t="s">
        <v>51</v>
      </c>
      <c r="G2427" s="118">
        <v>0.54306712962962966</v>
      </c>
      <c r="H2427" s="118">
        <v>3.4722222222222224E-4</v>
      </c>
      <c r="I2427" s="118">
        <v>1.0069444444444444E-3</v>
      </c>
      <c r="J2427" s="118">
        <v>7.0717592592592594E-3</v>
      </c>
      <c r="K2427" s="118">
        <v>7.0717592592592594E-3</v>
      </c>
    </row>
    <row r="2428" spans="1:11" x14ac:dyDescent="0.25">
      <c r="A2428">
        <v>3</v>
      </c>
      <c r="B2428">
        <v>9</v>
      </c>
      <c r="C2428"/>
      <c r="D2428" t="s">
        <v>31</v>
      </c>
      <c r="E2428" t="s">
        <v>35</v>
      </c>
      <c r="F2428" t="s">
        <v>37</v>
      </c>
      <c r="G2428" s="118">
        <v>0.5431597222222222</v>
      </c>
      <c r="H2428" s="118">
        <v>9.6064814814814808E-4</v>
      </c>
      <c r="I2428" s="118">
        <v>3.4722222222222224E-4</v>
      </c>
      <c r="J2428"/>
      <c r="K2428"/>
    </row>
    <row r="2429" spans="1:11" x14ac:dyDescent="0.25">
      <c r="A2429">
        <v>4</v>
      </c>
      <c r="B2429">
        <v>9</v>
      </c>
      <c r="C2429"/>
      <c r="D2429" t="s">
        <v>31</v>
      </c>
      <c r="E2429" t="s">
        <v>32</v>
      </c>
      <c r="F2429" t="s">
        <v>33</v>
      </c>
      <c r="G2429" s="118">
        <v>0.54341435185185183</v>
      </c>
      <c r="H2429" s="118">
        <v>5.2083333333333333E-4</v>
      </c>
      <c r="I2429" s="118">
        <v>9.6064814814814808E-4</v>
      </c>
      <c r="J2429" s="118">
        <v>7.0717592592592594E-3</v>
      </c>
      <c r="K2429" s="118">
        <v>7.0717592592592594E-3</v>
      </c>
    </row>
    <row r="2430" spans="1:11" x14ac:dyDescent="0.25">
      <c r="A2430">
        <v>3</v>
      </c>
      <c r="B2430">
        <v>9</v>
      </c>
      <c r="C2430"/>
      <c r="D2430" t="s">
        <v>31</v>
      </c>
      <c r="E2430" t="s">
        <v>32</v>
      </c>
      <c r="F2430" t="s">
        <v>37</v>
      </c>
      <c r="G2430" s="118">
        <v>0.54350694444444447</v>
      </c>
      <c r="H2430" s="118">
        <v>3.4722222222222224E-4</v>
      </c>
      <c r="I2430" s="118">
        <v>9.0277777777777784E-4</v>
      </c>
      <c r="J2430" s="118">
        <v>7.0717592592592594E-3</v>
      </c>
      <c r="K2430" s="118">
        <v>7.0717592592592594E-3</v>
      </c>
    </row>
    <row r="2431" spans="1:11" x14ac:dyDescent="0.25">
      <c r="A2431">
        <v>1</v>
      </c>
      <c r="B2431">
        <v>9</v>
      </c>
      <c r="C2431"/>
      <c r="D2431" t="s">
        <v>31</v>
      </c>
      <c r="E2431" t="s">
        <v>35</v>
      </c>
      <c r="F2431" t="s">
        <v>52</v>
      </c>
      <c r="G2431" s="118">
        <v>0.54351851851851851</v>
      </c>
      <c r="H2431" s="118">
        <v>1.0416666666666667E-3</v>
      </c>
      <c r="I2431" s="118">
        <v>3.4722222222222224E-4</v>
      </c>
      <c r="J2431"/>
      <c r="K2431"/>
    </row>
    <row r="2432" spans="1:11" x14ac:dyDescent="0.25">
      <c r="A2432">
        <v>2</v>
      </c>
      <c r="B2432">
        <v>10</v>
      </c>
      <c r="C2432"/>
      <c r="D2432" t="s">
        <v>31</v>
      </c>
      <c r="E2432" t="s">
        <v>35</v>
      </c>
      <c r="F2432" t="s">
        <v>47</v>
      </c>
      <c r="G2432" s="118">
        <v>0.54376157407407411</v>
      </c>
      <c r="H2432" s="118">
        <v>8.564814814814815E-4</v>
      </c>
      <c r="I2432" s="118">
        <v>5.2083333333333333E-4</v>
      </c>
      <c r="J2432"/>
      <c r="K2432"/>
    </row>
    <row r="2433" spans="1:11" x14ac:dyDescent="0.25">
      <c r="A2433">
        <v>1</v>
      </c>
      <c r="B2433">
        <v>9</v>
      </c>
      <c r="C2433"/>
      <c r="D2433" t="s">
        <v>31</v>
      </c>
      <c r="E2433" t="s">
        <v>32</v>
      </c>
      <c r="F2433" t="s">
        <v>52</v>
      </c>
      <c r="G2433" s="118">
        <v>0.54386574074074068</v>
      </c>
      <c r="H2433" s="118">
        <v>3.4722222222222224E-4</v>
      </c>
      <c r="I2433" s="118">
        <v>1.0532407407407407E-3</v>
      </c>
      <c r="J2433" s="118">
        <v>7.0717592592592594E-3</v>
      </c>
      <c r="K2433" s="118">
        <v>7.0717592592592594E-3</v>
      </c>
    </row>
    <row r="2434" spans="1:11" x14ac:dyDescent="0.25">
      <c r="A2434">
        <v>5</v>
      </c>
      <c r="B2434">
        <v>10</v>
      </c>
      <c r="C2434"/>
      <c r="D2434" t="s">
        <v>31</v>
      </c>
      <c r="E2434" t="s">
        <v>35</v>
      </c>
      <c r="F2434" t="s">
        <v>55</v>
      </c>
      <c r="G2434" s="118">
        <v>0.54407407407407404</v>
      </c>
      <c r="H2434" s="118">
        <v>1.0069444444444444E-3</v>
      </c>
      <c r="I2434" s="118">
        <v>4.6296296296296293E-4</v>
      </c>
      <c r="J2434"/>
      <c r="K2434"/>
    </row>
    <row r="2435" spans="1:11" x14ac:dyDescent="0.25">
      <c r="A2435">
        <v>2</v>
      </c>
      <c r="B2435">
        <v>10</v>
      </c>
      <c r="C2435"/>
      <c r="D2435" t="s">
        <v>31</v>
      </c>
      <c r="E2435" t="s">
        <v>32</v>
      </c>
      <c r="F2435" t="s">
        <v>47</v>
      </c>
      <c r="G2435" s="118">
        <v>0.54428240740740741</v>
      </c>
      <c r="H2435" s="118">
        <v>5.2083333333333333E-4</v>
      </c>
      <c r="I2435" s="118">
        <v>8.7962962962962962E-4</v>
      </c>
      <c r="J2435" s="118">
        <v>7.0717592592592594E-3</v>
      </c>
      <c r="K2435" s="118">
        <v>7.0717592592592594E-3</v>
      </c>
    </row>
    <row r="2436" spans="1:11" x14ac:dyDescent="0.25">
      <c r="A2436">
        <v>4</v>
      </c>
      <c r="B2436">
        <v>9</v>
      </c>
      <c r="C2436"/>
      <c r="D2436" t="s">
        <v>31</v>
      </c>
      <c r="E2436" t="s">
        <v>35</v>
      </c>
      <c r="F2436" t="s">
        <v>36</v>
      </c>
      <c r="G2436" s="118">
        <v>0.54437499999999994</v>
      </c>
      <c r="H2436" s="118">
        <v>9.6064814814814808E-4</v>
      </c>
      <c r="I2436" s="118">
        <v>3.4722222222222224E-4</v>
      </c>
      <c r="J2436"/>
      <c r="K2436"/>
    </row>
    <row r="2437" spans="1:11" x14ac:dyDescent="0.25">
      <c r="A2437">
        <v>3</v>
      </c>
      <c r="B2437">
        <v>9</v>
      </c>
      <c r="C2437"/>
      <c r="D2437" t="s">
        <v>31</v>
      </c>
      <c r="E2437" t="s">
        <v>35</v>
      </c>
      <c r="F2437" t="s">
        <v>42</v>
      </c>
      <c r="G2437" s="118">
        <v>0.54440972222222228</v>
      </c>
      <c r="H2437" s="118">
        <v>9.0277777777777784E-4</v>
      </c>
      <c r="I2437" s="118">
        <v>3.4722222222222224E-4</v>
      </c>
      <c r="J2437"/>
      <c r="K2437"/>
    </row>
    <row r="2438" spans="1:11" x14ac:dyDescent="0.25">
      <c r="A2438">
        <v>5</v>
      </c>
      <c r="B2438">
        <v>10</v>
      </c>
      <c r="C2438"/>
      <c r="D2438" t="s">
        <v>31</v>
      </c>
      <c r="E2438" t="s">
        <v>32</v>
      </c>
      <c r="F2438" t="s">
        <v>55</v>
      </c>
      <c r="G2438" s="118">
        <v>0.54453703703703704</v>
      </c>
      <c r="H2438" s="118">
        <v>4.6296296296296293E-4</v>
      </c>
      <c r="I2438" s="118">
        <v>4.3981481481481481E-4</v>
      </c>
      <c r="J2438" s="118">
        <v>7.0717592592592594E-3</v>
      </c>
      <c r="K2438" s="118">
        <v>7.0717592592592594E-3</v>
      </c>
    </row>
    <row r="2439" spans="1:11" x14ac:dyDescent="0.25">
      <c r="A2439">
        <v>4</v>
      </c>
      <c r="B2439">
        <v>9</v>
      </c>
      <c r="C2439"/>
      <c r="D2439" t="s">
        <v>31</v>
      </c>
      <c r="E2439" t="s">
        <v>32</v>
      </c>
      <c r="F2439" t="s">
        <v>36</v>
      </c>
      <c r="G2439" s="118">
        <v>0.54472222222222222</v>
      </c>
      <c r="H2439" s="118">
        <v>3.4722222222222224E-4</v>
      </c>
      <c r="I2439" s="118">
        <v>1.0995370370370371E-3</v>
      </c>
      <c r="J2439" s="118">
        <v>7.0717592592592594E-3</v>
      </c>
      <c r="K2439" s="118">
        <v>7.0717592592592594E-3</v>
      </c>
    </row>
    <row r="2440" spans="1:11" x14ac:dyDescent="0.25">
      <c r="A2440">
        <v>3</v>
      </c>
      <c r="B2440">
        <v>9</v>
      </c>
      <c r="C2440"/>
      <c r="D2440" t="s">
        <v>31</v>
      </c>
      <c r="E2440" t="s">
        <v>32</v>
      </c>
      <c r="F2440" t="s">
        <v>42</v>
      </c>
      <c r="G2440" s="118">
        <v>0.54475694444444445</v>
      </c>
      <c r="H2440" s="118">
        <v>3.4722222222222224E-4</v>
      </c>
      <c r="I2440" s="118">
        <v>9.1435185185185185E-4</v>
      </c>
      <c r="J2440" s="118">
        <v>7.0717592592592594E-3</v>
      </c>
      <c r="K2440" s="118">
        <v>7.0717592592592594E-3</v>
      </c>
    </row>
    <row r="2441" spans="1:11" x14ac:dyDescent="0.25">
      <c r="A2441">
        <v>1</v>
      </c>
      <c r="B2441">
        <v>9</v>
      </c>
      <c r="C2441"/>
      <c r="D2441" t="s">
        <v>31</v>
      </c>
      <c r="E2441" t="s">
        <v>35</v>
      </c>
      <c r="F2441" t="s">
        <v>57</v>
      </c>
      <c r="G2441" s="118">
        <v>0.54491898148148155</v>
      </c>
      <c r="H2441" s="118">
        <v>1.0532407407407407E-3</v>
      </c>
      <c r="I2441" s="118">
        <v>3.4722222222222224E-4</v>
      </c>
      <c r="J2441"/>
      <c r="K2441"/>
    </row>
    <row r="2442" spans="1:11" x14ac:dyDescent="0.25">
      <c r="A2442">
        <v>5</v>
      </c>
      <c r="B2442">
        <v>10</v>
      </c>
      <c r="C2442"/>
      <c r="D2442" t="s">
        <v>31</v>
      </c>
      <c r="E2442" t="s">
        <v>35</v>
      </c>
      <c r="F2442" t="s">
        <v>58</v>
      </c>
      <c r="G2442" s="118">
        <v>0.54497685185185185</v>
      </c>
      <c r="H2442" s="118">
        <v>4.3981481481481481E-4</v>
      </c>
      <c r="I2442" s="118">
        <v>5.7870370370370366E-5</v>
      </c>
      <c r="J2442"/>
      <c r="K2442"/>
    </row>
    <row r="2443" spans="1:11" x14ac:dyDescent="0.25">
      <c r="A2443">
        <v>5</v>
      </c>
      <c r="B2443">
        <v>10</v>
      </c>
      <c r="C2443"/>
      <c r="D2443" t="s">
        <v>31</v>
      </c>
      <c r="E2443" t="s">
        <v>32</v>
      </c>
      <c r="F2443" t="s">
        <v>58</v>
      </c>
      <c r="G2443" s="118">
        <v>0.54503472222222216</v>
      </c>
      <c r="H2443" s="118">
        <v>5.7870370370370366E-5</v>
      </c>
      <c r="I2443" s="118">
        <v>4.8611111111111104E-4</v>
      </c>
      <c r="J2443" s="118">
        <v>7.0717592592592594E-3</v>
      </c>
      <c r="K2443" s="118">
        <v>7.0717592592592594E-3</v>
      </c>
    </row>
    <row r="2444" spans="1:11" x14ac:dyDescent="0.25">
      <c r="A2444">
        <v>2</v>
      </c>
      <c r="B2444">
        <v>10</v>
      </c>
      <c r="C2444"/>
      <c r="D2444" t="s">
        <v>31</v>
      </c>
      <c r="E2444" t="s">
        <v>35</v>
      </c>
      <c r="F2444" t="s">
        <v>53</v>
      </c>
      <c r="G2444" s="118">
        <v>0.54516203703703703</v>
      </c>
      <c r="H2444" s="118">
        <v>8.7962962962962962E-4</v>
      </c>
      <c r="I2444" s="118">
        <v>3.4722222222222224E-4</v>
      </c>
      <c r="J2444"/>
      <c r="K2444"/>
    </row>
    <row r="2445" spans="1:11" x14ac:dyDescent="0.25">
      <c r="A2445">
        <v>1</v>
      </c>
      <c r="B2445">
        <v>9</v>
      </c>
      <c r="C2445"/>
      <c r="D2445" t="s">
        <v>31</v>
      </c>
      <c r="E2445" t="s">
        <v>32</v>
      </c>
      <c r="F2445" t="s">
        <v>57</v>
      </c>
      <c r="G2445" s="118">
        <v>0.54526620370370371</v>
      </c>
      <c r="H2445" s="118">
        <v>3.4722222222222224E-4</v>
      </c>
      <c r="I2445" s="118">
        <v>9.3750000000000007E-4</v>
      </c>
      <c r="J2445" s="118">
        <v>7.0717592592592594E-3</v>
      </c>
      <c r="K2445" s="118">
        <v>7.0717592592592594E-3</v>
      </c>
    </row>
    <row r="2446" spans="1:11" x14ac:dyDescent="0.25">
      <c r="A2446">
        <v>2</v>
      </c>
      <c r="B2446">
        <v>10</v>
      </c>
      <c r="C2446"/>
      <c r="D2446" t="s">
        <v>31</v>
      </c>
      <c r="E2446" t="s">
        <v>32</v>
      </c>
      <c r="F2446" t="s">
        <v>53</v>
      </c>
      <c r="G2446" s="118">
        <v>0.5455092592592593</v>
      </c>
      <c r="H2446" s="118">
        <v>3.4722222222222224E-4</v>
      </c>
      <c r="I2446" s="118">
        <v>8.449074074074075E-4</v>
      </c>
      <c r="J2446" s="118">
        <v>7.0717592592592594E-3</v>
      </c>
      <c r="K2446" s="118">
        <v>7.0717592592592594E-3</v>
      </c>
    </row>
    <row r="2447" spans="1:11" x14ac:dyDescent="0.25">
      <c r="A2447">
        <v>5</v>
      </c>
      <c r="B2447">
        <v>10</v>
      </c>
      <c r="C2447"/>
      <c r="D2447" t="s">
        <v>31</v>
      </c>
      <c r="E2447" t="s">
        <v>35</v>
      </c>
      <c r="F2447" t="s">
        <v>40</v>
      </c>
      <c r="G2447" s="118">
        <v>0.54552083333333334</v>
      </c>
      <c r="H2447" s="118">
        <v>4.8611111111111104E-4</v>
      </c>
      <c r="I2447" s="118">
        <v>4.6296296296296293E-4</v>
      </c>
      <c r="J2447"/>
      <c r="K2447"/>
    </row>
    <row r="2448" spans="1:11" x14ac:dyDescent="0.25">
      <c r="A2448">
        <v>3</v>
      </c>
      <c r="B2448">
        <v>9</v>
      </c>
      <c r="C2448"/>
      <c r="D2448" t="s">
        <v>31</v>
      </c>
      <c r="E2448" t="s">
        <v>35</v>
      </c>
      <c r="F2448" t="s">
        <v>48</v>
      </c>
      <c r="G2448" s="118">
        <v>0.54567129629629629</v>
      </c>
      <c r="H2448" s="118">
        <v>9.1435185185185185E-4</v>
      </c>
      <c r="I2448" s="118">
        <v>5.2083333333333333E-4</v>
      </c>
      <c r="J2448"/>
      <c r="K2448"/>
    </row>
    <row r="2449" spans="1:11" x14ac:dyDescent="0.25">
      <c r="A2449">
        <v>4</v>
      </c>
      <c r="B2449">
        <v>9</v>
      </c>
      <c r="C2449"/>
      <c r="D2449" t="s">
        <v>31</v>
      </c>
      <c r="E2449" t="s">
        <v>35</v>
      </c>
      <c r="F2449" t="s">
        <v>43</v>
      </c>
      <c r="G2449" s="118">
        <v>0.54582175925925924</v>
      </c>
      <c r="H2449" s="118">
        <v>1.0995370370370371E-3</v>
      </c>
      <c r="I2449" s="118">
        <v>3.4722222222222224E-4</v>
      </c>
      <c r="J2449"/>
      <c r="K2449"/>
    </row>
    <row r="2450" spans="1:11" x14ac:dyDescent="0.25">
      <c r="A2450">
        <v>5</v>
      </c>
      <c r="B2450">
        <v>10</v>
      </c>
      <c r="C2450"/>
      <c r="D2450" t="s">
        <v>31</v>
      </c>
      <c r="E2450" t="s">
        <v>32</v>
      </c>
      <c r="F2450" t="s">
        <v>40</v>
      </c>
      <c r="G2450" s="118">
        <v>0.54598379629629623</v>
      </c>
      <c r="H2450" s="118">
        <v>4.6296296296296293E-4</v>
      </c>
      <c r="I2450" s="118">
        <v>1.0069444444444444E-3</v>
      </c>
      <c r="J2450" s="118">
        <v>7.0717592592592594E-3</v>
      </c>
      <c r="K2450" s="118">
        <v>7.0717592592592594E-3</v>
      </c>
    </row>
    <row r="2451" spans="1:11" x14ac:dyDescent="0.25">
      <c r="A2451">
        <v>4</v>
      </c>
      <c r="B2451">
        <v>9</v>
      </c>
      <c r="C2451"/>
      <c r="D2451" t="s">
        <v>31</v>
      </c>
      <c r="E2451" t="s">
        <v>32</v>
      </c>
      <c r="F2451" t="s">
        <v>43</v>
      </c>
      <c r="G2451" s="118">
        <v>0.54616898148148152</v>
      </c>
      <c r="H2451" s="118">
        <v>3.4722222222222224E-4</v>
      </c>
      <c r="I2451" s="118">
        <v>1.1458333333333333E-3</v>
      </c>
      <c r="J2451" s="118">
        <v>7.0717592592592594E-3</v>
      </c>
      <c r="K2451" s="118">
        <v>7.0717592592592594E-3</v>
      </c>
    </row>
    <row r="2452" spans="1:11" x14ac:dyDescent="0.25">
      <c r="A2452">
        <v>3</v>
      </c>
      <c r="B2452">
        <v>9</v>
      </c>
      <c r="C2452"/>
      <c r="D2452" t="s">
        <v>31</v>
      </c>
      <c r="E2452" t="s">
        <v>32</v>
      </c>
      <c r="F2452" t="s">
        <v>48</v>
      </c>
      <c r="G2452" s="118">
        <v>0.5461921296296296</v>
      </c>
      <c r="H2452" s="118">
        <v>5.2083333333333333E-4</v>
      </c>
      <c r="I2452" s="118">
        <v>8.6805555555555551E-4</v>
      </c>
      <c r="J2452" s="118">
        <v>7.0717592592592594E-3</v>
      </c>
      <c r="K2452" s="118">
        <v>7.0717592592592594E-3</v>
      </c>
    </row>
    <row r="2453" spans="1:11" x14ac:dyDescent="0.25">
      <c r="A2453">
        <v>1</v>
      </c>
      <c r="B2453">
        <v>9</v>
      </c>
      <c r="C2453"/>
      <c r="D2453" t="s">
        <v>31</v>
      </c>
      <c r="E2453" t="s">
        <v>35</v>
      </c>
      <c r="F2453" t="s">
        <v>39</v>
      </c>
      <c r="G2453" s="118">
        <v>0.54620370370370364</v>
      </c>
      <c r="H2453" s="118">
        <v>9.3750000000000007E-4</v>
      </c>
      <c r="I2453" s="118">
        <v>5.2083333333333333E-4</v>
      </c>
      <c r="J2453"/>
      <c r="K2453"/>
    </row>
    <row r="2454" spans="1:11" x14ac:dyDescent="0.25">
      <c r="A2454">
        <v>2</v>
      </c>
      <c r="B2454">
        <v>10</v>
      </c>
      <c r="C2454"/>
      <c r="D2454" t="s">
        <v>31</v>
      </c>
      <c r="E2454" t="s">
        <v>35</v>
      </c>
      <c r="F2454" t="s">
        <v>34</v>
      </c>
      <c r="G2454" s="118">
        <v>0.5463541666666667</v>
      </c>
      <c r="H2454" s="118">
        <v>8.449074074074075E-4</v>
      </c>
      <c r="I2454" s="118">
        <v>3.4722222222222224E-4</v>
      </c>
      <c r="J2454"/>
      <c r="K2454"/>
    </row>
    <row r="2455" spans="1:11" x14ac:dyDescent="0.25">
      <c r="A2455">
        <v>2</v>
      </c>
      <c r="B2455">
        <v>10</v>
      </c>
      <c r="C2455"/>
      <c r="D2455" t="s">
        <v>31</v>
      </c>
      <c r="E2455" t="s">
        <v>32</v>
      </c>
      <c r="F2455" t="s">
        <v>34</v>
      </c>
      <c r="G2455" s="118">
        <v>0.54670138888888886</v>
      </c>
      <c r="H2455" s="118">
        <v>3.4722222222222224E-4</v>
      </c>
      <c r="I2455" s="118">
        <v>9.1435185185185185E-4</v>
      </c>
      <c r="J2455" s="118">
        <v>7.0717592592592594E-3</v>
      </c>
      <c r="K2455" s="118">
        <v>7.0717592592592594E-3</v>
      </c>
    </row>
    <row r="2456" spans="1:11" x14ac:dyDescent="0.25">
      <c r="A2456">
        <v>1</v>
      </c>
      <c r="B2456">
        <v>9</v>
      </c>
      <c r="C2456"/>
      <c r="D2456" t="s">
        <v>31</v>
      </c>
      <c r="E2456" t="s">
        <v>32</v>
      </c>
      <c r="F2456" t="s">
        <v>39</v>
      </c>
      <c r="G2456" s="118">
        <v>0.54672453703703705</v>
      </c>
      <c r="H2456" s="118">
        <v>5.2083333333333333E-4</v>
      </c>
      <c r="I2456" s="118">
        <v>1.8055555555555557E-3</v>
      </c>
      <c r="J2456" s="118">
        <v>7.0717592592592594E-3</v>
      </c>
      <c r="K2456" s="118">
        <v>7.0717592592592594E-3</v>
      </c>
    </row>
    <row r="2457" spans="1:11" x14ac:dyDescent="0.25">
      <c r="A2457">
        <v>5</v>
      </c>
      <c r="B2457">
        <v>10</v>
      </c>
      <c r="C2457"/>
      <c r="D2457" t="s">
        <v>31</v>
      </c>
      <c r="E2457" t="s">
        <v>35</v>
      </c>
      <c r="F2457" t="s">
        <v>44</v>
      </c>
      <c r="G2457" s="118">
        <v>0.54699074074074072</v>
      </c>
      <c r="H2457" s="118">
        <v>1.0069444444444444E-3</v>
      </c>
      <c r="I2457" s="118">
        <v>3.4722222222222224E-4</v>
      </c>
      <c r="J2457"/>
      <c r="K2457"/>
    </row>
    <row r="2458" spans="1:11" x14ac:dyDescent="0.25">
      <c r="A2458">
        <v>3</v>
      </c>
      <c r="B2458">
        <v>9</v>
      </c>
      <c r="C2458"/>
      <c r="D2458" t="s">
        <v>31</v>
      </c>
      <c r="E2458" t="s">
        <v>35</v>
      </c>
      <c r="F2458" t="s">
        <v>54</v>
      </c>
      <c r="G2458" s="118">
        <v>0.54706018518518518</v>
      </c>
      <c r="H2458" s="118">
        <v>8.6805555555555551E-4</v>
      </c>
      <c r="I2458" s="118">
        <v>3.4722222222222224E-4</v>
      </c>
      <c r="J2458"/>
      <c r="K2458"/>
    </row>
    <row r="2459" spans="1:11" x14ac:dyDescent="0.25">
      <c r="A2459">
        <v>4</v>
      </c>
      <c r="B2459">
        <v>9</v>
      </c>
      <c r="C2459"/>
      <c r="D2459" t="s">
        <v>31</v>
      </c>
      <c r="E2459" t="s">
        <v>35</v>
      </c>
      <c r="F2459" t="s">
        <v>50</v>
      </c>
      <c r="G2459" s="118">
        <v>0.54731481481481481</v>
      </c>
      <c r="H2459" s="118">
        <v>1.1458333333333333E-3</v>
      </c>
      <c r="I2459" s="118">
        <v>3.4722222222222224E-4</v>
      </c>
      <c r="J2459"/>
      <c r="K2459"/>
    </row>
    <row r="2460" spans="1:11" x14ac:dyDescent="0.25">
      <c r="A2460">
        <v>5</v>
      </c>
      <c r="B2460">
        <v>10</v>
      </c>
      <c r="C2460"/>
      <c r="D2460" t="s">
        <v>31</v>
      </c>
      <c r="E2460" t="s">
        <v>32</v>
      </c>
      <c r="F2460" t="s">
        <v>44</v>
      </c>
      <c r="G2460" s="118">
        <v>0.547337962962963</v>
      </c>
      <c r="H2460" s="118">
        <v>3.4722222222222224E-4</v>
      </c>
      <c r="I2460" s="118">
        <v>9.2592592592592585E-4</v>
      </c>
      <c r="J2460" s="118">
        <v>7.0717592592592594E-3</v>
      </c>
      <c r="K2460" s="118">
        <v>7.0717592592592594E-3</v>
      </c>
    </row>
    <row r="2461" spans="1:11" x14ac:dyDescent="0.25">
      <c r="A2461">
        <v>3</v>
      </c>
      <c r="B2461">
        <v>9</v>
      </c>
      <c r="C2461"/>
      <c r="D2461" t="s">
        <v>31</v>
      </c>
      <c r="E2461" t="s">
        <v>32</v>
      </c>
      <c r="F2461" t="s">
        <v>54</v>
      </c>
      <c r="G2461" s="118">
        <v>0.54740740740740745</v>
      </c>
      <c r="H2461" s="118">
        <v>3.4722222222222224E-4</v>
      </c>
      <c r="I2461" s="118">
        <v>6.9444444444444447E-4</v>
      </c>
      <c r="J2461" s="118">
        <v>7.0717592592592594E-3</v>
      </c>
      <c r="K2461" s="118">
        <v>7.0717592592592594E-3</v>
      </c>
    </row>
    <row r="2462" spans="1:11" x14ac:dyDescent="0.25">
      <c r="A2462">
        <v>2</v>
      </c>
      <c r="B2462">
        <v>10</v>
      </c>
      <c r="C2462"/>
      <c r="D2462" t="s">
        <v>31</v>
      </c>
      <c r="E2462" t="s">
        <v>35</v>
      </c>
      <c r="F2462" t="s">
        <v>38</v>
      </c>
      <c r="G2462" s="118">
        <v>0.54761574074074071</v>
      </c>
      <c r="H2462" s="118">
        <v>9.1435185185185185E-4</v>
      </c>
      <c r="I2462" s="118">
        <v>3.4722222222222224E-4</v>
      </c>
      <c r="J2462"/>
      <c r="K2462"/>
    </row>
    <row r="2463" spans="1:11" x14ac:dyDescent="0.25">
      <c r="A2463">
        <v>4</v>
      </c>
      <c r="B2463">
        <v>9</v>
      </c>
      <c r="C2463"/>
      <c r="D2463" t="s">
        <v>31</v>
      </c>
      <c r="E2463" t="s">
        <v>32</v>
      </c>
      <c r="F2463" t="s">
        <v>50</v>
      </c>
      <c r="G2463" s="118">
        <v>0.54766203703703698</v>
      </c>
      <c r="H2463" s="118">
        <v>3.4722222222222224E-4</v>
      </c>
      <c r="I2463" s="118">
        <v>1.261574074074074E-3</v>
      </c>
      <c r="J2463" s="118">
        <v>7.0717592592592594E-3</v>
      </c>
      <c r="K2463" s="118">
        <v>7.0717592592592594E-3</v>
      </c>
    </row>
    <row r="2464" spans="1:11" x14ac:dyDescent="0.25">
      <c r="A2464">
        <v>2</v>
      </c>
      <c r="B2464">
        <v>10</v>
      </c>
      <c r="C2464"/>
      <c r="D2464" t="s">
        <v>31</v>
      </c>
      <c r="E2464" t="s">
        <v>32</v>
      </c>
      <c r="F2464" t="s">
        <v>38</v>
      </c>
      <c r="G2464" s="118">
        <v>0.54796296296296299</v>
      </c>
      <c r="H2464" s="118">
        <v>3.4722222222222224E-4</v>
      </c>
      <c r="I2464" s="118">
        <v>1.2384259259259258E-3</v>
      </c>
      <c r="J2464" s="118">
        <v>7.0717592592592594E-3</v>
      </c>
      <c r="K2464" s="118">
        <v>7.0717592592592594E-3</v>
      </c>
    </row>
    <row r="2465" spans="1:11" x14ac:dyDescent="0.25">
      <c r="A2465">
        <v>3</v>
      </c>
      <c r="B2465">
        <v>9</v>
      </c>
      <c r="C2465"/>
      <c r="D2465" t="s">
        <v>31</v>
      </c>
      <c r="E2465" t="s">
        <v>35</v>
      </c>
      <c r="F2465" t="s">
        <v>92</v>
      </c>
      <c r="G2465" s="118">
        <v>0.54810185185185178</v>
      </c>
      <c r="H2465" s="118">
        <v>6.9444444444444447E-4</v>
      </c>
      <c r="I2465" s="118">
        <v>5.2083333333333333E-4</v>
      </c>
      <c r="J2465"/>
      <c r="K2465"/>
    </row>
    <row r="2466" spans="1:11" x14ac:dyDescent="0.25">
      <c r="A2466">
        <v>5</v>
      </c>
      <c r="B2466">
        <v>10</v>
      </c>
      <c r="C2466"/>
      <c r="D2466" t="s">
        <v>31</v>
      </c>
      <c r="E2466" t="s">
        <v>35</v>
      </c>
      <c r="F2466" t="s">
        <v>49</v>
      </c>
      <c r="G2466" s="118">
        <v>0.54826388888888888</v>
      </c>
      <c r="H2466" s="118">
        <v>9.2592592592592585E-4</v>
      </c>
      <c r="I2466" s="118">
        <v>3.4722222222222224E-4</v>
      </c>
      <c r="J2466"/>
      <c r="K2466"/>
    </row>
    <row r="2467" spans="1:11" x14ac:dyDescent="0.25">
      <c r="A2467">
        <v>1</v>
      </c>
      <c r="B2467">
        <v>9</v>
      </c>
      <c r="C2467"/>
      <c r="D2467" t="s">
        <v>31</v>
      </c>
      <c r="E2467" t="s">
        <v>35</v>
      </c>
      <c r="F2467" t="s">
        <v>46</v>
      </c>
      <c r="G2467" s="118">
        <v>0.54853009259259256</v>
      </c>
      <c r="H2467" s="118">
        <v>1.8055555555555557E-3</v>
      </c>
      <c r="I2467" s="118">
        <v>3.4722222222222224E-4</v>
      </c>
      <c r="J2467"/>
      <c r="K2467"/>
    </row>
    <row r="2468" spans="1:11" x14ac:dyDescent="0.25">
      <c r="A2468">
        <v>5</v>
      </c>
      <c r="B2468">
        <v>10</v>
      </c>
      <c r="C2468"/>
      <c r="D2468" t="s">
        <v>31</v>
      </c>
      <c r="E2468" t="s">
        <v>32</v>
      </c>
      <c r="F2468" t="s">
        <v>49</v>
      </c>
      <c r="G2468" s="118">
        <v>0.54861111111111105</v>
      </c>
      <c r="H2468" s="118">
        <v>3.4722222222222224E-4</v>
      </c>
      <c r="I2468" s="118">
        <v>1.3541666666666667E-3</v>
      </c>
      <c r="J2468" s="118">
        <v>7.0717592592592594E-3</v>
      </c>
      <c r="K2468" s="118">
        <v>7.0717592592592594E-3</v>
      </c>
    </row>
    <row r="2469" spans="1:11" x14ac:dyDescent="0.25">
      <c r="A2469">
        <v>3</v>
      </c>
      <c r="B2469">
        <v>10</v>
      </c>
      <c r="C2469"/>
      <c r="D2469" t="s">
        <v>31</v>
      </c>
      <c r="E2469" t="s">
        <v>32</v>
      </c>
      <c r="F2469" t="s">
        <v>92</v>
      </c>
      <c r="G2469" s="118">
        <v>0.5486226851851852</v>
      </c>
      <c r="H2469" s="118">
        <v>5.2083333333333333E-4</v>
      </c>
      <c r="I2469" s="118">
        <v>1.0069444444444444E-3</v>
      </c>
      <c r="J2469" s="118">
        <v>7.0717592592592594E-3</v>
      </c>
      <c r="K2469" s="118">
        <v>7.0717592592592594E-3</v>
      </c>
    </row>
    <row r="2470" spans="1:11" x14ac:dyDescent="0.25">
      <c r="A2470">
        <v>1</v>
      </c>
      <c r="B2470">
        <v>9</v>
      </c>
      <c r="C2470"/>
      <c r="D2470" t="s">
        <v>31</v>
      </c>
      <c r="E2470" t="s">
        <v>32</v>
      </c>
      <c r="F2470" t="s">
        <v>46</v>
      </c>
      <c r="G2470" s="118">
        <v>0.54887731481481483</v>
      </c>
      <c r="H2470" s="118">
        <v>3.4722222222222224E-4</v>
      </c>
      <c r="I2470" s="118">
        <v>9.1435185185185185E-4</v>
      </c>
      <c r="J2470" s="118">
        <v>7.0717592592592594E-3</v>
      </c>
      <c r="K2470" s="118">
        <v>7.0717592592592594E-3</v>
      </c>
    </row>
    <row r="2471" spans="1:11" x14ac:dyDescent="0.25">
      <c r="A2471">
        <v>4</v>
      </c>
      <c r="B2471">
        <v>9</v>
      </c>
      <c r="C2471"/>
      <c r="D2471" t="s">
        <v>31</v>
      </c>
      <c r="E2471" t="s">
        <v>35</v>
      </c>
      <c r="F2471" t="s">
        <v>56</v>
      </c>
      <c r="G2471" s="118">
        <v>0.5489236111111111</v>
      </c>
      <c r="H2471" s="118">
        <v>1.261574074074074E-3</v>
      </c>
      <c r="I2471" s="118">
        <v>3.4722222222222224E-4</v>
      </c>
      <c r="J2471"/>
      <c r="K2471"/>
    </row>
    <row r="2472" spans="1:11" x14ac:dyDescent="0.25">
      <c r="A2472">
        <v>2</v>
      </c>
      <c r="B2472">
        <v>10</v>
      </c>
      <c r="C2472"/>
      <c r="D2472" t="s">
        <v>31</v>
      </c>
      <c r="E2472" t="s">
        <v>35</v>
      </c>
      <c r="F2472" t="s">
        <v>45</v>
      </c>
      <c r="G2472" s="118">
        <v>0.54920138888888892</v>
      </c>
      <c r="H2472" s="118">
        <v>1.2384259259259258E-3</v>
      </c>
      <c r="I2472" s="118">
        <v>3.4722222222222224E-4</v>
      </c>
      <c r="J2472"/>
      <c r="K2472"/>
    </row>
    <row r="2473" spans="1:11" x14ac:dyDescent="0.25">
      <c r="A2473">
        <v>4</v>
      </c>
      <c r="B2473">
        <v>9</v>
      </c>
      <c r="C2473"/>
      <c r="D2473" t="s">
        <v>31</v>
      </c>
      <c r="E2473" t="s">
        <v>32</v>
      </c>
      <c r="F2473" t="s">
        <v>56</v>
      </c>
      <c r="G2473" s="118">
        <v>0.54927083333333326</v>
      </c>
      <c r="H2473" s="118">
        <v>3.4722222222222224E-4</v>
      </c>
      <c r="I2473" s="118">
        <v>9.6064814814814808E-4</v>
      </c>
      <c r="J2473" s="118">
        <v>7.0717592592592594E-3</v>
      </c>
      <c r="K2473" s="118">
        <v>7.0717592592592594E-3</v>
      </c>
    </row>
    <row r="2474" spans="1:11" x14ac:dyDescent="0.25">
      <c r="A2474">
        <v>2</v>
      </c>
      <c r="B2474">
        <v>10</v>
      </c>
      <c r="C2474"/>
      <c r="D2474" t="s">
        <v>31</v>
      </c>
      <c r="E2474" t="s">
        <v>32</v>
      </c>
      <c r="F2474" t="s">
        <v>45</v>
      </c>
      <c r="G2474" s="118">
        <v>0.54954861111111108</v>
      </c>
      <c r="H2474" s="118">
        <v>3.4722222222222224E-4</v>
      </c>
      <c r="I2474" s="118">
        <v>1.0416666666666667E-3</v>
      </c>
      <c r="J2474" s="118">
        <v>7.0717592592592594E-3</v>
      </c>
      <c r="K2474" s="118">
        <v>7.0717592592592594E-3</v>
      </c>
    </row>
    <row r="2475" spans="1:11" x14ac:dyDescent="0.25">
      <c r="A2475">
        <v>3</v>
      </c>
      <c r="B2475">
        <v>10</v>
      </c>
      <c r="C2475"/>
      <c r="D2475" t="s">
        <v>31</v>
      </c>
      <c r="E2475" t="s">
        <v>35</v>
      </c>
      <c r="F2475" t="s">
        <v>41</v>
      </c>
      <c r="G2475" s="118">
        <v>0.54962962962962958</v>
      </c>
      <c r="H2475" s="118">
        <v>1.0069444444444444E-3</v>
      </c>
      <c r="I2475" s="118">
        <v>3.4722222222222224E-4</v>
      </c>
      <c r="J2475"/>
      <c r="K2475"/>
    </row>
    <row r="2476" spans="1:11" x14ac:dyDescent="0.25">
      <c r="A2476">
        <v>1</v>
      </c>
      <c r="B2476">
        <v>9</v>
      </c>
      <c r="C2476"/>
      <c r="D2476" t="s">
        <v>31</v>
      </c>
      <c r="E2476" t="s">
        <v>35</v>
      </c>
      <c r="F2476" t="s">
        <v>51</v>
      </c>
      <c r="G2476" s="118">
        <v>0.54979166666666668</v>
      </c>
      <c r="H2476" s="118">
        <v>9.1435185185185185E-4</v>
      </c>
      <c r="I2476" s="118">
        <v>3.4722222222222224E-4</v>
      </c>
      <c r="J2476"/>
      <c r="K2476"/>
    </row>
    <row r="2477" spans="1:11" x14ac:dyDescent="0.25">
      <c r="A2477">
        <v>5</v>
      </c>
      <c r="B2477">
        <v>10</v>
      </c>
      <c r="C2477"/>
      <c r="D2477" t="s">
        <v>31</v>
      </c>
      <c r="E2477" t="s">
        <v>35</v>
      </c>
      <c r="F2477" t="s">
        <v>33</v>
      </c>
      <c r="G2477" s="118">
        <v>0.54996527777777782</v>
      </c>
      <c r="H2477" s="118">
        <v>1.3541666666666667E-3</v>
      </c>
      <c r="I2477" s="118">
        <v>5.2083333333333333E-4</v>
      </c>
      <c r="J2477"/>
      <c r="K2477"/>
    </row>
    <row r="2478" spans="1:11" x14ac:dyDescent="0.25">
      <c r="A2478">
        <v>3</v>
      </c>
      <c r="B2478">
        <v>10</v>
      </c>
      <c r="C2478"/>
      <c r="D2478" t="s">
        <v>31</v>
      </c>
      <c r="E2478" t="s">
        <v>32</v>
      </c>
      <c r="F2478" t="s">
        <v>41</v>
      </c>
      <c r="G2478" s="118">
        <v>0.54997685185185186</v>
      </c>
      <c r="H2478" s="118">
        <v>3.4722222222222224E-4</v>
      </c>
      <c r="I2478" s="118">
        <v>8.564814814814815E-4</v>
      </c>
      <c r="J2478" s="118">
        <v>7.0717592592592594E-3</v>
      </c>
      <c r="K2478" s="118">
        <v>7.0717592592592594E-3</v>
      </c>
    </row>
    <row r="2479" spans="1:11" x14ac:dyDescent="0.25">
      <c r="A2479">
        <v>1</v>
      </c>
      <c r="B2479">
        <v>9</v>
      </c>
      <c r="C2479"/>
      <c r="D2479" t="s">
        <v>31</v>
      </c>
      <c r="E2479" t="s">
        <v>32</v>
      </c>
      <c r="F2479" t="s">
        <v>51</v>
      </c>
      <c r="G2479" s="118">
        <v>0.55013888888888884</v>
      </c>
      <c r="H2479" s="118">
        <v>3.4722222222222224E-4</v>
      </c>
      <c r="I2479" s="118">
        <v>1.0069444444444444E-3</v>
      </c>
      <c r="J2479" s="118">
        <v>7.0717592592592594E-3</v>
      </c>
      <c r="K2479" s="118">
        <v>7.0717592592592594E-3</v>
      </c>
    </row>
    <row r="2480" spans="1:11" x14ac:dyDescent="0.25">
      <c r="A2480">
        <v>4</v>
      </c>
      <c r="B2480">
        <v>9</v>
      </c>
      <c r="C2480"/>
      <c r="D2480" t="s">
        <v>31</v>
      </c>
      <c r="E2480" t="s">
        <v>35</v>
      </c>
      <c r="F2480" t="s">
        <v>37</v>
      </c>
      <c r="G2480" s="118">
        <v>0.55023148148148149</v>
      </c>
      <c r="H2480" s="118">
        <v>9.6064814814814808E-4</v>
      </c>
      <c r="I2480" s="118">
        <v>3.4722222222222224E-4</v>
      </c>
      <c r="J2480"/>
      <c r="K2480"/>
    </row>
    <row r="2481" spans="1:11" x14ac:dyDescent="0.25">
      <c r="A2481">
        <v>5</v>
      </c>
      <c r="B2481">
        <v>10</v>
      </c>
      <c r="C2481"/>
      <c r="D2481" t="s">
        <v>31</v>
      </c>
      <c r="E2481" t="s">
        <v>32</v>
      </c>
      <c r="F2481" t="s">
        <v>33</v>
      </c>
      <c r="G2481" s="118">
        <v>0.55048611111111112</v>
      </c>
      <c r="H2481" s="118">
        <v>5.2083333333333333E-4</v>
      </c>
      <c r="I2481" s="118">
        <v>9.6064814814814808E-4</v>
      </c>
      <c r="J2481" s="118">
        <v>7.0717592592592594E-3</v>
      </c>
      <c r="K2481" s="118">
        <v>7.0717592592592594E-3</v>
      </c>
    </row>
    <row r="2482" spans="1:11" x14ac:dyDescent="0.25">
      <c r="A2482">
        <v>4</v>
      </c>
      <c r="B2482">
        <v>9</v>
      </c>
      <c r="C2482"/>
      <c r="D2482" t="s">
        <v>31</v>
      </c>
      <c r="E2482" t="s">
        <v>32</v>
      </c>
      <c r="F2482" t="s">
        <v>37</v>
      </c>
      <c r="G2482" s="118">
        <v>0.55057870370370365</v>
      </c>
      <c r="H2482" s="118">
        <v>3.4722222222222224E-4</v>
      </c>
      <c r="I2482" s="118">
        <v>9.0277777777777784E-4</v>
      </c>
      <c r="J2482" s="118">
        <v>7.0717592592592594E-3</v>
      </c>
      <c r="K2482" s="118">
        <v>7.0717592592592594E-3</v>
      </c>
    </row>
    <row r="2483" spans="1:11" x14ac:dyDescent="0.25">
      <c r="A2483">
        <v>2</v>
      </c>
      <c r="B2483">
        <v>10</v>
      </c>
      <c r="C2483"/>
      <c r="D2483" t="s">
        <v>31</v>
      </c>
      <c r="E2483" t="s">
        <v>35</v>
      </c>
      <c r="F2483" t="s">
        <v>52</v>
      </c>
      <c r="G2483" s="118">
        <v>0.5505902777777778</v>
      </c>
      <c r="H2483" s="118">
        <v>1.0416666666666667E-3</v>
      </c>
      <c r="I2483" s="118">
        <v>3.4722222222222224E-4</v>
      </c>
      <c r="J2483"/>
      <c r="K2483"/>
    </row>
    <row r="2484" spans="1:11" x14ac:dyDescent="0.25">
      <c r="A2484">
        <v>3</v>
      </c>
      <c r="B2484">
        <v>10</v>
      </c>
      <c r="C2484"/>
      <c r="D2484" t="s">
        <v>31</v>
      </c>
      <c r="E2484" t="s">
        <v>35</v>
      </c>
      <c r="F2484" t="s">
        <v>47</v>
      </c>
      <c r="G2484" s="118">
        <v>0.5508333333333334</v>
      </c>
      <c r="H2484" s="118">
        <v>8.564814814814815E-4</v>
      </c>
      <c r="I2484" s="118">
        <v>5.2083333333333333E-4</v>
      </c>
      <c r="J2484"/>
      <c r="K2484"/>
    </row>
    <row r="2485" spans="1:11" x14ac:dyDescent="0.25">
      <c r="A2485">
        <v>2</v>
      </c>
      <c r="B2485">
        <v>10</v>
      </c>
      <c r="C2485"/>
      <c r="D2485" t="s">
        <v>31</v>
      </c>
      <c r="E2485" t="s">
        <v>32</v>
      </c>
      <c r="F2485" t="s">
        <v>52</v>
      </c>
      <c r="G2485" s="118">
        <v>0.55093749999999997</v>
      </c>
      <c r="H2485" s="118">
        <v>3.4722222222222224E-4</v>
      </c>
      <c r="I2485" s="118">
        <v>1.0532407407407407E-3</v>
      </c>
      <c r="J2485" s="118">
        <v>7.0717592592592594E-3</v>
      </c>
      <c r="K2485" s="118">
        <v>7.0717592592592594E-3</v>
      </c>
    </row>
    <row r="2486" spans="1:11" x14ac:dyDescent="0.25">
      <c r="A2486">
        <v>1</v>
      </c>
      <c r="B2486">
        <v>9</v>
      </c>
      <c r="C2486"/>
      <c r="D2486" t="s">
        <v>31</v>
      </c>
      <c r="E2486" t="s">
        <v>35</v>
      </c>
      <c r="F2486" t="s">
        <v>55</v>
      </c>
      <c r="G2486" s="118">
        <v>0.55114583333333333</v>
      </c>
      <c r="H2486" s="118">
        <v>1.0069444444444444E-3</v>
      </c>
      <c r="I2486" s="118">
        <v>4.6296296296296293E-4</v>
      </c>
      <c r="J2486"/>
      <c r="K2486"/>
    </row>
    <row r="2487" spans="1:11" x14ac:dyDescent="0.25">
      <c r="A2487">
        <v>3</v>
      </c>
      <c r="B2487">
        <v>10</v>
      </c>
      <c r="C2487"/>
      <c r="D2487" t="s">
        <v>31</v>
      </c>
      <c r="E2487" t="s">
        <v>32</v>
      </c>
      <c r="F2487" t="s">
        <v>47</v>
      </c>
      <c r="G2487" s="118">
        <v>0.5513541666666667</v>
      </c>
      <c r="H2487" s="118">
        <v>5.2083333333333333E-4</v>
      </c>
      <c r="I2487" s="118">
        <v>8.7962962962962962E-4</v>
      </c>
      <c r="J2487" s="118">
        <v>7.0717592592592594E-3</v>
      </c>
      <c r="K2487" s="118">
        <v>7.0717592592592594E-3</v>
      </c>
    </row>
    <row r="2488" spans="1:11" x14ac:dyDescent="0.25">
      <c r="A2488">
        <v>5</v>
      </c>
      <c r="B2488">
        <v>10</v>
      </c>
      <c r="C2488"/>
      <c r="D2488" t="s">
        <v>31</v>
      </c>
      <c r="E2488" t="s">
        <v>35</v>
      </c>
      <c r="F2488" t="s">
        <v>36</v>
      </c>
      <c r="G2488" s="118">
        <v>0.55144675925925923</v>
      </c>
      <c r="H2488" s="118">
        <v>9.6064814814814808E-4</v>
      </c>
      <c r="I2488" s="118">
        <v>3.4722222222222224E-4</v>
      </c>
      <c r="J2488"/>
      <c r="K2488"/>
    </row>
    <row r="2489" spans="1:11" x14ac:dyDescent="0.25">
      <c r="A2489">
        <v>4</v>
      </c>
      <c r="B2489">
        <v>9</v>
      </c>
      <c r="C2489"/>
      <c r="D2489" t="s">
        <v>31</v>
      </c>
      <c r="E2489" t="s">
        <v>35</v>
      </c>
      <c r="F2489" t="s">
        <v>42</v>
      </c>
      <c r="G2489" s="118">
        <v>0.55148148148148146</v>
      </c>
      <c r="H2489" s="118">
        <v>9.0277777777777784E-4</v>
      </c>
      <c r="I2489" s="118">
        <v>3.4722222222222224E-4</v>
      </c>
      <c r="J2489"/>
      <c r="K2489"/>
    </row>
    <row r="2490" spans="1:11" x14ac:dyDescent="0.25">
      <c r="A2490">
        <v>1</v>
      </c>
      <c r="B2490">
        <v>9</v>
      </c>
      <c r="C2490"/>
      <c r="D2490" t="s">
        <v>31</v>
      </c>
      <c r="E2490" t="s">
        <v>32</v>
      </c>
      <c r="F2490" t="s">
        <v>55</v>
      </c>
      <c r="G2490" s="118">
        <v>0.55160879629629633</v>
      </c>
      <c r="H2490" s="118">
        <v>4.6296296296296293E-4</v>
      </c>
      <c r="I2490" s="118">
        <v>4.3981481481481481E-4</v>
      </c>
      <c r="J2490" s="118">
        <v>7.0717592592592594E-3</v>
      </c>
      <c r="K2490" s="118">
        <v>7.0717592592592594E-3</v>
      </c>
    </row>
    <row r="2491" spans="1:11" x14ac:dyDescent="0.25">
      <c r="A2491">
        <v>5</v>
      </c>
      <c r="B2491">
        <v>10</v>
      </c>
      <c r="C2491"/>
      <c r="D2491" t="s">
        <v>31</v>
      </c>
      <c r="E2491" t="s">
        <v>32</v>
      </c>
      <c r="F2491" t="s">
        <v>36</v>
      </c>
      <c r="G2491" s="118">
        <v>0.55179398148148151</v>
      </c>
      <c r="H2491" s="118">
        <v>3.4722222222222224E-4</v>
      </c>
      <c r="I2491" s="118">
        <v>1.0995370370370371E-3</v>
      </c>
      <c r="J2491" s="118">
        <v>7.0717592592592594E-3</v>
      </c>
      <c r="K2491" s="118">
        <v>7.0717592592592594E-3</v>
      </c>
    </row>
    <row r="2492" spans="1:11" x14ac:dyDescent="0.25">
      <c r="A2492">
        <v>4</v>
      </c>
      <c r="B2492">
        <v>9</v>
      </c>
      <c r="C2492"/>
      <c r="D2492" t="s">
        <v>31</v>
      </c>
      <c r="E2492" t="s">
        <v>32</v>
      </c>
      <c r="F2492" t="s">
        <v>42</v>
      </c>
      <c r="G2492" s="118">
        <v>0.55182870370370374</v>
      </c>
      <c r="H2492" s="118">
        <v>3.4722222222222224E-4</v>
      </c>
      <c r="I2492" s="118">
        <v>9.1435185185185185E-4</v>
      </c>
      <c r="J2492" s="118">
        <v>7.0717592592592594E-3</v>
      </c>
      <c r="K2492" s="118">
        <v>7.0717592592592594E-3</v>
      </c>
    </row>
    <row r="2493" spans="1:11" x14ac:dyDescent="0.25">
      <c r="A2493">
        <v>2</v>
      </c>
      <c r="B2493">
        <v>10</v>
      </c>
      <c r="C2493"/>
      <c r="D2493" t="s">
        <v>31</v>
      </c>
      <c r="E2493" t="s">
        <v>35</v>
      </c>
      <c r="F2493" t="s">
        <v>57</v>
      </c>
      <c r="G2493" s="118">
        <v>0.55199074074074073</v>
      </c>
      <c r="H2493" s="118">
        <v>1.0532407407407407E-3</v>
      </c>
      <c r="I2493" s="118">
        <v>3.4722222222222224E-4</v>
      </c>
      <c r="J2493"/>
      <c r="K2493"/>
    </row>
    <row r="2494" spans="1:11" x14ac:dyDescent="0.25">
      <c r="A2494">
        <v>1</v>
      </c>
      <c r="B2494">
        <v>9</v>
      </c>
      <c r="C2494"/>
      <c r="D2494" t="s">
        <v>31</v>
      </c>
      <c r="E2494" t="s">
        <v>35</v>
      </c>
      <c r="F2494" t="s">
        <v>58</v>
      </c>
      <c r="G2494" s="118">
        <v>0.55204861111111114</v>
      </c>
      <c r="H2494" s="118">
        <v>4.3981481481481481E-4</v>
      </c>
      <c r="I2494" s="118">
        <v>5.7870370370370366E-5</v>
      </c>
      <c r="J2494"/>
      <c r="K2494"/>
    </row>
    <row r="2495" spans="1:11" x14ac:dyDescent="0.25">
      <c r="A2495">
        <v>1</v>
      </c>
      <c r="B2495">
        <v>9</v>
      </c>
      <c r="C2495"/>
      <c r="D2495" t="s">
        <v>31</v>
      </c>
      <c r="E2495" t="s">
        <v>32</v>
      </c>
      <c r="F2495" t="s">
        <v>58</v>
      </c>
      <c r="G2495" s="118">
        <v>0.55210648148148145</v>
      </c>
      <c r="H2495" s="118">
        <v>5.7870370370370366E-5</v>
      </c>
      <c r="I2495" s="118">
        <v>4.8611111111111104E-4</v>
      </c>
      <c r="J2495" s="118">
        <v>7.0717592592592594E-3</v>
      </c>
      <c r="K2495" s="118">
        <v>7.0717592592592594E-3</v>
      </c>
    </row>
    <row r="2496" spans="1:11" x14ac:dyDescent="0.25">
      <c r="A2496">
        <v>3</v>
      </c>
      <c r="B2496">
        <v>10</v>
      </c>
      <c r="C2496"/>
      <c r="D2496" t="s">
        <v>31</v>
      </c>
      <c r="E2496" t="s">
        <v>35</v>
      </c>
      <c r="F2496" t="s">
        <v>53</v>
      </c>
      <c r="G2496" s="118">
        <v>0.55223379629629632</v>
      </c>
      <c r="H2496" s="118">
        <v>8.7962962962962962E-4</v>
      </c>
      <c r="I2496" s="118">
        <v>3.4722222222222224E-4</v>
      </c>
      <c r="J2496"/>
      <c r="K2496"/>
    </row>
    <row r="2497" spans="1:11" x14ac:dyDescent="0.25">
      <c r="A2497">
        <v>2</v>
      </c>
      <c r="B2497">
        <v>10</v>
      </c>
      <c r="C2497"/>
      <c r="D2497" t="s">
        <v>31</v>
      </c>
      <c r="E2497" t="s">
        <v>32</v>
      </c>
      <c r="F2497" t="s">
        <v>57</v>
      </c>
      <c r="G2497" s="118">
        <v>0.55233796296296289</v>
      </c>
      <c r="H2497" s="118">
        <v>3.4722222222222224E-4</v>
      </c>
      <c r="I2497" s="118">
        <v>9.3750000000000007E-4</v>
      </c>
      <c r="J2497" s="118">
        <v>7.0717592592592594E-3</v>
      </c>
      <c r="K2497" s="118">
        <v>7.0717592592592594E-3</v>
      </c>
    </row>
    <row r="2498" spans="1:11" x14ac:dyDescent="0.25">
      <c r="A2498">
        <v>3</v>
      </c>
      <c r="B2498">
        <v>10</v>
      </c>
      <c r="C2498"/>
      <c r="D2498" t="s">
        <v>31</v>
      </c>
      <c r="E2498" t="s">
        <v>32</v>
      </c>
      <c r="F2498" t="s">
        <v>53</v>
      </c>
      <c r="G2498" s="118">
        <v>0.55258101851851849</v>
      </c>
      <c r="H2498" s="118">
        <v>3.4722222222222224E-4</v>
      </c>
      <c r="I2498" s="118">
        <v>8.449074074074075E-4</v>
      </c>
      <c r="J2498" s="118">
        <v>7.0717592592592594E-3</v>
      </c>
      <c r="K2498" s="118">
        <v>7.0717592592592594E-3</v>
      </c>
    </row>
    <row r="2499" spans="1:11" x14ac:dyDescent="0.25">
      <c r="A2499">
        <v>1</v>
      </c>
      <c r="B2499">
        <v>9</v>
      </c>
      <c r="C2499"/>
      <c r="D2499" t="s">
        <v>31</v>
      </c>
      <c r="E2499" t="s">
        <v>35</v>
      </c>
      <c r="F2499" t="s">
        <v>40</v>
      </c>
      <c r="G2499" s="118">
        <v>0.55259259259259264</v>
      </c>
      <c r="H2499" s="118">
        <v>4.8611111111111104E-4</v>
      </c>
      <c r="I2499" s="118">
        <v>4.6296296296296293E-4</v>
      </c>
      <c r="J2499"/>
      <c r="K2499"/>
    </row>
    <row r="2500" spans="1:11" x14ac:dyDescent="0.25">
      <c r="A2500">
        <v>4</v>
      </c>
      <c r="B2500">
        <v>9</v>
      </c>
      <c r="C2500"/>
      <c r="D2500" t="s">
        <v>31</v>
      </c>
      <c r="E2500" t="s">
        <v>35</v>
      </c>
      <c r="F2500" t="s">
        <v>48</v>
      </c>
      <c r="G2500" s="118">
        <v>0.55274305555555558</v>
      </c>
      <c r="H2500" s="118">
        <v>9.1435185185185185E-4</v>
      </c>
      <c r="I2500" s="118">
        <v>5.2083333333333333E-4</v>
      </c>
      <c r="J2500"/>
      <c r="K2500"/>
    </row>
    <row r="2501" spans="1:11" x14ac:dyDescent="0.25">
      <c r="A2501">
        <v>5</v>
      </c>
      <c r="B2501">
        <v>10</v>
      </c>
      <c r="C2501"/>
      <c r="D2501" t="s">
        <v>31</v>
      </c>
      <c r="E2501" t="s">
        <v>35</v>
      </c>
      <c r="F2501" t="s">
        <v>43</v>
      </c>
      <c r="G2501" s="118">
        <v>0.55289351851851853</v>
      </c>
      <c r="H2501" s="118">
        <v>1.0995370370370371E-3</v>
      </c>
      <c r="I2501" s="118">
        <v>3.4722222222222224E-4</v>
      </c>
      <c r="J2501"/>
      <c r="K2501"/>
    </row>
    <row r="2502" spans="1:11" x14ac:dyDescent="0.25">
      <c r="A2502">
        <v>1</v>
      </c>
      <c r="B2502">
        <v>9</v>
      </c>
      <c r="C2502"/>
      <c r="D2502" t="s">
        <v>31</v>
      </c>
      <c r="E2502" t="s">
        <v>32</v>
      </c>
      <c r="F2502" t="s">
        <v>40</v>
      </c>
      <c r="G2502" s="118">
        <v>0.55305555555555552</v>
      </c>
      <c r="H2502" s="118">
        <v>4.6296296296296293E-4</v>
      </c>
      <c r="I2502" s="118">
        <v>1.0069444444444444E-3</v>
      </c>
      <c r="J2502" s="118">
        <v>7.0717592592592594E-3</v>
      </c>
      <c r="K2502" s="118">
        <v>7.0717592592592594E-3</v>
      </c>
    </row>
    <row r="2503" spans="1:11" x14ac:dyDescent="0.25">
      <c r="A2503">
        <v>5</v>
      </c>
      <c r="B2503">
        <v>10</v>
      </c>
      <c r="C2503"/>
      <c r="D2503" t="s">
        <v>31</v>
      </c>
      <c r="E2503" t="s">
        <v>32</v>
      </c>
      <c r="F2503" t="s">
        <v>43</v>
      </c>
      <c r="G2503" s="118">
        <v>0.55324074074074081</v>
      </c>
      <c r="H2503" s="118">
        <v>3.4722222222222224E-4</v>
      </c>
      <c r="I2503" s="118">
        <v>1.1458333333333333E-3</v>
      </c>
      <c r="J2503" s="118">
        <v>7.0717592592592594E-3</v>
      </c>
      <c r="K2503" s="118">
        <v>7.0717592592592594E-3</v>
      </c>
    </row>
    <row r="2504" spans="1:11" x14ac:dyDescent="0.25">
      <c r="A2504">
        <v>4</v>
      </c>
      <c r="B2504">
        <v>9</v>
      </c>
      <c r="C2504"/>
      <c r="D2504" t="s">
        <v>31</v>
      </c>
      <c r="E2504" t="s">
        <v>32</v>
      </c>
      <c r="F2504" t="s">
        <v>48</v>
      </c>
      <c r="G2504" s="118">
        <v>0.55326388888888889</v>
      </c>
      <c r="H2504" s="118">
        <v>5.2083333333333333E-4</v>
      </c>
      <c r="I2504" s="118">
        <v>8.6805555555555551E-4</v>
      </c>
      <c r="J2504" s="118">
        <v>7.0717592592592594E-3</v>
      </c>
      <c r="K2504" s="118">
        <v>7.0717592592592594E-3</v>
      </c>
    </row>
    <row r="2505" spans="1:11" x14ac:dyDescent="0.25">
      <c r="A2505">
        <v>2</v>
      </c>
      <c r="B2505">
        <v>10</v>
      </c>
      <c r="C2505"/>
      <c r="D2505" t="s">
        <v>31</v>
      </c>
      <c r="E2505" t="s">
        <v>35</v>
      </c>
      <c r="F2505" t="s">
        <v>39</v>
      </c>
      <c r="G2505" s="118">
        <v>0.55327546296296293</v>
      </c>
      <c r="H2505" s="118">
        <v>9.3750000000000007E-4</v>
      </c>
      <c r="I2505" s="118">
        <v>5.2083333333333333E-4</v>
      </c>
      <c r="J2505"/>
      <c r="K2505"/>
    </row>
    <row r="2506" spans="1:11" x14ac:dyDescent="0.25">
      <c r="A2506">
        <v>3</v>
      </c>
      <c r="B2506">
        <v>10</v>
      </c>
      <c r="C2506"/>
      <c r="D2506" t="s">
        <v>31</v>
      </c>
      <c r="E2506" t="s">
        <v>35</v>
      </c>
      <c r="F2506" t="s">
        <v>34</v>
      </c>
      <c r="G2506" s="118">
        <v>0.55342592592592588</v>
      </c>
      <c r="H2506" s="118">
        <v>8.449074074074075E-4</v>
      </c>
      <c r="I2506" s="118">
        <v>3.4722222222222224E-4</v>
      </c>
      <c r="J2506"/>
      <c r="K2506"/>
    </row>
    <row r="2507" spans="1:11" x14ac:dyDescent="0.25">
      <c r="A2507">
        <v>3</v>
      </c>
      <c r="B2507">
        <v>10</v>
      </c>
      <c r="C2507"/>
      <c r="D2507" t="s">
        <v>31</v>
      </c>
      <c r="E2507" t="s">
        <v>32</v>
      </c>
      <c r="F2507" t="s">
        <v>34</v>
      </c>
      <c r="G2507" s="118">
        <v>0.55377314814814815</v>
      </c>
      <c r="H2507" s="118">
        <v>3.4722222222222224E-4</v>
      </c>
      <c r="I2507" s="118">
        <v>9.1435185185185185E-4</v>
      </c>
      <c r="J2507" s="118">
        <v>7.0717592592592594E-3</v>
      </c>
      <c r="K2507" s="118">
        <v>7.0717592592592594E-3</v>
      </c>
    </row>
    <row r="2508" spans="1:11" x14ac:dyDescent="0.25">
      <c r="A2508">
        <v>2</v>
      </c>
      <c r="B2508">
        <v>10</v>
      </c>
      <c r="C2508"/>
      <c r="D2508" t="s">
        <v>31</v>
      </c>
      <c r="E2508" t="s">
        <v>32</v>
      </c>
      <c r="F2508" t="s">
        <v>39</v>
      </c>
      <c r="G2508" s="118">
        <v>0.55379629629629623</v>
      </c>
      <c r="H2508" s="118">
        <v>5.2083333333333333E-4</v>
      </c>
      <c r="I2508" s="118">
        <v>1.8055555555555557E-3</v>
      </c>
      <c r="J2508" s="118">
        <v>7.0717592592592594E-3</v>
      </c>
      <c r="K2508" s="118">
        <v>7.0717592592592594E-3</v>
      </c>
    </row>
    <row r="2509" spans="1:11" x14ac:dyDescent="0.25">
      <c r="A2509">
        <v>1</v>
      </c>
      <c r="B2509">
        <v>9</v>
      </c>
      <c r="C2509"/>
      <c r="D2509" t="s">
        <v>31</v>
      </c>
      <c r="E2509" t="s">
        <v>35</v>
      </c>
      <c r="F2509" t="s">
        <v>44</v>
      </c>
      <c r="G2509" s="118">
        <v>0.55406250000000001</v>
      </c>
      <c r="H2509" s="118">
        <v>1.0069444444444444E-3</v>
      </c>
      <c r="I2509" s="118">
        <v>3.4722222222222224E-4</v>
      </c>
      <c r="J2509"/>
      <c r="K2509"/>
    </row>
    <row r="2510" spans="1:11" x14ac:dyDescent="0.25">
      <c r="A2510">
        <v>4</v>
      </c>
      <c r="B2510">
        <v>9</v>
      </c>
      <c r="C2510"/>
      <c r="D2510" t="s">
        <v>31</v>
      </c>
      <c r="E2510" t="s">
        <v>35</v>
      </c>
      <c r="F2510" t="s">
        <v>54</v>
      </c>
      <c r="G2510" s="118">
        <v>0.55413194444444447</v>
      </c>
      <c r="H2510" s="118">
        <v>8.6805555555555551E-4</v>
      </c>
      <c r="I2510" s="118">
        <v>3.4722222222222224E-4</v>
      </c>
      <c r="J2510"/>
      <c r="K2510"/>
    </row>
    <row r="2511" spans="1:11" x14ac:dyDescent="0.25">
      <c r="A2511">
        <v>5</v>
      </c>
      <c r="B2511">
        <v>10</v>
      </c>
      <c r="C2511"/>
      <c r="D2511" t="s">
        <v>31</v>
      </c>
      <c r="E2511" t="s">
        <v>35</v>
      </c>
      <c r="F2511" t="s">
        <v>50</v>
      </c>
      <c r="G2511" s="118">
        <v>0.5543865740740741</v>
      </c>
      <c r="H2511" s="118">
        <v>1.1458333333333333E-3</v>
      </c>
      <c r="I2511" s="118">
        <v>3.4722222222222224E-4</v>
      </c>
      <c r="J2511"/>
      <c r="K2511"/>
    </row>
    <row r="2512" spans="1:11" x14ac:dyDescent="0.25">
      <c r="A2512">
        <v>1</v>
      </c>
      <c r="B2512">
        <v>9</v>
      </c>
      <c r="C2512"/>
      <c r="D2512" t="s">
        <v>31</v>
      </c>
      <c r="E2512" t="s">
        <v>32</v>
      </c>
      <c r="F2512" t="s">
        <v>44</v>
      </c>
      <c r="G2512" s="118">
        <v>0.55440972222222229</v>
      </c>
      <c r="H2512" s="118">
        <v>3.4722222222222224E-4</v>
      </c>
      <c r="I2512" s="118">
        <v>9.2592592592592585E-4</v>
      </c>
      <c r="J2512" s="118">
        <v>7.0717592592592594E-3</v>
      </c>
      <c r="K2512" s="118">
        <v>7.0717592592592594E-3</v>
      </c>
    </row>
    <row r="2513" spans="1:11" x14ac:dyDescent="0.25">
      <c r="A2513">
        <v>4</v>
      </c>
      <c r="B2513">
        <v>9</v>
      </c>
      <c r="C2513"/>
      <c r="D2513" t="s">
        <v>31</v>
      </c>
      <c r="E2513" t="s">
        <v>32</v>
      </c>
      <c r="F2513" t="s">
        <v>54</v>
      </c>
      <c r="G2513" s="118">
        <v>0.55447916666666663</v>
      </c>
      <c r="H2513" s="118">
        <v>3.4722222222222224E-4</v>
      </c>
      <c r="I2513" s="118">
        <v>6.9444444444444447E-4</v>
      </c>
      <c r="J2513" s="118">
        <v>7.0717592592592594E-3</v>
      </c>
      <c r="K2513" s="118">
        <v>7.0717592592592594E-3</v>
      </c>
    </row>
    <row r="2514" spans="1:11" x14ac:dyDescent="0.25">
      <c r="A2514">
        <v>3</v>
      </c>
      <c r="B2514">
        <v>10</v>
      </c>
      <c r="C2514"/>
      <c r="D2514" t="s">
        <v>31</v>
      </c>
      <c r="E2514" t="s">
        <v>35</v>
      </c>
      <c r="F2514" t="s">
        <v>38</v>
      </c>
      <c r="G2514" s="118">
        <v>0.5546875</v>
      </c>
      <c r="H2514" s="118">
        <v>9.1435185185185185E-4</v>
      </c>
      <c r="I2514" s="118">
        <v>3.4722222222222224E-4</v>
      </c>
      <c r="J2514"/>
      <c r="K2514"/>
    </row>
    <row r="2515" spans="1:11" x14ac:dyDescent="0.25">
      <c r="A2515">
        <v>5</v>
      </c>
      <c r="B2515">
        <v>10</v>
      </c>
      <c r="C2515"/>
      <c r="D2515" t="s">
        <v>31</v>
      </c>
      <c r="E2515" t="s">
        <v>32</v>
      </c>
      <c r="F2515" t="s">
        <v>50</v>
      </c>
      <c r="G2515" s="118">
        <v>0.55473379629629627</v>
      </c>
      <c r="H2515" s="118">
        <v>3.4722222222222224E-4</v>
      </c>
      <c r="I2515" s="118">
        <v>1.261574074074074E-3</v>
      </c>
      <c r="J2515" s="118">
        <v>7.0717592592592594E-3</v>
      </c>
      <c r="K2515" s="118">
        <v>7.0717592592592594E-3</v>
      </c>
    </row>
    <row r="2516" spans="1:11" x14ac:dyDescent="0.25">
      <c r="A2516">
        <v>3</v>
      </c>
      <c r="B2516">
        <v>10</v>
      </c>
      <c r="C2516"/>
      <c r="D2516" t="s">
        <v>31</v>
      </c>
      <c r="E2516" t="s">
        <v>32</v>
      </c>
      <c r="F2516" t="s">
        <v>38</v>
      </c>
      <c r="G2516" s="118">
        <v>0.55503472222222217</v>
      </c>
      <c r="H2516" s="118">
        <v>3.4722222222222224E-4</v>
      </c>
      <c r="I2516" s="118">
        <v>1.2384259259259258E-3</v>
      </c>
      <c r="J2516" s="118">
        <v>7.0717592592592594E-3</v>
      </c>
      <c r="K2516" s="118">
        <v>7.0717592592592594E-3</v>
      </c>
    </row>
    <row r="2517" spans="1:11" x14ac:dyDescent="0.25">
      <c r="A2517">
        <v>4</v>
      </c>
      <c r="B2517">
        <v>9</v>
      </c>
      <c r="C2517"/>
      <c r="D2517" t="s">
        <v>31</v>
      </c>
      <c r="E2517" t="s">
        <v>35</v>
      </c>
      <c r="F2517" t="s">
        <v>92</v>
      </c>
      <c r="G2517" s="118">
        <v>0.55517361111111108</v>
      </c>
      <c r="H2517" s="118">
        <v>6.9444444444444447E-4</v>
      </c>
      <c r="I2517" s="118">
        <v>5.2083333333333333E-4</v>
      </c>
      <c r="J2517"/>
      <c r="K2517"/>
    </row>
    <row r="2518" spans="1:11" x14ac:dyDescent="0.25">
      <c r="A2518">
        <v>1</v>
      </c>
      <c r="B2518">
        <v>9</v>
      </c>
      <c r="C2518"/>
      <c r="D2518" t="s">
        <v>31</v>
      </c>
      <c r="E2518" t="s">
        <v>35</v>
      </c>
      <c r="F2518" t="s">
        <v>49</v>
      </c>
      <c r="G2518" s="118">
        <v>0.55533564814814818</v>
      </c>
      <c r="H2518" s="118">
        <v>9.2592592592592585E-4</v>
      </c>
      <c r="I2518" s="118">
        <v>3.4722222222222224E-4</v>
      </c>
      <c r="J2518"/>
      <c r="K2518"/>
    </row>
    <row r="2519" spans="1:11" x14ac:dyDescent="0.25">
      <c r="A2519">
        <v>2</v>
      </c>
      <c r="B2519">
        <v>10</v>
      </c>
      <c r="C2519"/>
      <c r="D2519" t="s">
        <v>31</v>
      </c>
      <c r="E2519" t="s">
        <v>35</v>
      </c>
      <c r="F2519" t="s">
        <v>46</v>
      </c>
      <c r="G2519" s="118">
        <v>0.55560185185185185</v>
      </c>
      <c r="H2519" s="118">
        <v>1.8055555555555557E-3</v>
      </c>
      <c r="I2519" s="118">
        <v>3.4722222222222224E-4</v>
      </c>
      <c r="J2519"/>
      <c r="K2519"/>
    </row>
    <row r="2520" spans="1:11" x14ac:dyDescent="0.25">
      <c r="A2520">
        <v>1</v>
      </c>
      <c r="B2520">
        <v>9</v>
      </c>
      <c r="C2520"/>
      <c r="D2520" t="s">
        <v>31</v>
      </c>
      <c r="E2520" t="s">
        <v>32</v>
      </c>
      <c r="F2520" t="s">
        <v>49</v>
      </c>
      <c r="G2520" s="118">
        <v>0.55568287037037034</v>
      </c>
      <c r="H2520" s="118">
        <v>3.4722222222222224E-4</v>
      </c>
      <c r="I2520" s="118">
        <v>1.3541666666666667E-3</v>
      </c>
      <c r="J2520" s="118">
        <v>7.0717592592592594E-3</v>
      </c>
      <c r="K2520" s="118">
        <v>7.0717592592592594E-3</v>
      </c>
    </row>
    <row r="2521" spans="1:11" x14ac:dyDescent="0.25">
      <c r="A2521">
        <v>4</v>
      </c>
      <c r="B2521">
        <v>10</v>
      </c>
      <c r="C2521"/>
      <c r="D2521" t="s">
        <v>31</v>
      </c>
      <c r="E2521" t="s">
        <v>32</v>
      </c>
      <c r="F2521" t="s">
        <v>92</v>
      </c>
      <c r="G2521" s="118">
        <v>0.55569444444444438</v>
      </c>
      <c r="H2521" s="118">
        <v>5.2083333333333333E-4</v>
      </c>
      <c r="I2521" s="118">
        <v>1.0069444444444444E-3</v>
      </c>
      <c r="J2521" s="118">
        <v>7.0717592592592594E-3</v>
      </c>
      <c r="K2521" s="118">
        <v>7.0717592592592594E-3</v>
      </c>
    </row>
    <row r="2522" spans="1:11" x14ac:dyDescent="0.25">
      <c r="A2522">
        <v>2</v>
      </c>
      <c r="B2522">
        <v>10</v>
      </c>
      <c r="C2522"/>
      <c r="D2522" t="s">
        <v>31</v>
      </c>
      <c r="E2522" t="s">
        <v>32</v>
      </c>
      <c r="F2522" t="s">
        <v>46</v>
      </c>
      <c r="G2522" s="118">
        <v>0.55594907407407412</v>
      </c>
      <c r="H2522" s="118">
        <v>3.4722222222222224E-4</v>
      </c>
      <c r="I2522" s="118">
        <v>9.1435185185185185E-4</v>
      </c>
      <c r="J2522" s="118">
        <v>7.0717592592592594E-3</v>
      </c>
      <c r="K2522" s="118">
        <v>7.0717592592592594E-3</v>
      </c>
    </row>
    <row r="2523" spans="1:11" x14ac:dyDescent="0.25">
      <c r="A2523">
        <v>5</v>
      </c>
      <c r="B2523">
        <v>10</v>
      </c>
      <c r="C2523"/>
      <c r="D2523" t="s">
        <v>31</v>
      </c>
      <c r="E2523" t="s">
        <v>35</v>
      </c>
      <c r="F2523" t="s">
        <v>56</v>
      </c>
      <c r="G2523" s="118">
        <v>0.55599537037037039</v>
      </c>
      <c r="H2523" s="118">
        <v>1.261574074074074E-3</v>
      </c>
      <c r="I2523" s="118">
        <v>3.4722222222222224E-4</v>
      </c>
      <c r="J2523"/>
      <c r="K2523"/>
    </row>
    <row r="2524" spans="1:11" x14ac:dyDescent="0.25">
      <c r="A2524">
        <v>3</v>
      </c>
      <c r="B2524">
        <v>10</v>
      </c>
      <c r="C2524"/>
      <c r="D2524" t="s">
        <v>31</v>
      </c>
      <c r="E2524" t="s">
        <v>35</v>
      </c>
      <c r="F2524" t="s">
        <v>45</v>
      </c>
      <c r="G2524" s="118">
        <v>0.5562731481481481</v>
      </c>
      <c r="H2524" s="118">
        <v>1.2384259259259258E-3</v>
      </c>
      <c r="I2524" s="118">
        <v>3.4722222222222224E-4</v>
      </c>
      <c r="J2524"/>
      <c r="K2524"/>
    </row>
    <row r="2525" spans="1:11" x14ac:dyDescent="0.25">
      <c r="A2525">
        <v>5</v>
      </c>
      <c r="B2525">
        <v>10</v>
      </c>
      <c r="C2525"/>
      <c r="D2525" t="s">
        <v>31</v>
      </c>
      <c r="E2525" t="s">
        <v>32</v>
      </c>
      <c r="F2525" t="s">
        <v>56</v>
      </c>
      <c r="G2525" s="118">
        <v>0.55634259259259256</v>
      </c>
      <c r="H2525" s="118">
        <v>3.4722222222222224E-4</v>
      </c>
      <c r="I2525" s="118">
        <v>9.6064814814814808E-4</v>
      </c>
      <c r="J2525" s="118">
        <v>7.0717592592592594E-3</v>
      </c>
      <c r="K2525" s="118">
        <v>7.0717592592592594E-3</v>
      </c>
    </row>
    <row r="2526" spans="1:11" x14ac:dyDescent="0.25">
      <c r="A2526">
        <v>3</v>
      </c>
      <c r="B2526">
        <v>10</v>
      </c>
      <c r="C2526"/>
      <c r="D2526" t="s">
        <v>31</v>
      </c>
      <c r="E2526" t="s">
        <v>32</v>
      </c>
      <c r="F2526" t="s">
        <v>45</v>
      </c>
      <c r="G2526" s="118">
        <v>0.55662037037037038</v>
      </c>
      <c r="H2526" s="118">
        <v>3.4722222222222224E-4</v>
      </c>
      <c r="I2526" s="118">
        <v>1.0416666666666667E-3</v>
      </c>
      <c r="J2526" s="118">
        <v>7.0717592592592594E-3</v>
      </c>
      <c r="K2526" s="118">
        <v>7.0717592592592594E-3</v>
      </c>
    </row>
    <row r="2527" spans="1:11" x14ac:dyDescent="0.25">
      <c r="A2527">
        <v>4</v>
      </c>
      <c r="B2527">
        <v>10</v>
      </c>
      <c r="C2527"/>
      <c r="D2527" t="s">
        <v>31</v>
      </c>
      <c r="E2527" t="s">
        <v>35</v>
      </c>
      <c r="F2527" t="s">
        <v>41</v>
      </c>
      <c r="G2527" s="118">
        <v>0.55670138888888887</v>
      </c>
      <c r="H2527" s="118">
        <v>1.0069444444444444E-3</v>
      </c>
      <c r="I2527" s="118">
        <v>3.4722222222222224E-4</v>
      </c>
      <c r="J2527"/>
      <c r="K2527"/>
    </row>
    <row r="2528" spans="1:11" x14ac:dyDescent="0.25">
      <c r="A2528">
        <v>2</v>
      </c>
      <c r="B2528">
        <v>10</v>
      </c>
      <c r="C2528"/>
      <c r="D2528" t="s">
        <v>31</v>
      </c>
      <c r="E2528" t="s">
        <v>35</v>
      </c>
      <c r="F2528" t="s">
        <v>51</v>
      </c>
      <c r="G2528" s="118">
        <v>0.55686342592592586</v>
      </c>
      <c r="H2528" s="118">
        <v>9.1435185185185185E-4</v>
      </c>
      <c r="I2528" s="118">
        <v>3.4722222222222224E-4</v>
      </c>
      <c r="J2528"/>
      <c r="K2528"/>
    </row>
    <row r="2529" spans="1:11" x14ac:dyDescent="0.25">
      <c r="A2529">
        <v>1</v>
      </c>
      <c r="B2529">
        <v>9</v>
      </c>
      <c r="C2529"/>
      <c r="D2529" t="s">
        <v>31</v>
      </c>
      <c r="E2529" t="s">
        <v>35</v>
      </c>
      <c r="F2529" t="s">
        <v>33</v>
      </c>
      <c r="G2529" s="118">
        <v>0.55703703703703711</v>
      </c>
      <c r="H2529" s="118">
        <v>1.3541666666666667E-3</v>
      </c>
      <c r="I2529" s="118">
        <v>5.2083333333333333E-4</v>
      </c>
      <c r="J2529"/>
      <c r="K2529"/>
    </row>
    <row r="2530" spans="1:11" x14ac:dyDescent="0.25">
      <c r="A2530">
        <v>4</v>
      </c>
      <c r="B2530">
        <v>10</v>
      </c>
      <c r="C2530"/>
      <c r="D2530" t="s">
        <v>31</v>
      </c>
      <c r="E2530" t="s">
        <v>32</v>
      </c>
      <c r="F2530" t="s">
        <v>41</v>
      </c>
      <c r="G2530" s="118">
        <v>0.55704861111111115</v>
      </c>
      <c r="H2530" s="118">
        <v>3.4722222222222224E-4</v>
      </c>
      <c r="I2530" s="118">
        <v>8.564814814814815E-4</v>
      </c>
      <c r="J2530" s="118">
        <v>7.0717592592592594E-3</v>
      </c>
      <c r="K2530" s="118">
        <v>7.0717592592592594E-3</v>
      </c>
    </row>
    <row r="2531" spans="1:11" x14ac:dyDescent="0.25">
      <c r="A2531">
        <v>2</v>
      </c>
      <c r="B2531">
        <v>10</v>
      </c>
      <c r="C2531"/>
      <c r="D2531" t="s">
        <v>31</v>
      </c>
      <c r="E2531" t="s">
        <v>32</v>
      </c>
      <c r="F2531" t="s">
        <v>51</v>
      </c>
      <c r="G2531" s="118">
        <v>0.55721064814814814</v>
      </c>
      <c r="H2531" s="118">
        <v>3.4722222222222224E-4</v>
      </c>
      <c r="I2531" s="118">
        <v>1.0069444444444444E-3</v>
      </c>
      <c r="J2531" s="118">
        <v>7.0717592592592594E-3</v>
      </c>
      <c r="K2531" s="118">
        <v>7.0717592592592594E-3</v>
      </c>
    </row>
    <row r="2532" spans="1:11" x14ac:dyDescent="0.25">
      <c r="A2532">
        <v>5</v>
      </c>
      <c r="B2532">
        <v>10</v>
      </c>
      <c r="C2532"/>
      <c r="D2532" t="s">
        <v>31</v>
      </c>
      <c r="E2532" t="s">
        <v>35</v>
      </c>
      <c r="F2532" t="s">
        <v>37</v>
      </c>
      <c r="G2532" s="118">
        <v>0.55730324074074067</v>
      </c>
      <c r="H2532" s="118">
        <v>9.6064814814814808E-4</v>
      </c>
      <c r="I2532" s="118">
        <v>3.4722222222222224E-4</v>
      </c>
      <c r="J2532"/>
      <c r="K2532"/>
    </row>
    <row r="2533" spans="1:11" x14ac:dyDescent="0.25">
      <c r="A2533">
        <v>1</v>
      </c>
      <c r="B2533">
        <v>9</v>
      </c>
      <c r="C2533"/>
      <c r="D2533" t="s">
        <v>31</v>
      </c>
      <c r="E2533" t="s">
        <v>32</v>
      </c>
      <c r="F2533" t="s">
        <v>33</v>
      </c>
      <c r="G2533" s="118">
        <v>0.55755787037037041</v>
      </c>
      <c r="H2533" s="118">
        <v>5.2083333333333333E-4</v>
      </c>
      <c r="I2533" s="118">
        <v>9.6064814814814808E-4</v>
      </c>
      <c r="J2533" s="118">
        <v>7.0717592592592594E-3</v>
      </c>
      <c r="K2533" s="118">
        <v>7.0717592592592594E-3</v>
      </c>
    </row>
    <row r="2534" spans="1:11" x14ac:dyDescent="0.25">
      <c r="A2534">
        <v>5</v>
      </c>
      <c r="B2534">
        <v>10</v>
      </c>
      <c r="C2534"/>
      <c r="D2534" t="s">
        <v>31</v>
      </c>
      <c r="E2534" t="s">
        <v>32</v>
      </c>
      <c r="F2534" t="s">
        <v>37</v>
      </c>
      <c r="G2534" s="118">
        <v>0.55765046296296295</v>
      </c>
      <c r="H2534" s="118">
        <v>3.4722222222222224E-4</v>
      </c>
      <c r="I2534" s="118">
        <v>9.0277777777777784E-4</v>
      </c>
      <c r="J2534" s="118">
        <v>7.0717592592592594E-3</v>
      </c>
      <c r="K2534" s="118">
        <v>7.0717592592592594E-3</v>
      </c>
    </row>
    <row r="2535" spans="1:11" x14ac:dyDescent="0.25">
      <c r="A2535">
        <v>3</v>
      </c>
      <c r="B2535">
        <v>10</v>
      </c>
      <c r="C2535"/>
      <c r="D2535" t="s">
        <v>31</v>
      </c>
      <c r="E2535" t="s">
        <v>35</v>
      </c>
      <c r="F2535" t="s">
        <v>52</v>
      </c>
      <c r="G2535" s="118">
        <v>0.55766203703703698</v>
      </c>
      <c r="H2535" s="118">
        <v>1.0416666666666667E-3</v>
      </c>
      <c r="I2535" s="118">
        <v>3.4722222222222224E-4</v>
      </c>
      <c r="J2535"/>
      <c r="K2535"/>
    </row>
    <row r="2536" spans="1:11" x14ac:dyDescent="0.25">
      <c r="A2536">
        <v>4</v>
      </c>
      <c r="B2536">
        <v>10</v>
      </c>
      <c r="C2536"/>
      <c r="D2536" t="s">
        <v>31</v>
      </c>
      <c r="E2536" t="s">
        <v>35</v>
      </c>
      <c r="F2536" t="s">
        <v>47</v>
      </c>
      <c r="G2536" s="118">
        <v>0.55790509259259258</v>
      </c>
      <c r="H2536" s="118">
        <v>8.564814814814815E-4</v>
      </c>
      <c r="I2536" s="118">
        <v>5.2083333333333333E-4</v>
      </c>
      <c r="J2536"/>
      <c r="K2536"/>
    </row>
    <row r="2537" spans="1:11" x14ac:dyDescent="0.25">
      <c r="A2537">
        <v>3</v>
      </c>
      <c r="B2537">
        <v>10</v>
      </c>
      <c r="C2537"/>
      <c r="D2537" t="s">
        <v>31</v>
      </c>
      <c r="E2537" t="s">
        <v>32</v>
      </c>
      <c r="F2537" t="s">
        <v>52</v>
      </c>
      <c r="G2537" s="118">
        <v>0.55800925925925926</v>
      </c>
      <c r="H2537" s="118">
        <v>3.4722222222222224E-4</v>
      </c>
      <c r="I2537" s="118">
        <v>1.0532407407407407E-3</v>
      </c>
      <c r="J2537" s="118">
        <v>7.0717592592592594E-3</v>
      </c>
      <c r="K2537" s="118">
        <v>7.0717592592592594E-3</v>
      </c>
    </row>
    <row r="2538" spans="1:11" x14ac:dyDescent="0.25">
      <c r="A2538">
        <v>2</v>
      </c>
      <c r="B2538">
        <v>10</v>
      </c>
      <c r="C2538"/>
      <c r="D2538" t="s">
        <v>31</v>
      </c>
      <c r="E2538" t="s">
        <v>35</v>
      </c>
      <c r="F2538" t="s">
        <v>55</v>
      </c>
      <c r="G2538" s="118">
        <v>0.55821759259259263</v>
      </c>
      <c r="H2538" s="118">
        <v>1.0069444444444444E-3</v>
      </c>
      <c r="I2538" s="118">
        <v>4.6296296296296293E-4</v>
      </c>
      <c r="J2538"/>
      <c r="K2538"/>
    </row>
    <row r="2539" spans="1:11" x14ac:dyDescent="0.25">
      <c r="A2539">
        <v>4</v>
      </c>
      <c r="B2539">
        <v>10</v>
      </c>
      <c r="C2539"/>
      <c r="D2539" t="s">
        <v>31</v>
      </c>
      <c r="E2539" t="s">
        <v>32</v>
      </c>
      <c r="F2539" t="s">
        <v>47</v>
      </c>
      <c r="G2539" s="118">
        <v>0.55842592592592599</v>
      </c>
      <c r="H2539" s="118">
        <v>5.2083333333333333E-4</v>
      </c>
      <c r="I2539" s="118">
        <v>8.7962962962962962E-4</v>
      </c>
      <c r="J2539" s="118">
        <v>7.0717592592592594E-3</v>
      </c>
      <c r="K2539" s="118">
        <v>7.0717592592592594E-3</v>
      </c>
    </row>
    <row r="2540" spans="1:11" x14ac:dyDescent="0.25">
      <c r="A2540">
        <v>1</v>
      </c>
      <c r="B2540">
        <v>9</v>
      </c>
      <c r="C2540"/>
      <c r="D2540" t="s">
        <v>31</v>
      </c>
      <c r="E2540" t="s">
        <v>35</v>
      </c>
      <c r="F2540" t="s">
        <v>36</v>
      </c>
      <c r="G2540" s="118">
        <v>0.55851851851851853</v>
      </c>
      <c r="H2540" s="118">
        <v>9.6064814814814808E-4</v>
      </c>
      <c r="I2540" s="118">
        <v>3.4722222222222224E-4</v>
      </c>
      <c r="J2540"/>
      <c r="K2540"/>
    </row>
    <row r="2541" spans="1:11" x14ac:dyDescent="0.25">
      <c r="A2541">
        <v>5</v>
      </c>
      <c r="B2541">
        <v>10</v>
      </c>
      <c r="C2541"/>
      <c r="D2541" t="s">
        <v>31</v>
      </c>
      <c r="E2541" t="s">
        <v>35</v>
      </c>
      <c r="F2541" t="s">
        <v>42</v>
      </c>
      <c r="G2541" s="118">
        <v>0.55855324074074075</v>
      </c>
      <c r="H2541" s="118">
        <v>9.0277777777777784E-4</v>
      </c>
      <c r="I2541" s="118">
        <v>3.4722222222222224E-4</v>
      </c>
      <c r="J2541"/>
      <c r="K2541"/>
    </row>
    <row r="2542" spans="1:11" x14ac:dyDescent="0.25">
      <c r="A2542">
        <v>2</v>
      </c>
      <c r="B2542">
        <v>10</v>
      </c>
      <c r="C2542"/>
      <c r="D2542" t="s">
        <v>31</v>
      </c>
      <c r="E2542" t="s">
        <v>32</v>
      </c>
      <c r="F2542" t="s">
        <v>55</v>
      </c>
      <c r="G2542" s="118">
        <v>0.55868055555555551</v>
      </c>
      <c r="H2542" s="118">
        <v>4.6296296296296293E-4</v>
      </c>
      <c r="I2542" s="118">
        <v>4.3981481481481481E-4</v>
      </c>
      <c r="J2542" s="118">
        <v>7.0717592592592594E-3</v>
      </c>
      <c r="K2542" s="118">
        <v>7.0717592592592594E-3</v>
      </c>
    </row>
    <row r="2543" spans="1:11" x14ac:dyDescent="0.25">
      <c r="A2543">
        <v>1</v>
      </c>
      <c r="B2543">
        <v>9</v>
      </c>
      <c r="C2543"/>
      <c r="D2543" t="s">
        <v>31</v>
      </c>
      <c r="E2543" t="s">
        <v>32</v>
      </c>
      <c r="F2543" t="s">
        <v>36</v>
      </c>
      <c r="G2543" s="118">
        <v>0.5588657407407408</v>
      </c>
      <c r="H2543" s="118">
        <v>3.4722222222222224E-4</v>
      </c>
      <c r="I2543" s="118">
        <v>1.0995370370370371E-3</v>
      </c>
      <c r="J2543" s="118">
        <v>7.0717592592592594E-3</v>
      </c>
      <c r="K2543" s="118">
        <v>7.0717592592592594E-3</v>
      </c>
    </row>
    <row r="2544" spans="1:11" x14ac:dyDescent="0.25">
      <c r="A2544">
        <v>5</v>
      </c>
      <c r="B2544">
        <v>10</v>
      </c>
      <c r="C2544"/>
      <c r="D2544" t="s">
        <v>31</v>
      </c>
      <c r="E2544" t="s">
        <v>32</v>
      </c>
      <c r="F2544" t="s">
        <v>42</v>
      </c>
      <c r="G2544" s="118">
        <v>0.55890046296296292</v>
      </c>
      <c r="H2544" s="118">
        <v>3.4722222222222224E-4</v>
      </c>
      <c r="I2544" s="118">
        <v>9.1435185185185185E-4</v>
      </c>
      <c r="J2544" s="118">
        <v>7.0717592592592594E-3</v>
      </c>
      <c r="K2544" s="118">
        <v>7.0717592592592594E-3</v>
      </c>
    </row>
    <row r="2545" spans="1:11" x14ac:dyDescent="0.25">
      <c r="A2545">
        <v>3</v>
      </c>
      <c r="B2545">
        <v>10</v>
      </c>
      <c r="C2545"/>
      <c r="D2545" t="s">
        <v>31</v>
      </c>
      <c r="E2545" t="s">
        <v>35</v>
      </c>
      <c r="F2545" t="s">
        <v>57</v>
      </c>
      <c r="G2545" s="118">
        <v>0.55906250000000002</v>
      </c>
      <c r="H2545" s="118">
        <v>1.0532407407407407E-3</v>
      </c>
      <c r="I2545" s="118">
        <v>3.4722222222222224E-4</v>
      </c>
      <c r="J2545"/>
      <c r="K2545"/>
    </row>
    <row r="2546" spans="1:11" x14ac:dyDescent="0.25">
      <c r="A2546">
        <v>2</v>
      </c>
      <c r="B2546">
        <v>10</v>
      </c>
      <c r="C2546"/>
      <c r="D2546" t="s">
        <v>31</v>
      </c>
      <c r="E2546" t="s">
        <v>35</v>
      </c>
      <c r="F2546" t="s">
        <v>58</v>
      </c>
      <c r="G2546" s="118">
        <v>0.55912037037037032</v>
      </c>
      <c r="H2546" s="118">
        <v>4.3981481481481481E-4</v>
      </c>
      <c r="I2546" s="118">
        <v>5.7870370370370366E-5</v>
      </c>
      <c r="J2546"/>
      <c r="K2546"/>
    </row>
    <row r="2547" spans="1:11" x14ac:dyDescent="0.25">
      <c r="A2547">
        <v>2</v>
      </c>
      <c r="B2547">
        <v>10</v>
      </c>
      <c r="C2547"/>
      <c r="D2547" t="s">
        <v>31</v>
      </c>
      <c r="E2547" t="s">
        <v>32</v>
      </c>
      <c r="F2547" t="s">
        <v>58</v>
      </c>
      <c r="G2547" s="118">
        <v>0.55917824074074074</v>
      </c>
      <c r="H2547" s="118">
        <v>5.7870370370370366E-5</v>
      </c>
      <c r="I2547" s="118">
        <v>4.8611111111111104E-4</v>
      </c>
      <c r="J2547" s="118">
        <v>7.0717592592592594E-3</v>
      </c>
      <c r="K2547" s="118">
        <v>7.0717592592592594E-3</v>
      </c>
    </row>
    <row r="2548" spans="1:11" x14ac:dyDescent="0.25">
      <c r="A2548">
        <v>4</v>
      </c>
      <c r="B2548">
        <v>10</v>
      </c>
      <c r="C2548"/>
      <c r="D2548" t="s">
        <v>31</v>
      </c>
      <c r="E2548" t="s">
        <v>35</v>
      </c>
      <c r="F2548" t="s">
        <v>53</v>
      </c>
      <c r="G2548" s="118">
        <v>0.55930555555555561</v>
      </c>
      <c r="H2548" s="118">
        <v>8.7962962962962962E-4</v>
      </c>
      <c r="I2548" s="118">
        <v>3.4722222222222224E-4</v>
      </c>
      <c r="J2548"/>
      <c r="K2548"/>
    </row>
    <row r="2549" spans="1:11" x14ac:dyDescent="0.25">
      <c r="A2549">
        <v>3</v>
      </c>
      <c r="B2549">
        <v>10</v>
      </c>
      <c r="C2549"/>
      <c r="D2549" t="s">
        <v>31</v>
      </c>
      <c r="E2549" t="s">
        <v>32</v>
      </c>
      <c r="F2549" t="s">
        <v>57</v>
      </c>
      <c r="G2549" s="118">
        <v>0.55940972222222218</v>
      </c>
      <c r="H2549" s="118">
        <v>3.4722222222222224E-4</v>
      </c>
      <c r="I2549" s="118">
        <v>9.3750000000000007E-4</v>
      </c>
      <c r="J2549" s="118">
        <v>7.0717592592592594E-3</v>
      </c>
      <c r="K2549" s="118">
        <v>7.0717592592592594E-3</v>
      </c>
    </row>
    <row r="2550" spans="1:11" x14ac:dyDescent="0.25">
      <c r="A2550">
        <v>4</v>
      </c>
      <c r="B2550">
        <v>10</v>
      </c>
      <c r="C2550"/>
      <c r="D2550" t="s">
        <v>31</v>
      </c>
      <c r="E2550" t="s">
        <v>32</v>
      </c>
      <c r="F2550" t="s">
        <v>53</v>
      </c>
      <c r="G2550" s="118">
        <v>0.55965277777777778</v>
      </c>
      <c r="H2550" s="118">
        <v>3.4722222222222224E-4</v>
      </c>
      <c r="I2550" s="118">
        <v>8.449074074074075E-4</v>
      </c>
      <c r="J2550" s="118">
        <v>7.0717592592592594E-3</v>
      </c>
      <c r="K2550" s="118">
        <v>7.0717592592592594E-3</v>
      </c>
    </row>
    <row r="2551" spans="1:11" x14ac:dyDescent="0.25">
      <c r="A2551">
        <v>2</v>
      </c>
      <c r="B2551">
        <v>10</v>
      </c>
      <c r="C2551"/>
      <c r="D2551" t="s">
        <v>31</v>
      </c>
      <c r="E2551" t="s">
        <v>35</v>
      </c>
      <c r="F2551" t="s">
        <v>40</v>
      </c>
      <c r="G2551" s="118">
        <v>0.55966435185185182</v>
      </c>
      <c r="H2551" s="118">
        <v>4.8611111111111104E-4</v>
      </c>
      <c r="I2551" s="118">
        <v>4.6296296296296293E-4</v>
      </c>
      <c r="J2551"/>
      <c r="K2551"/>
    </row>
    <row r="2552" spans="1:11" x14ac:dyDescent="0.25">
      <c r="A2552">
        <v>5</v>
      </c>
      <c r="B2552">
        <v>10</v>
      </c>
      <c r="C2552"/>
      <c r="D2552" t="s">
        <v>31</v>
      </c>
      <c r="E2552" t="s">
        <v>35</v>
      </c>
      <c r="F2552" t="s">
        <v>48</v>
      </c>
      <c r="G2552" s="118">
        <v>0.55981481481481488</v>
      </c>
      <c r="H2552" s="118">
        <v>9.1435185185185185E-4</v>
      </c>
      <c r="I2552" s="118">
        <v>5.2083333333333333E-4</v>
      </c>
      <c r="J2552"/>
      <c r="K2552"/>
    </row>
    <row r="2553" spans="1:11" x14ac:dyDescent="0.25">
      <c r="A2553">
        <v>1</v>
      </c>
      <c r="B2553">
        <v>9</v>
      </c>
      <c r="C2553"/>
      <c r="D2553" t="s">
        <v>31</v>
      </c>
      <c r="E2553" t="s">
        <v>35</v>
      </c>
      <c r="F2553" t="s">
        <v>43</v>
      </c>
      <c r="G2553" s="118">
        <v>0.55996527777777783</v>
      </c>
      <c r="H2553" s="118">
        <v>1.0995370370370371E-3</v>
      </c>
      <c r="I2553" s="118">
        <v>3.4722222222222224E-4</v>
      </c>
      <c r="J2553"/>
      <c r="K2553"/>
    </row>
    <row r="2554" spans="1:11" x14ac:dyDescent="0.25">
      <c r="A2554">
        <v>2</v>
      </c>
      <c r="B2554">
        <v>10</v>
      </c>
      <c r="C2554"/>
      <c r="D2554" t="s">
        <v>31</v>
      </c>
      <c r="E2554" t="s">
        <v>32</v>
      </c>
      <c r="F2554" t="s">
        <v>40</v>
      </c>
      <c r="G2554" s="118">
        <v>0.56012731481481481</v>
      </c>
      <c r="H2554" s="118">
        <v>4.6296296296296293E-4</v>
      </c>
      <c r="I2554" s="118">
        <v>1.0069444444444444E-3</v>
      </c>
      <c r="J2554" s="118">
        <v>7.0717592592592594E-3</v>
      </c>
      <c r="K2554" s="118">
        <v>7.0717592592592594E-3</v>
      </c>
    </row>
    <row r="2555" spans="1:11" x14ac:dyDescent="0.25">
      <c r="A2555">
        <v>1</v>
      </c>
      <c r="B2555">
        <v>9</v>
      </c>
      <c r="C2555"/>
      <c r="D2555" t="s">
        <v>31</v>
      </c>
      <c r="E2555" t="s">
        <v>32</v>
      </c>
      <c r="F2555" t="s">
        <v>43</v>
      </c>
      <c r="G2555" s="118">
        <v>0.56031249999999999</v>
      </c>
      <c r="H2555" s="118">
        <v>3.4722222222222224E-4</v>
      </c>
      <c r="I2555" s="118">
        <v>1.1458333333333333E-3</v>
      </c>
      <c r="J2555" s="118">
        <v>7.0717592592592594E-3</v>
      </c>
      <c r="K2555" s="118">
        <v>7.0717592592592594E-3</v>
      </c>
    </row>
    <row r="2556" spans="1:11" x14ac:dyDescent="0.25">
      <c r="A2556">
        <v>5</v>
      </c>
      <c r="B2556">
        <v>10</v>
      </c>
      <c r="C2556"/>
      <c r="D2556" t="s">
        <v>31</v>
      </c>
      <c r="E2556" t="s">
        <v>32</v>
      </c>
      <c r="F2556" t="s">
        <v>48</v>
      </c>
      <c r="G2556" s="118">
        <v>0.56033564814814818</v>
      </c>
      <c r="H2556" s="118">
        <v>5.2083333333333333E-4</v>
      </c>
      <c r="I2556" s="118">
        <v>8.6805555555555551E-4</v>
      </c>
      <c r="J2556" s="118">
        <v>7.0717592592592594E-3</v>
      </c>
      <c r="K2556" s="118">
        <v>7.0717592592592594E-3</v>
      </c>
    </row>
    <row r="2557" spans="1:11" x14ac:dyDescent="0.25">
      <c r="A2557">
        <v>3</v>
      </c>
      <c r="B2557">
        <v>10</v>
      </c>
      <c r="C2557"/>
      <c r="D2557" t="s">
        <v>31</v>
      </c>
      <c r="E2557" t="s">
        <v>35</v>
      </c>
      <c r="F2557" t="s">
        <v>39</v>
      </c>
      <c r="G2557" s="118">
        <v>0.56034722222222222</v>
      </c>
      <c r="H2557" s="118">
        <v>9.3750000000000007E-4</v>
      </c>
      <c r="I2557" s="118">
        <v>5.2083333333333333E-4</v>
      </c>
      <c r="J2557"/>
      <c r="K2557"/>
    </row>
    <row r="2558" spans="1:11" x14ac:dyDescent="0.25">
      <c r="A2558">
        <v>4</v>
      </c>
      <c r="B2558">
        <v>10</v>
      </c>
      <c r="C2558"/>
      <c r="D2558" t="s">
        <v>31</v>
      </c>
      <c r="E2558" t="s">
        <v>35</v>
      </c>
      <c r="F2558" t="s">
        <v>34</v>
      </c>
      <c r="G2558" s="118">
        <v>0.56049768518518517</v>
      </c>
      <c r="H2558" s="118">
        <v>8.449074074074075E-4</v>
      </c>
      <c r="I2558" s="118">
        <v>3.4722222222222224E-4</v>
      </c>
      <c r="J2558"/>
      <c r="K2558"/>
    </row>
    <row r="2559" spans="1:11" x14ac:dyDescent="0.25">
      <c r="A2559">
        <v>4</v>
      </c>
      <c r="B2559">
        <v>10</v>
      </c>
      <c r="C2559"/>
      <c r="D2559" t="s">
        <v>31</v>
      </c>
      <c r="E2559" t="s">
        <v>32</v>
      </c>
      <c r="F2559" t="s">
        <v>34</v>
      </c>
      <c r="G2559" s="118">
        <v>0.56084490740740744</v>
      </c>
      <c r="H2559" s="118">
        <v>3.4722222222222224E-4</v>
      </c>
      <c r="I2559" s="118">
        <v>9.1435185185185185E-4</v>
      </c>
      <c r="J2559" s="118">
        <v>7.0717592592592594E-3</v>
      </c>
      <c r="K2559" s="118">
        <v>7.0717592592592594E-3</v>
      </c>
    </row>
    <row r="2560" spans="1:11" x14ac:dyDescent="0.25">
      <c r="A2560">
        <v>3</v>
      </c>
      <c r="B2560">
        <v>10</v>
      </c>
      <c r="C2560"/>
      <c r="D2560" t="s">
        <v>31</v>
      </c>
      <c r="E2560" t="s">
        <v>32</v>
      </c>
      <c r="F2560" t="s">
        <v>39</v>
      </c>
      <c r="G2560" s="118">
        <v>0.56086805555555552</v>
      </c>
      <c r="H2560" s="118">
        <v>5.2083333333333333E-4</v>
      </c>
      <c r="I2560" s="118">
        <v>1.8055555555555557E-3</v>
      </c>
      <c r="J2560" s="118">
        <v>7.0717592592592594E-3</v>
      </c>
      <c r="K2560" s="118">
        <v>7.0717592592592594E-3</v>
      </c>
    </row>
    <row r="2561" spans="1:11" x14ac:dyDescent="0.25">
      <c r="A2561">
        <v>2</v>
      </c>
      <c r="B2561">
        <v>10</v>
      </c>
      <c r="C2561"/>
      <c r="D2561" t="s">
        <v>31</v>
      </c>
      <c r="E2561" t="s">
        <v>35</v>
      </c>
      <c r="F2561" t="s">
        <v>44</v>
      </c>
      <c r="G2561" s="118">
        <v>0.5611342592592593</v>
      </c>
      <c r="H2561" s="118">
        <v>1.0069444444444444E-3</v>
      </c>
      <c r="I2561" s="118">
        <v>3.4722222222222224E-4</v>
      </c>
      <c r="J2561"/>
      <c r="K2561"/>
    </row>
    <row r="2562" spans="1:11" x14ac:dyDescent="0.25">
      <c r="A2562">
        <v>5</v>
      </c>
      <c r="B2562">
        <v>10</v>
      </c>
      <c r="C2562"/>
      <c r="D2562" t="s">
        <v>31</v>
      </c>
      <c r="E2562" t="s">
        <v>35</v>
      </c>
      <c r="F2562" t="s">
        <v>54</v>
      </c>
      <c r="G2562" s="118">
        <v>0.56120370370370376</v>
      </c>
      <c r="H2562" s="118">
        <v>8.6805555555555551E-4</v>
      </c>
      <c r="I2562" s="118">
        <v>3.4722222222222224E-4</v>
      </c>
      <c r="J2562"/>
      <c r="K2562"/>
    </row>
    <row r="2563" spans="1:11" x14ac:dyDescent="0.25">
      <c r="A2563">
        <v>1</v>
      </c>
      <c r="B2563">
        <v>9</v>
      </c>
      <c r="C2563"/>
      <c r="D2563" t="s">
        <v>31</v>
      </c>
      <c r="E2563" t="s">
        <v>35</v>
      </c>
      <c r="F2563" t="s">
        <v>50</v>
      </c>
      <c r="G2563" s="118">
        <v>0.56145833333333328</v>
      </c>
      <c r="H2563" s="118">
        <v>1.1458333333333333E-3</v>
      </c>
      <c r="I2563" s="118">
        <v>3.4722222222222224E-4</v>
      </c>
      <c r="J2563"/>
      <c r="K2563"/>
    </row>
    <row r="2564" spans="1:11" x14ac:dyDescent="0.25">
      <c r="A2564">
        <v>2</v>
      </c>
      <c r="B2564">
        <v>10</v>
      </c>
      <c r="C2564"/>
      <c r="D2564" t="s">
        <v>31</v>
      </c>
      <c r="E2564" t="s">
        <v>32</v>
      </c>
      <c r="F2564" t="s">
        <v>44</v>
      </c>
      <c r="G2564" s="118">
        <v>0.56148148148148147</v>
      </c>
      <c r="H2564" s="118">
        <v>3.4722222222222224E-4</v>
      </c>
      <c r="I2564" s="118">
        <v>9.2592592592592585E-4</v>
      </c>
      <c r="J2564" s="118">
        <v>7.0717592592592594E-3</v>
      </c>
      <c r="K2564" s="118">
        <v>7.0717592592592594E-3</v>
      </c>
    </row>
    <row r="2565" spans="1:11" x14ac:dyDescent="0.25">
      <c r="A2565">
        <v>5</v>
      </c>
      <c r="B2565">
        <v>10</v>
      </c>
      <c r="C2565"/>
      <c r="D2565" t="s">
        <v>31</v>
      </c>
      <c r="E2565" t="s">
        <v>32</v>
      </c>
      <c r="F2565" t="s">
        <v>54</v>
      </c>
      <c r="G2565" s="118">
        <v>0.56155092592592593</v>
      </c>
      <c r="H2565" s="118">
        <v>3.4722222222222224E-4</v>
      </c>
      <c r="I2565" s="118">
        <v>6.9444444444444447E-4</v>
      </c>
      <c r="J2565" s="118">
        <v>7.0717592592592594E-3</v>
      </c>
      <c r="K2565" s="118">
        <v>7.0717592592592594E-3</v>
      </c>
    </row>
    <row r="2566" spans="1:11" x14ac:dyDescent="0.25">
      <c r="A2566">
        <v>4</v>
      </c>
      <c r="B2566">
        <v>10</v>
      </c>
      <c r="C2566"/>
      <c r="D2566" t="s">
        <v>31</v>
      </c>
      <c r="E2566" t="s">
        <v>35</v>
      </c>
      <c r="F2566" t="s">
        <v>38</v>
      </c>
      <c r="G2566" s="118">
        <v>0.56175925925925929</v>
      </c>
      <c r="H2566" s="118">
        <v>9.1435185185185185E-4</v>
      </c>
      <c r="I2566" s="118">
        <v>3.4722222222222224E-4</v>
      </c>
      <c r="J2566"/>
      <c r="K2566"/>
    </row>
    <row r="2567" spans="1:11" x14ac:dyDescent="0.25">
      <c r="A2567">
        <v>1</v>
      </c>
      <c r="B2567">
        <v>9</v>
      </c>
      <c r="C2567"/>
      <c r="D2567" t="s">
        <v>31</v>
      </c>
      <c r="E2567" t="s">
        <v>32</v>
      </c>
      <c r="F2567" t="s">
        <v>50</v>
      </c>
      <c r="G2567" s="118">
        <v>0.56180555555555556</v>
      </c>
      <c r="H2567" s="118">
        <v>3.4722222222222224E-4</v>
      </c>
      <c r="I2567" s="118">
        <v>1.261574074074074E-3</v>
      </c>
      <c r="J2567" s="118">
        <v>7.0717592592592594E-3</v>
      </c>
      <c r="K2567" s="118">
        <v>7.0717592592592594E-3</v>
      </c>
    </row>
    <row r="2568" spans="1:11" x14ac:dyDescent="0.25">
      <c r="A2568">
        <v>4</v>
      </c>
      <c r="B2568">
        <v>10</v>
      </c>
      <c r="C2568"/>
      <c r="D2568" t="s">
        <v>31</v>
      </c>
      <c r="E2568" t="s">
        <v>32</v>
      </c>
      <c r="F2568" t="s">
        <v>38</v>
      </c>
      <c r="G2568" s="118">
        <v>0.56210648148148146</v>
      </c>
      <c r="H2568" s="118">
        <v>3.4722222222222224E-4</v>
      </c>
      <c r="I2568" s="118">
        <v>1.2384259259259258E-3</v>
      </c>
      <c r="J2568" s="118">
        <v>7.0717592592592594E-3</v>
      </c>
      <c r="K2568" s="118">
        <v>7.0717592592592594E-3</v>
      </c>
    </row>
    <row r="2569" spans="1:11" x14ac:dyDescent="0.25">
      <c r="A2569">
        <v>5</v>
      </c>
      <c r="B2569">
        <v>10</v>
      </c>
      <c r="C2569"/>
      <c r="D2569" t="s">
        <v>31</v>
      </c>
      <c r="E2569" t="s">
        <v>35</v>
      </c>
      <c r="F2569" t="s">
        <v>92</v>
      </c>
      <c r="G2569" s="118">
        <v>0.56224537037037037</v>
      </c>
      <c r="H2569" s="118">
        <v>6.9444444444444447E-4</v>
      </c>
      <c r="I2569" s="118">
        <v>5.2083333333333333E-4</v>
      </c>
      <c r="J2569"/>
      <c r="K2569"/>
    </row>
    <row r="2570" spans="1:11" x14ac:dyDescent="0.25">
      <c r="A2570">
        <v>2</v>
      </c>
      <c r="B2570">
        <v>10</v>
      </c>
      <c r="C2570"/>
      <c r="D2570" t="s">
        <v>31</v>
      </c>
      <c r="E2570" t="s">
        <v>35</v>
      </c>
      <c r="F2570" t="s">
        <v>49</v>
      </c>
      <c r="G2570" s="118">
        <v>0.56240740740740736</v>
      </c>
      <c r="H2570" s="118">
        <v>9.2592592592592585E-4</v>
      </c>
      <c r="I2570" s="118">
        <v>3.4722222222222224E-4</v>
      </c>
      <c r="J2570"/>
      <c r="K2570"/>
    </row>
    <row r="2571" spans="1:11" x14ac:dyDescent="0.25">
      <c r="A2571">
        <v>3</v>
      </c>
      <c r="B2571">
        <v>10</v>
      </c>
      <c r="C2571"/>
      <c r="D2571" t="s">
        <v>31</v>
      </c>
      <c r="E2571" t="s">
        <v>35</v>
      </c>
      <c r="F2571" t="s">
        <v>46</v>
      </c>
      <c r="G2571" s="118">
        <v>0.56267361111111114</v>
      </c>
      <c r="H2571" s="118">
        <v>1.8055555555555557E-3</v>
      </c>
      <c r="I2571" s="118">
        <v>3.4722222222222224E-4</v>
      </c>
      <c r="J2571"/>
      <c r="K2571"/>
    </row>
    <row r="2572" spans="1:11" x14ac:dyDescent="0.25">
      <c r="A2572">
        <v>2</v>
      </c>
      <c r="B2572">
        <v>10</v>
      </c>
      <c r="C2572"/>
      <c r="D2572" t="s">
        <v>31</v>
      </c>
      <c r="E2572" t="s">
        <v>32</v>
      </c>
      <c r="F2572" t="s">
        <v>49</v>
      </c>
      <c r="G2572" s="118">
        <v>0.56275462962962963</v>
      </c>
      <c r="H2572" s="118">
        <v>3.4722222222222224E-4</v>
      </c>
      <c r="I2572" s="118">
        <v>1.3541666666666667E-3</v>
      </c>
      <c r="J2572" s="118">
        <v>7.0717592592592594E-3</v>
      </c>
      <c r="K2572" s="118">
        <v>7.0717592592592594E-3</v>
      </c>
    </row>
    <row r="2573" spans="1:11" x14ac:dyDescent="0.25">
      <c r="A2573">
        <v>5</v>
      </c>
      <c r="B2573">
        <v>11</v>
      </c>
      <c r="C2573"/>
      <c r="D2573" t="s">
        <v>31</v>
      </c>
      <c r="E2573" t="s">
        <v>32</v>
      </c>
      <c r="F2573" t="s">
        <v>92</v>
      </c>
      <c r="G2573" s="118">
        <v>0.56276620370370367</v>
      </c>
      <c r="H2573" s="118">
        <v>5.2083333333333333E-4</v>
      </c>
      <c r="I2573" s="118">
        <v>1.0069444444444444E-3</v>
      </c>
      <c r="J2573" s="118">
        <v>7.0717592592592594E-3</v>
      </c>
      <c r="K2573" s="118">
        <v>7.0717592592592594E-3</v>
      </c>
    </row>
    <row r="2574" spans="1:11" x14ac:dyDescent="0.25">
      <c r="A2574">
        <v>3</v>
      </c>
      <c r="B2574">
        <v>10</v>
      </c>
      <c r="C2574"/>
      <c r="D2574" t="s">
        <v>31</v>
      </c>
      <c r="E2574" t="s">
        <v>32</v>
      </c>
      <c r="F2574" t="s">
        <v>46</v>
      </c>
      <c r="G2574" s="118">
        <v>0.5630208333333333</v>
      </c>
      <c r="H2574" s="118">
        <v>3.4722222222222224E-4</v>
      </c>
      <c r="I2574" s="118">
        <v>9.1435185185185185E-4</v>
      </c>
      <c r="J2574" s="118">
        <v>7.0717592592592594E-3</v>
      </c>
      <c r="K2574" s="118">
        <v>7.0717592592592594E-3</v>
      </c>
    </row>
    <row r="2575" spans="1:11" x14ac:dyDescent="0.25">
      <c r="A2575">
        <v>1</v>
      </c>
      <c r="B2575">
        <v>9</v>
      </c>
      <c r="C2575"/>
      <c r="D2575" t="s">
        <v>31</v>
      </c>
      <c r="E2575" t="s">
        <v>35</v>
      </c>
      <c r="F2575" t="s">
        <v>56</v>
      </c>
      <c r="G2575" s="118">
        <v>0.56306712962962957</v>
      </c>
      <c r="H2575" s="118">
        <v>1.261574074074074E-3</v>
      </c>
      <c r="I2575" s="118">
        <v>3.4722222222222224E-4</v>
      </c>
      <c r="J2575"/>
      <c r="K2575"/>
    </row>
    <row r="2576" spans="1:11" x14ac:dyDescent="0.25">
      <c r="A2576">
        <v>4</v>
      </c>
      <c r="B2576">
        <v>10</v>
      </c>
      <c r="C2576"/>
      <c r="D2576" t="s">
        <v>31</v>
      </c>
      <c r="E2576" t="s">
        <v>35</v>
      </c>
      <c r="F2576" t="s">
        <v>45</v>
      </c>
      <c r="G2576" s="118">
        <v>0.56334490740740739</v>
      </c>
      <c r="H2576" s="118">
        <v>1.2384259259259258E-3</v>
      </c>
      <c r="I2576" s="118">
        <v>3.4722222222222224E-4</v>
      </c>
      <c r="J2576"/>
      <c r="K2576"/>
    </row>
    <row r="2577" spans="1:11" x14ac:dyDescent="0.25">
      <c r="A2577">
        <v>1</v>
      </c>
      <c r="B2577">
        <v>9</v>
      </c>
      <c r="C2577"/>
      <c r="D2577" t="s">
        <v>31</v>
      </c>
      <c r="E2577" t="s">
        <v>32</v>
      </c>
      <c r="F2577" t="s">
        <v>56</v>
      </c>
      <c r="G2577" s="118">
        <v>0.56341435185185185</v>
      </c>
      <c r="H2577" s="118">
        <v>3.4722222222222224E-4</v>
      </c>
      <c r="I2577" s="118">
        <v>9.6064814814814808E-4</v>
      </c>
      <c r="J2577" s="118">
        <v>7.0717592592592594E-3</v>
      </c>
      <c r="K2577" s="118">
        <v>7.0717592592592594E-3</v>
      </c>
    </row>
    <row r="2578" spans="1:11" x14ac:dyDescent="0.25">
      <c r="A2578">
        <v>4</v>
      </c>
      <c r="B2578">
        <v>10</v>
      </c>
      <c r="C2578"/>
      <c r="D2578" t="s">
        <v>31</v>
      </c>
      <c r="E2578" t="s">
        <v>32</v>
      </c>
      <c r="F2578" t="s">
        <v>45</v>
      </c>
      <c r="G2578" s="118">
        <v>0.56369212962962967</v>
      </c>
      <c r="H2578" s="118">
        <v>3.4722222222222224E-4</v>
      </c>
      <c r="I2578" s="118">
        <v>1.0416666666666667E-3</v>
      </c>
      <c r="J2578" s="118">
        <v>7.0717592592592594E-3</v>
      </c>
      <c r="K2578" s="118">
        <v>7.0717592592592594E-3</v>
      </c>
    </row>
    <row r="2579" spans="1:11" x14ac:dyDescent="0.25">
      <c r="A2579">
        <v>5</v>
      </c>
      <c r="B2579">
        <v>11</v>
      </c>
      <c r="C2579"/>
      <c r="D2579" t="s">
        <v>31</v>
      </c>
      <c r="E2579" t="s">
        <v>35</v>
      </c>
      <c r="F2579" t="s">
        <v>41</v>
      </c>
      <c r="G2579" s="118">
        <v>0.56377314814814816</v>
      </c>
      <c r="H2579" s="118">
        <v>1.0069444444444444E-3</v>
      </c>
      <c r="I2579" s="118">
        <v>3.4722222222222224E-4</v>
      </c>
      <c r="J2579"/>
      <c r="K2579"/>
    </row>
    <row r="2580" spans="1:11" x14ac:dyDescent="0.25">
      <c r="A2580">
        <v>3</v>
      </c>
      <c r="B2580">
        <v>10</v>
      </c>
      <c r="C2580"/>
      <c r="D2580" t="s">
        <v>31</v>
      </c>
      <c r="E2580" t="s">
        <v>35</v>
      </c>
      <c r="F2580" t="s">
        <v>51</v>
      </c>
      <c r="G2580" s="118">
        <v>0.56393518518518515</v>
      </c>
      <c r="H2580" s="118">
        <v>9.1435185185185185E-4</v>
      </c>
      <c r="I2580" s="118">
        <v>3.4722222222222224E-4</v>
      </c>
      <c r="J2580"/>
      <c r="K2580"/>
    </row>
    <row r="2581" spans="1:11" x14ac:dyDescent="0.25">
      <c r="A2581">
        <v>2</v>
      </c>
      <c r="B2581">
        <v>10</v>
      </c>
      <c r="C2581"/>
      <c r="D2581" t="s">
        <v>31</v>
      </c>
      <c r="E2581" t="s">
        <v>35</v>
      </c>
      <c r="F2581" t="s">
        <v>33</v>
      </c>
      <c r="G2581" s="118">
        <v>0.56410879629629629</v>
      </c>
      <c r="H2581" s="118">
        <v>1.3541666666666667E-3</v>
      </c>
      <c r="I2581" s="118">
        <v>5.2083333333333333E-4</v>
      </c>
      <c r="J2581"/>
      <c r="K2581"/>
    </row>
    <row r="2582" spans="1:11" x14ac:dyDescent="0.25">
      <c r="A2582">
        <v>5</v>
      </c>
      <c r="B2582">
        <v>11</v>
      </c>
      <c r="C2582"/>
      <c r="D2582" t="s">
        <v>31</v>
      </c>
      <c r="E2582" t="s">
        <v>32</v>
      </c>
      <c r="F2582" t="s">
        <v>41</v>
      </c>
      <c r="G2582" s="118">
        <v>0.56412037037037044</v>
      </c>
      <c r="H2582" s="118">
        <v>3.4722222222222224E-4</v>
      </c>
      <c r="I2582" s="118">
        <v>8.564814814814815E-4</v>
      </c>
      <c r="J2582" s="118">
        <v>7.0717592592592594E-3</v>
      </c>
      <c r="K2582" s="118">
        <v>7.0717592592592594E-3</v>
      </c>
    </row>
    <row r="2583" spans="1:11" x14ac:dyDescent="0.25">
      <c r="A2583">
        <v>3</v>
      </c>
      <c r="B2583">
        <v>10</v>
      </c>
      <c r="C2583"/>
      <c r="D2583" t="s">
        <v>31</v>
      </c>
      <c r="E2583" t="s">
        <v>32</v>
      </c>
      <c r="F2583" t="s">
        <v>51</v>
      </c>
      <c r="G2583" s="118">
        <v>0.56428240740740743</v>
      </c>
      <c r="H2583" s="118">
        <v>3.4722222222222224E-4</v>
      </c>
      <c r="I2583" s="118">
        <v>1.0069444444444444E-3</v>
      </c>
      <c r="J2583" s="118">
        <v>7.0717592592592594E-3</v>
      </c>
      <c r="K2583" s="118">
        <v>7.0717592592592594E-3</v>
      </c>
    </row>
    <row r="2584" spans="1:11" x14ac:dyDescent="0.25">
      <c r="A2584">
        <v>1</v>
      </c>
      <c r="B2584">
        <v>9</v>
      </c>
      <c r="C2584"/>
      <c r="D2584" t="s">
        <v>31</v>
      </c>
      <c r="E2584" t="s">
        <v>35</v>
      </c>
      <c r="F2584" t="s">
        <v>37</v>
      </c>
      <c r="G2584" s="118">
        <v>0.56437499999999996</v>
      </c>
      <c r="H2584" s="118">
        <v>9.6064814814814808E-4</v>
      </c>
      <c r="I2584" s="118">
        <v>3.4722222222222224E-4</v>
      </c>
      <c r="J2584"/>
      <c r="K2584"/>
    </row>
    <row r="2585" spans="1:11" x14ac:dyDescent="0.25">
      <c r="A2585">
        <v>2</v>
      </c>
      <c r="B2585">
        <v>10</v>
      </c>
      <c r="C2585"/>
      <c r="D2585" t="s">
        <v>31</v>
      </c>
      <c r="E2585" t="s">
        <v>32</v>
      </c>
      <c r="F2585" t="s">
        <v>33</v>
      </c>
      <c r="G2585" s="118">
        <v>0.5646296296296297</v>
      </c>
      <c r="H2585" s="118">
        <v>5.2083333333333333E-4</v>
      </c>
      <c r="I2585" s="118">
        <v>9.6064814814814808E-4</v>
      </c>
      <c r="J2585" s="118">
        <v>7.0717592592592594E-3</v>
      </c>
      <c r="K2585" s="118">
        <v>7.0717592592592594E-3</v>
      </c>
    </row>
    <row r="2586" spans="1:11" x14ac:dyDescent="0.25">
      <c r="A2586">
        <v>1</v>
      </c>
      <c r="B2586">
        <v>9</v>
      </c>
      <c r="C2586"/>
      <c r="D2586" t="s">
        <v>31</v>
      </c>
      <c r="E2586" t="s">
        <v>32</v>
      </c>
      <c r="F2586" t="s">
        <v>37</v>
      </c>
      <c r="G2586" s="118">
        <v>0.56472222222222224</v>
      </c>
      <c r="H2586" s="118">
        <v>3.4722222222222224E-4</v>
      </c>
      <c r="I2586" s="118">
        <v>9.0277777777777784E-4</v>
      </c>
      <c r="J2586" s="118">
        <v>7.0717592592592594E-3</v>
      </c>
      <c r="K2586" s="118">
        <v>7.0717592592592594E-3</v>
      </c>
    </row>
    <row r="2587" spans="1:11" x14ac:dyDescent="0.25">
      <c r="A2587">
        <v>4</v>
      </c>
      <c r="B2587">
        <v>10</v>
      </c>
      <c r="C2587"/>
      <c r="D2587" t="s">
        <v>31</v>
      </c>
      <c r="E2587" t="s">
        <v>35</v>
      </c>
      <c r="F2587" t="s">
        <v>52</v>
      </c>
      <c r="G2587" s="118">
        <v>0.56473379629629628</v>
      </c>
      <c r="H2587" s="118">
        <v>1.0416666666666667E-3</v>
      </c>
      <c r="I2587" s="118">
        <v>3.4722222222222224E-4</v>
      </c>
      <c r="J2587"/>
      <c r="K2587"/>
    </row>
    <row r="2588" spans="1:11" x14ac:dyDescent="0.25">
      <c r="A2588">
        <v>5</v>
      </c>
      <c r="B2588">
        <v>11</v>
      </c>
      <c r="C2588"/>
      <c r="D2588" t="s">
        <v>31</v>
      </c>
      <c r="E2588" t="s">
        <v>35</v>
      </c>
      <c r="F2588" t="s">
        <v>47</v>
      </c>
      <c r="G2588" s="118">
        <v>0.56497685185185187</v>
      </c>
      <c r="H2588" s="118">
        <v>8.564814814814815E-4</v>
      </c>
      <c r="I2588" s="118">
        <v>5.2083333333333333E-4</v>
      </c>
      <c r="J2588"/>
      <c r="K2588"/>
    </row>
    <row r="2589" spans="1:11" x14ac:dyDescent="0.25">
      <c r="A2589">
        <v>4</v>
      </c>
      <c r="B2589">
        <v>10</v>
      </c>
      <c r="C2589"/>
      <c r="D2589" t="s">
        <v>31</v>
      </c>
      <c r="E2589" t="s">
        <v>32</v>
      </c>
      <c r="F2589" t="s">
        <v>52</v>
      </c>
      <c r="G2589" s="118">
        <v>0.56508101851851855</v>
      </c>
      <c r="H2589" s="118">
        <v>3.4722222222222224E-4</v>
      </c>
      <c r="I2589" s="118">
        <v>1.0532407407407407E-3</v>
      </c>
      <c r="J2589" s="118">
        <v>7.0717592592592594E-3</v>
      </c>
      <c r="K2589" s="118">
        <v>7.0717592592592594E-3</v>
      </c>
    </row>
    <row r="2590" spans="1:11" x14ac:dyDescent="0.25">
      <c r="A2590">
        <v>3</v>
      </c>
      <c r="B2590">
        <v>10</v>
      </c>
      <c r="C2590"/>
      <c r="D2590" t="s">
        <v>31</v>
      </c>
      <c r="E2590" t="s">
        <v>35</v>
      </c>
      <c r="F2590" t="s">
        <v>55</v>
      </c>
      <c r="G2590" s="118">
        <v>0.56528935185185192</v>
      </c>
      <c r="H2590" s="118">
        <v>1.0069444444444444E-3</v>
      </c>
      <c r="I2590" s="118">
        <v>4.6296296296296293E-4</v>
      </c>
      <c r="J2590"/>
      <c r="K2590"/>
    </row>
    <row r="2591" spans="1:11" x14ac:dyDescent="0.25">
      <c r="A2591">
        <v>5</v>
      </c>
      <c r="B2591">
        <v>11</v>
      </c>
      <c r="C2591"/>
      <c r="D2591" t="s">
        <v>31</v>
      </c>
      <c r="E2591" t="s">
        <v>32</v>
      </c>
      <c r="F2591" t="s">
        <v>47</v>
      </c>
      <c r="G2591" s="118">
        <v>0.56549768518518517</v>
      </c>
      <c r="H2591" s="118">
        <v>5.2083333333333333E-4</v>
      </c>
      <c r="I2591" s="118">
        <v>8.7962962962962962E-4</v>
      </c>
      <c r="J2591" s="118">
        <v>7.0717592592592594E-3</v>
      </c>
      <c r="K2591" s="118">
        <v>7.0717592592592594E-3</v>
      </c>
    </row>
    <row r="2592" spans="1:11" x14ac:dyDescent="0.25">
      <c r="A2592">
        <v>2</v>
      </c>
      <c r="B2592">
        <v>10</v>
      </c>
      <c r="C2592"/>
      <c r="D2592" t="s">
        <v>31</v>
      </c>
      <c r="E2592" t="s">
        <v>35</v>
      </c>
      <c r="F2592" t="s">
        <v>36</v>
      </c>
      <c r="G2592" s="118">
        <v>0.56559027777777782</v>
      </c>
      <c r="H2592" s="118">
        <v>9.6064814814814808E-4</v>
      </c>
      <c r="I2592" s="118">
        <v>3.4722222222222224E-4</v>
      </c>
      <c r="J2592"/>
      <c r="K2592"/>
    </row>
    <row r="2593" spans="1:11" x14ac:dyDescent="0.25">
      <c r="A2593">
        <v>1</v>
      </c>
      <c r="B2593">
        <v>9</v>
      </c>
      <c r="C2593"/>
      <c r="D2593" t="s">
        <v>31</v>
      </c>
      <c r="E2593" t="s">
        <v>35</v>
      </c>
      <c r="F2593" t="s">
        <v>42</v>
      </c>
      <c r="G2593" s="118">
        <v>0.56562499999999993</v>
      </c>
      <c r="H2593" s="118">
        <v>9.0277777777777784E-4</v>
      </c>
      <c r="I2593" s="118">
        <v>3.4722222222222224E-4</v>
      </c>
      <c r="J2593"/>
      <c r="K2593"/>
    </row>
    <row r="2594" spans="1:11" x14ac:dyDescent="0.25">
      <c r="A2594">
        <v>3</v>
      </c>
      <c r="B2594">
        <v>10</v>
      </c>
      <c r="C2594"/>
      <c r="D2594" t="s">
        <v>31</v>
      </c>
      <c r="E2594" t="s">
        <v>32</v>
      </c>
      <c r="F2594" t="s">
        <v>55</v>
      </c>
      <c r="G2594" s="118">
        <v>0.56575231481481481</v>
      </c>
      <c r="H2594" s="118">
        <v>4.6296296296296293E-4</v>
      </c>
      <c r="I2594" s="118">
        <v>4.3981481481481481E-4</v>
      </c>
      <c r="J2594" s="118">
        <v>7.0717592592592594E-3</v>
      </c>
      <c r="K2594" s="118">
        <v>7.0717592592592594E-3</v>
      </c>
    </row>
    <row r="2595" spans="1:11" x14ac:dyDescent="0.25">
      <c r="A2595">
        <v>2</v>
      </c>
      <c r="B2595">
        <v>10</v>
      </c>
      <c r="C2595"/>
      <c r="D2595" t="s">
        <v>31</v>
      </c>
      <c r="E2595" t="s">
        <v>32</v>
      </c>
      <c r="F2595" t="s">
        <v>36</v>
      </c>
      <c r="G2595" s="118">
        <v>0.56593749999999998</v>
      </c>
      <c r="H2595" s="118">
        <v>3.4722222222222224E-4</v>
      </c>
      <c r="I2595" s="118">
        <v>1.0995370370370371E-3</v>
      </c>
      <c r="J2595" s="118">
        <v>7.0717592592592594E-3</v>
      </c>
      <c r="K2595" s="118">
        <v>7.0717592592592594E-3</v>
      </c>
    </row>
    <row r="2596" spans="1:11" x14ac:dyDescent="0.25">
      <c r="A2596">
        <v>1</v>
      </c>
      <c r="B2596">
        <v>9</v>
      </c>
      <c r="C2596"/>
      <c r="D2596" t="s">
        <v>31</v>
      </c>
      <c r="E2596" t="s">
        <v>32</v>
      </c>
      <c r="F2596" t="s">
        <v>42</v>
      </c>
      <c r="G2596" s="118">
        <v>0.56597222222222221</v>
      </c>
      <c r="H2596" s="118">
        <v>3.4722222222222224E-4</v>
      </c>
      <c r="I2596" s="118">
        <v>9.1435185185185185E-4</v>
      </c>
      <c r="J2596" s="118">
        <v>7.0717592592592594E-3</v>
      </c>
      <c r="K2596" s="118">
        <v>7.0717592592592594E-3</v>
      </c>
    </row>
    <row r="2597" spans="1:11" x14ac:dyDescent="0.25">
      <c r="A2597">
        <v>4</v>
      </c>
      <c r="B2597">
        <v>10</v>
      </c>
      <c r="C2597"/>
      <c r="D2597" t="s">
        <v>31</v>
      </c>
      <c r="E2597" t="s">
        <v>35</v>
      </c>
      <c r="F2597" t="s">
        <v>57</v>
      </c>
      <c r="G2597" s="118">
        <v>0.5661342592592592</v>
      </c>
      <c r="H2597" s="118">
        <v>1.0532407407407407E-3</v>
      </c>
      <c r="I2597" s="118">
        <v>3.4722222222222224E-4</v>
      </c>
      <c r="J2597"/>
      <c r="K2597"/>
    </row>
    <row r="2598" spans="1:11" x14ac:dyDescent="0.25">
      <c r="A2598">
        <v>3</v>
      </c>
      <c r="B2598">
        <v>10</v>
      </c>
      <c r="C2598"/>
      <c r="D2598" t="s">
        <v>31</v>
      </c>
      <c r="E2598" t="s">
        <v>35</v>
      </c>
      <c r="F2598" t="s">
        <v>58</v>
      </c>
      <c r="G2598" s="118">
        <v>0.56619212962962961</v>
      </c>
      <c r="H2598" s="118">
        <v>4.3981481481481481E-4</v>
      </c>
      <c r="I2598" s="118">
        <v>5.7870370370370366E-5</v>
      </c>
      <c r="J2598"/>
      <c r="K2598"/>
    </row>
    <row r="2599" spans="1:11" x14ac:dyDescent="0.25">
      <c r="A2599">
        <v>3</v>
      </c>
      <c r="B2599">
        <v>10</v>
      </c>
      <c r="C2599"/>
      <c r="D2599" t="s">
        <v>31</v>
      </c>
      <c r="E2599" t="s">
        <v>32</v>
      </c>
      <c r="F2599" t="s">
        <v>58</v>
      </c>
      <c r="G2599" s="118">
        <v>0.56625000000000003</v>
      </c>
      <c r="H2599" s="118">
        <v>5.7870370370370366E-5</v>
      </c>
      <c r="I2599" s="118">
        <v>4.8611111111111104E-4</v>
      </c>
      <c r="J2599" s="118">
        <v>7.0717592592592594E-3</v>
      </c>
      <c r="K2599" s="118">
        <v>7.0717592592592594E-3</v>
      </c>
    </row>
    <row r="2600" spans="1:11" x14ac:dyDescent="0.25">
      <c r="A2600">
        <v>5</v>
      </c>
      <c r="B2600">
        <v>11</v>
      </c>
      <c r="C2600"/>
      <c r="D2600" t="s">
        <v>31</v>
      </c>
      <c r="E2600" t="s">
        <v>35</v>
      </c>
      <c r="F2600" t="s">
        <v>53</v>
      </c>
      <c r="G2600" s="118">
        <v>0.56637731481481479</v>
      </c>
      <c r="H2600" s="118">
        <v>8.7962962962962962E-4</v>
      </c>
      <c r="I2600" s="118">
        <v>3.4722222222222224E-4</v>
      </c>
      <c r="J2600"/>
      <c r="K2600"/>
    </row>
    <row r="2601" spans="1:11" x14ac:dyDescent="0.25">
      <c r="A2601">
        <v>4</v>
      </c>
      <c r="B2601">
        <v>10</v>
      </c>
      <c r="C2601"/>
      <c r="D2601" t="s">
        <v>31</v>
      </c>
      <c r="E2601" t="s">
        <v>32</v>
      </c>
      <c r="F2601" t="s">
        <v>57</v>
      </c>
      <c r="G2601" s="118">
        <v>0.56648148148148147</v>
      </c>
      <c r="H2601" s="118">
        <v>3.4722222222222224E-4</v>
      </c>
      <c r="I2601" s="118">
        <v>9.3750000000000007E-4</v>
      </c>
      <c r="J2601" s="118">
        <v>7.0717592592592594E-3</v>
      </c>
      <c r="K2601" s="118">
        <v>7.0717592592592594E-3</v>
      </c>
    </row>
    <row r="2602" spans="1:11" x14ac:dyDescent="0.25">
      <c r="A2602">
        <v>5</v>
      </c>
      <c r="B2602">
        <v>11</v>
      </c>
      <c r="C2602"/>
      <c r="D2602" t="s">
        <v>31</v>
      </c>
      <c r="E2602" t="s">
        <v>32</v>
      </c>
      <c r="F2602" t="s">
        <v>53</v>
      </c>
      <c r="G2602" s="118">
        <v>0.56672453703703707</v>
      </c>
      <c r="H2602" s="118">
        <v>3.4722222222222224E-4</v>
      </c>
      <c r="I2602" s="118">
        <v>8.449074074074075E-4</v>
      </c>
      <c r="J2602" s="118">
        <v>7.0717592592592594E-3</v>
      </c>
      <c r="K2602" s="118">
        <v>7.0717592592592594E-3</v>
      </c>
    </row>
    <row r="2603" spans="1:11" x14ac:dyDescent="0.25">
      <c r="A2603">
        <v>3</v>
      </c>
      <c r="B2603">
        <v>10</v>
      </c>
      <c r="C2603"/>
      <c r="D2603" t="s">
        <v>31</v>
      </c>
      <c r="E2603" t="s">
        <v>35</v>
      </c>
      <c r="F2603" t="s">
        <v>40</v>
      </c>
      <c r="G2603" s="118">
        <v>0.56673611111111111</v>
      </c>
      <c r="H2603" s="118">
        <v>4.8611111111111104E-4</v>
      </c>
      <c r="I2603" s="118">
        <v>4.6296296296296293E-4</v>
      </c>
      <c r="J2603"/>
      <c r="K2603"/>
    </row>
    <row r="2604" spans="1:11" x14ac:dyDescent="0.25">
      <c r="A2604">
        <v>1</v>
      </c>
      <c r="B2604">
        <v>9</v>
      </c>
      <c r="C2604"/>
      <c r="D2604" t="s">
        <v>31</v>
      </c>
      <c r="E2604" t="s">
        <v>35</v>
      </c>
      <c r="F2604" t="s">
        <v>48</v>
      </c>
      <c r="G2604" s="118">
        <v>0.56688657407407406</v>
      </c>
      <c r="H2604" s="118">
        <v>9.1435185185185185E-4</v>
      </c>
      <c r="I2604" s="118">
        <v>5.2083333333333333E-4</v>
      </c>
      <c r="J2604"/>
      <c r="K2604"/>
    </row>
    <row r="2605" spans="1:11" x14ac:dyDescent="0.25">
      <c r="A2605">
        <v>2</v>
      </c>
      <c r="B2605">
        <v>10</v>
      </c>
      <c r="C2605"/>
      <c r="D2605" t="s">
        <v>31</v>
      </c>
      <c r="E2605" t="s">
        <v>35</v>
      </c>
      <c r="F2605" t="s">
        <v>43</v>
      </c>
      <c r="G2605" s="118">
        <v>0.56703703703703701</v>
      </c>
      <c r="H2605" s="118">
        <v>1.0995370370370371E-3</v>
      </c>
      <c r="I2605" s="118">
        <v>3.4722222222222224E-4</v>
      </c>
      <c r="J2605"/>
      <c r="K2605"/>
    </row>
    <row r="2606" spans="1:11" x14ac:dyDescent="0.25">
      <c r="A2606">
        <v>3</v>
      </c>
      <c r="B2606">
        <v>10</v>
      </c>
      <c r="C2606"/>
      <c r="D2606" t="s">
        <v>31</v>
      </c>
      <c r="E2606" t="s">
        <v>32</v>
      </c>
      <c r="F2606" t="s">
        <v>40</v>
      </c>
      <c r="G2606" s="118">
        <v>0.56719907407407411</v>
      </c>
      <c r="H2606" s="118">
        <v>4.6296296296296293E-4</v>
      </c>
      <c r="I2606" s="118">
        <v>1.0069444444444444E-3</v>
      </c>
      <c r="J2606" s="118">
        <v>7.0717592592592594E-3</v>
      </c>
      <c r="K2606" s="118">
        <v>7.0717592592592594E-3</v>
      </c>
    </row>
    <row r="2607" spans="1:11" x14ac:dyDescent="0.25">
      <c r="A2607">
        <v>2</v>
      </c>
      <c r="B2607">
        <v>10</v>
      </c>
      <c r="C2607"/>
      <c r="D2607" t="s">
        <v>31</v>
      </c>
      <c r="E2607" t="s">
        <v>32</v>
      </c>
      <c r="F2607" t="s">
        <v>43</v>
      </c>
      <c r="G2607" s="118">
        <v>0.56738425925925928</v>
      </c>
      <c r="H2607" s="118">
        <v>3.4722222222222224E-4</v>
      </c>
      <c r="I2607" s="118">
        <v>1.1458333333333333E-3</v>
      </c>
      <c r="J2607" s="118">
        <v>7.0717592592592594E-3</v>
      </c>
      <c r="K2607" s="118">
        <v>7.0717592592592594E-3</v>
      </c>
    </row>
    <row r="2608" spans="1:11" x14ac:dyDescent="0.25">
      <c r="A2608">
        <v>1</v>
      </c>
      <c r="B2608">
        <v>9</v>
      </c>
      <c r="C2608"/>
      <c r="D2608" t="s">
        <v>31</v>
      </c>
      <c r="E2608" t="s">
        <v>32</v>
      </c>
      <c r="F2608" t="s">
        <v>48</v>
      </c>
      <c r="G2608" s="118">
        <v>0.56740740740740747</v>
      </c>
      <c r="H2608" s="118">
        <v>5.2083333333333333E-4</v>
      </c>
      <c r="I2608" s="118">
        <v>8.6805555555555551E-4</v>
      </c>
      <c r="J2608" s="118">
        <v>7.0717592592592594E-3</v>
      </c>
      <c r="K2608" s="118">
        <v>7.0717592592592594E-3</v>
      </c>
    </row>
    <row r="2609" spans="1:11" x14ac:dyDescent="0.25">
      <c r="A2609">
        <v>4</v>
      </c>
      <c r="B2609">
        <v>10</v>
      </c>
      <c r="C2609"/>
      <c r="D2609" t="s">
        <v>31</v>
      </c>
      <c r="E2609" t="s">
        <v>35</v>
      </c>
      <c r="F2609" t="s">
        <v>39</v>
      </c>
      <c r="G2609" s="118">
        <v>0.56741898148148151</v>
      </c>
      <c r="H2609" s="118">
        <v>9.3750000000000007E-4</v>
      </c>
      <c r="I2609" s="118">
        <v>5.2083333333333333E-4</v>
      </c>
      <c r="J2609"/>
      <c r="K2609"/>
    </row>
    <row r="2610" spans="1:11" x14ac:dyDescent="0.25">
      <c r="A2610">
        <v>5</v>
      </c>
      <c r="B2610">
        <v>11</v>
      </c>
      <c r="C2610"/>
      <c r="D2610" t="s">
        <v>31</v>
      </c>
      <c r="E2610" t="s">
        <v>35</v>
      </c>
      <c r="F2610" t="s">
        <v>34</v>
      </c>
      <c r="G2610" s="118">
        <v>0.56756944444444446</v>
      </c>
      <c r="H2610" s="118">
        <v>8.449074074074075E-4</v>
      </c>
      <c r="I2610" s="118">
        <v>3.4722222222222224E-4</v>
      </c>
      <c r="J2610"/>
      <c r="K2610"/>
    </row>
    <row r="2611" spans="1:11" x14ac:dyDescent="0.25">
      <c r="A2611">
        <v>5</v>
      </c>
      <c r="B2611">
        <v>11</v>
      </c>
      <c r="C2611"/>
      <c r="D2611" t="s">
        <v>31</v>
      </c>
      <c r="E2611" t="s">
        <v>32</v>
      </c>
      <c r="F2611" t="s">
        <v>34</v>
      </c>
      <c r="G2611" s="118">
        <v>0.56791666666666674</v>
      </c>
      <c r="H2611" s="118">
        <v>3.4722222222222224E-4</v>
      </c>
      <c r="I2611" s="118">
        <v>9.1435185185185185E-4</v>
      </c>
      <c r="J2611" s="118">
        <v>7.0717592592592594E-3</v>
      </c>
      <c r="K2611" s="118">
        <v>7.0717592592592594E-3</v>
      </c>
    </row>
    <row r="2612" spans="1:11" x14ac:dyDescent="0.25">
      <c r="A2612">
        <v>4</v>
      </c>
      <c r="B2612">
        <v>10</v>
      </c>
      <c r="C2612"/>
      <c r="D2612" t="s">
        <v>31</v>
      </c>
      <c r="E2612" t="s">
        <v>32</v>
      </c>
      <c r="F2612" t="s">
        <v>39</v>
      </c>
      <c r="G2612" s="118">
        <v>0.56793981481481481</v>
      </c>
      <c r="H2612" s="118">
        <v>5.2083333333333333E-4</v>
      </c>
      <c r="I2612" s="118">
        <v>1.8055555555555557E-3</v>
      </c>
      <c r="J2612" s="118">
        <v>7.0717592592592594E-3</v>
      </c>
      <c r="K2612" s="118">
        <v>7.0717592592592594E-3</v>
      </c>
    </row>
    <row r="2613" spans="1:11" x14ac:dyDescent="0.25">
      <c r="A2613">
        <v>3</v>
      </c>
      <c r="B2613">
        <v>10</v>
      </c>
      <c r="C2613"/>
      <c r="D2613" t="s">
        <v>31</v>
      </c>
      <c r="E2613" t="s">
        <v>35</v>
      </c>
      <c r="F2613" t="s">
        <v>44</v>
      </c>
      <c r="G2613" s="118">
        <v>0.56820601851851849</v>
      </c>
      <c r="H2613" s="118">
        <v>1.0069444444444444E-3</v>
      </c>
      <c r="I2613" s="118">
        <v>3.4722222222222224E-4</v>
      </c>
      <c r="J2613"/>
      <c r="K2613"/>
    </row>
    <row r="2614" spans="1:11" x14ac:dyDescent="0.25">
      <c r="A2614">
        <v>1</v>
      </c>
      <c r="B2614">
        <v>9</v>
      </c>
      <c r="C2614"/>
      <c r="D2614" t="s">
        <v>31</v>
      </c>
      <c r="E2614" t="s">
        <v>35</v>
      </c>
      <c r="F2614" t="s">
        <v>54</v>
      </c>
      <c r="G2614" s="118">
        <v>0.56827546296296294</v>
      </c>
      <c r="H2614" s="118">
        <v>8.6805555555555551E-4</v>
      </c>
      <c r="I2614" s="118">
        <v>3.4722222222222224E-4</v>
      </c>
      <c r="J2614"/>
      <c r="K2614"/>
    </row>
    <row r="2615" spans="1:11" x14ac:dyDescent="0.25">
      <c r="A2615">
        <v>2</v>
      </c>
      <c r="B2615">
        <v>10</v>
      </c>
      <c r="C2615"/>
      <c r="D2615" t="s">
        <v>31</v>
      </c>
      <c r="E2615" t="s">
        <v>35</v>
      </c>
      <c r="F2615" t="s">
        <v>50</v>
      </c>
      <c r="G2615" s="118">
        <v>0.56853009259259257</v>
      </c>
      <c r="H2615" s="118">
        <v>1.1458333333333333E-3</v>
      </c>
      <c r="I2615" s="118">
        <v>3.4722222222222224E-4</v>
      </c>
      <c r="J2615"/>
      <c r="K2615"/>
    </row>
    <row r="2616" spans="1:11" x14ac:dyDescent="0.25">
      <c r="A2616">
        <v>3</v>
      </c>
      <c r="B2616">
        <v>10</v>
      </c>
      <c r="C2616"/>
      <c r="D2616" t="s">
        <v>31</v>
      </c>
      <c r="E2616" t="s">
        <v>32</v>
      </c>
      <c r="F2616" t="s">
        <v>44</v>
      </c>
      <c r="G2616" s="118">
        <v>0.56855324074074076</v>
      </c>
      <c r="H2616" s="118">
        <v>3.4722222222222224E-4</v>
      </c>
      <c r="I2616" s="118">
        <v>9.2592592592592585E-4</v>
      </c>
      <c r="J2616" s="118">
        <v>7.0717592592592594E-3</v>
      </c>
      <c r="K2616" s="118">
        <v>7.0717592592592594E-3</v>
      </c>
    </row>
    <row r="2617" spans="1:11" x14ac:dyDescent="0.25">
      <c r="A2617">
        <v>1</v>
      </c>
      <c r="B2617">
        <v>9</v>
      </c>
      <c r="C2617"/>
      <c r="D2617" t="s">
        <v>31</v>
      </c>
      <c r="E2617" t="s">
        <v>32</v>
      </c>
      <c r="F2617" t="s">
        <v>54</v>
      </c>
      <c r="G2617" s="118">
        <v>0.56862268518518522</v>
      </c>
      <c r="H2617" s="118">
        <v>3.4722222222222224E-4</v>
      </c>
      <c r="I2617" s="118">
        <v>6.9444444444444447E-4</v>
      </c>
      <c r="J2617" s="118">
        <v>7.0717592592592594E-3</v>
      </c>
      <c r="K2617" s="118">
        <v>7.0717592592592594E-3</v>
      </c>
    </row>
    <row r="2618" spans="1:11" x14ac:dyDescent="0.25">
      <c r="A2618">
        <v>5</v>
      </c>
      <c r="B2618">
        <v>11</v>
      </c>
      <c r="C2618"/>
      <c r="D2618" t="s">
        <v>31</v>
      </c>
      <c r="E2618" t="s">
        <v>35</v>
      </c>
      <c r="F2618" t="s">
        <v>38</v>
      </c>
      <c r="G2618" s="118">
        <v>0.56883101851851847</v>
      </c>
      <c r="H2618" s="118">
        <v>9.1435185185185185E-4</v>
      </c>
      <c r="I2618" s="118">
        <v>3.4722222222222224E-4</v>
      </c>
      <c r="J2618"/>
      <c r="K2618"/>
    </row>
    <row r="2619" spans="1:11" x14ac:dyDescent="0.25">
      <c r="A2619">
        <v>2</v>
      </c>
      <c r="B2619">
        <v>10</v>
      </c>
      <c r="C2619"/>
      <c r="D2619" t="s">
        <v>31</v>
      </c>
      <c r="E2619" t="s">
        <v>32</v>
      </c>
      <c r="F2619" t="s">
        <v>50</v>
      </c>
      <c r="G2619" s="118">
        <v>0.56887731481481485</v>
      </c>
      <c r="H2619" s="118">
        <v>3.4722222222222224E-4</v>
      </c>
      <c r="I2619" s="118">
        <v>1.261574074074074E-3</v>
      </c>
      <c r="J2619" s="118">
        <v>7.0717592592592594E-3</v>
      </c>
      <c r="K2619" s="118">
        <v>7.0717592592592594E-3</v>
      </c>
    </row>
    <row r="2620" spans="1:11" x14ac:dyDescent="0.25">
      <c r="A2620">
        <v>5</v>
      </c>
      <c r="B2620">
        <v>11</v>
      </c>
      <c r="C2620"/>
      <c r="D2620" t="s">
        <v>31</v>
      </c>
      <c r="E2620" t="s">
        <v>32</v>
      </c>
      <c r="F2620" t="s">
        <v>38</v>
      </c>
      <c r="G2620" s="118">
        <v>0.56917824074074075</v>
      </c>
      <c r="H2620" s="118">
        <v>3.4722222222222224E-4</v>
      </c>
      <c r="I2620" s="118">
        <v>1.2384259259259258E-3</v>
      </c>
      <c r="J2620" s="118">
        <v>7.0717592592592594E-3</v>
      </c>
      <c r="K2620" s="118">
        <v>7.0717592592592594E-3</v>
      </c>
    </row>
    <row r="2621" spans="1:11" x14ac:dyDescent="0.25">
      <c r="A2621">
        <v>1</v>
      </c>
      <c r="B2621">
        <v>9</v>
      </c>
      <c r="C2621"/>
      <c r="D2621" t="s">
        <v>31</v>
      </c>
      <c r="E2621" t="s">
        <v>35</v>
      </c>
      <c r="F2621" t="s">
        <v>92</v>
      </c>
      <c r="G2621" s="118">
        <v>0.56931712962962966</v>
      </c>
      <c r="H2621" s="118">
        <v>6.9444444444444447E-4</v>
      </c>
      <c r="I2621" s="118">
        <v>5.2083333333333333E-4</v>
      </c>
      <c r="J2621"/>
      <c r="K2621"/>
    </row>
    <row r="2622" spans="1:11" x14ac:dyDescent="0.25">
      <c r="A2622">
        <v>3</v>
      </c>
      <c r="B2622">
        <v>10</v>
      </c>
      <c r="C2622"/>
      <c r="D2622" t="s">
        <v>31</v>
      </c>
      <c r="E2622" t="s">
        <v>35</v>
      </c>
      <c r="F2622" t="s">
        <v>49</v>
      </c>
      <c r="G2622" s="118">
        <v>0.56947916666666665</v>
      </c>
      <c r="H2622" s="118">
        <v>9.2592592592592585E-4</v>
      </c>
      <c r="I2622" s="118">
        <v>3.4722222222222224E-4</v>
      </c>
      <c r="J2622"/>
      <c r="K2622"/>
    </row>
    <row r="2623" spans="1:11" x14ac:dyDescent="0.25">
      <c r="A2623">
        <v>4</v>
      </c>
      <c r="B2623">
        <v>10</v>
      </c>
      <c r="C2623"/>
      <c r="D2623" t="s">
        <v>31</v>
      </c>
      <c r="E2623" t="s">
        <v>35</v>
      </c>
      <c r="F2623" t="s">
        <v>46</v>
      </c>
      <c r="G2623" s="118">
        <v>0.56974537037037043</v>
      </c>
      <c r="H2623" s="118">
        <v>1.8055555555555557E-3</v>
      </c>
      <c r="I2623" s="118">
        <v>3.4722222222222224E-4</v>
      </c>
      <c r="J2623"/>
      <c r="K2623"/>
    </row>
    <row r="2624" spans="1:11" x14ac:dyDescent="0.25">
      <c r="A2624">
        <v>3</v>
      </c>
      <c r="B2624">
        <v>10</v>
      </c>
      <c r="C2624"/>
      <c r="D2624" t="s">
        <v>31</v>
      </c>
      <c r="E2624" t="s">
        <v>32</v>
      </c>
      <c r="F2624" t="s">
        <v>49</v>
      </c>
      <c r="G2624" s="118">
        <v>0.56982638888888892</v>
      </c>
      <c r="H2624" s="118">
        <v>3.4722222222222224E-4</v>
      </c>
      <c r="I2624" s="118">
        <v>1.3541666666666667E-3</v>
      </c>
      <c r="J2624" s="118">
        <v>7.0717592592592594E-3</v>
      </c>
      <c r="K2624" s="118">
        <v>7.0717592592592594E-3</v>
      </c>
    </row>
    <row r="2625" spans="1:11" x14ac:dyDescent="0.25">
      <c r="A2625">
        <v>1</v>
      </c>
      <c r="B2625">
        <v>10</v>
      </c>
      <c r="C2625"/>
      <c r="D2625" t="s">
        <v>31</v>
      </c>
      <c r="E2625" t="s">
        <v>32</v>
      </c>
      <c r="F2625" t="s">
        <v>92</v>
      </c>
      <c r="G2625" s="118">
        <v>0.56983796296296296</v>
      </c>
      <c r="H2625" s="118">
        <v>5.2083333333333333E-4</v>
      </c>
      <c r="I2625" s="118">
        <v>1.0069444444444444E-3</v>
      </c>
      <c r="J2625" s="118">
        <v>7.0717592592592594E-3</v>
      </c>
      <c r="K2625" s="118">
        <v>7.0717592592592594E-3</v>
      </c>
    </row>
    <row r="2626" spans="1:11" x14ac:dyDescent="0.25">
      <c r="A2626">
        <v>4</v>
      </c>
      <c r="B2626">
        <v>10</v>
      </c>
      <c r="C2626"/>
      <c r="D2626" t="s">
        <v>31</v>
      </c>
      <c r="E2626" t="s">
        <v>32</v>
      </c>
      <c r="F2626" t="s">
        <v>46</v>
      </c>
      <c r="G2626" s="118">
        <v>0.5700925925925926</v>
      </c>
      <c r="H2626" s="118">
        <v>3.4722222222222224E-4</v>
      </c>
      <c r="I2626" s="118">
        <v>9.1435185185185185E-4</v>
      </c>
      <c r="J2626" s="118">
        <v>7.0717592592592594E-3</v>
      </c>
      <c r="K2626" s="118">
        <v>7.0717592592592594E-3</v>
      </c>
    </row>
    <row r="2627" spans="1:11" x14ac:dyDescent="0.25">
      <c r="A2627">
        <v>2</v>
      </c>
      <c r="B2627">
        <v>10</v>
      </c>
      <c r="C2627"/>
      <c r="D2627" t="s">
        <v>31</v>
      </c>
      <c r="E2627" t="s">
        <v>35</v>
      </c>
      <c r="F2627" t="s">
        <v>56</v>
      </c>
      <c r="G2627" s="118">
        <v>0.57013888888888886</v>
      </c>
      <c r="H2627" s="118">
        <v>1.261574074074074E-3</v>
      </c>
      <c r="I2627" s="118">
        <v>3.4722222222222224E-4</v>
      </c>
      <c r="J2627"/>
      <c r="K2627"/>
    </row>
    <row r="2628" spans="1:11" x14ac:dyDescent="0.25">
      <c r="A2628">
        <v>5</v>
      </c>
      <c r="B2628">
        <v>11</v>
      </c>
      <c r="C2628"/>
      <c r="D2628" t="s">
        <v>31</v>
      </c>
      <c r="E2628" t="s">
        <v>35</v>
      </c>
      <c r="F2628" t="s">
        <v>45</v>
      </c>
      <c r="G2628" s="118">
        <v>0.57041666666666668</v>
      </c>
      <c r="H2628" s="118">
        <v>1.2384259259259258E-3</v>
      </c>
      <c r="I2628" s="118">
        <v>3.4722222222222224E-4</v>
      </c>
      <c r="J2628"/>
      <c r="K2628"/>
    </row>
    <row r="2629" spans="1:11" x14ac:dyDescent="0.25">
      <c r="A2629">
        <v>2</v>
      </c>
      <c r="B2629">
        <v>10</v>
      </c>
      <c r="C2629"/>
      <c r="D2629" t="s">
        <v>31</v>
      </c>
      <c r="E2629" t="s">
        <v>32</v>
      </c>
      <c r="F2629" t="s">
        <v>56</v>
      </c>
      <c r="G2629" s="118">
        <v>0.57048611111111114</v>
      </c>
      <c r="H2629" s="118">
        <v>3.4722222222222224E-4</v>
      </c>
      <c r="I2629" s="118">
        <v>9.6064814814814808E-4</v>
      </c>
      <c r="J2629" s="118">
        <v>7.0717592592592594E-3</v>
      </c>
      <c r="K2629" s="118">
        <v>7.0717592592592594E-3</v>
      </c>
    </row>
    <row r="2630" spans="1:11" x14ac:dyDescent="0.25">
      <c r="A2630">
        <v>5</v>
      </c>
      <c r="B2630">
        <v>11</v>
      </c>
      <c r="C2630"/>
      <c r="D2630" t="s">
        <v>31</v>
      </c>
      <c r="E2630" t="s">
        <v>32</v>
      </c>
      <c r="F2630" t="s">
        <v>45</v>
      </c>
      <c r="G2630" s="118">
        <v>0.57076388888888896</v>
      </c>
      <c r="H2630" s="118">
        <v>3.4722222222222224E-4</v>
      </c>
      <c r="I2630" s="118">
        <v>1.0416666666666667E-3</v>
      </c>
      <c r="J2630" s="118">
        <v>7.0717592592592594E-3</v>
      </c>
      <c r="K2630" s="118">
        <v>7.0717592592592594E-3</v>
      </c>
    </row>
    <row r="2631" spans="1:11" x14ac:dyDescent="0.25">
      <c r="A2631">
        <v>1</v>
      </c>
      <c r="B2631">
        <v>10</v>
      </c>
      <c r="C2631"/>
      <c r="D2631" t="s">
        <v>31</v>
      </c>
      <c r="E2631" t="s">
        <v>35</v>
      </c>
      <c r="F2631" t="s">
        <v>41</v>
      </c>
      <c r="G2631" s="118">
        <v>0.57084490740740745</v>
      </c>
      <c r="H2631" s="118">
        <v>1.0069444444444444E-3</v>
      </c>
      <c r="I2631" s="118">
        <v>3.4722222222222224E-4</v>
      </c>
      <c r="J2631"/>
      <c r="K2631"/>
    </row>
    <row r="2632" spans="1:11" x14ac:dyDescent="0.25">
      <c r="A2632">
        <v>4</v>
      </c>
      <c r="B2632">
        <v>10</v>
      </c>
      <c r="C2632"/>
      <c r="D2632" t="s">
        <v>31</v>
      </c>
      <c r="E2632" t="s">
        <v>35</v>
      </c>
      <c r="F2632" t="s">
        <v>51</v>
      </c>
      <c r="G2632" s="118">
        <v>0.57100694444444444</v>
      </c>
      <c r="H2632" s="118">
        <v>9.1435185185185185E-4</v>
      </c>
      <c r="I2632" s="118">
        <v>3.4722222222222224E-4</v>
      </c>
      <c r="J2632"/>
      <c r="K2632"/>
    </row>
    <row r="2633" spans="1:11" x14ac:dyDescent="0.25">
      <c r="A2633">
        <v>3</v>
      </c>
      <c r="B2633">
        <v>10</v>
      </c>
      <c r="C2633"/>
      <c r="D2633" t="s">
        <v>31</v>
      </c>
      <c r="E2633" t="s">
        <v>35</v>
      </c>
      <c r="F2633" t="s">
        <v>33</v>
      </c>
      <c r="G2633" s="118">
        <v>0.57118055555555558</v>
      </c>
      <c r="H2633" s="118">
        <v>1.3541666666666667E-3</v>
      </c>
      <c r="I2633" s="118">
        <v>5.2083333333333333E-4</v>
      </c>
      <c r="J2633"/>
      <c r="K2633"/>
    </row>
    <row r="2634" spans="1:11" x14ac:dyDescent="0.25">
      <c r="A2634">
        <v>1</v>
      </c>
      <c r="B2634">
        <v>10</v>
      </c>
      <c r="C2634"/>
      <c r="D2634" t="s">
        <v>31</v>
      </c>
      <c r="E2634" t="s">
        <v>32</v>
      </c>
      <c r="F2634" t="s">
        <v>41</v>
      </c>
      <c r="G2634" s="118">
        <v>0.57119212962962962</v>
      </c>
      <c r="H2634" s="118">
        <v>3.4722222222222224E-4</v>
      </c>
      <c r="I2634" s="118">
        <v>8.564814814814815E-4</v>
      </c>
      <c r="J2634" s="118">
        <v>7.0717592592592594E-3</v>
      </c>
      <c r="K2634" s="118">
        <v>7.0717592592592594E-3</v>
      </c>
    </row>
    <row r="2635" spans="1:11" x14ac:dyDescent="0.25">
      <c r="A2635">
        <v>4</v>
      </c>
      <c r="B2635">
        <v>10</v>
      </c>
      <c r="C2635"/>
      <c r="D2635" t="s">
        <v>31</v>
      </c>
      <c r="E2635" t="s">
        <v>32</v>
      </c>
      <c r="F2635" t="s">
        <v>51</v>
      </c>
      <c r="G2635" s="118">
        <v>0.57135416666666672</v>
      </c>
      <c r="H2635" s="118">
        <v>3.4722222222222224E-4</v>
      </c>
      <c r="I2635" s="118">
        <v>1.0069444444444444E-3</v>
      </c>
      <c r="J2635" s="118">
        <v>7.0717592592592594E-3</v>
      </c>
      <c r="K2635" s="118">
        <v>7.0717592592592594E-3</v>
      </c>
    </row>
    <row r="2636" spans="1:11" x14ac:dyDescent="0.25">
      <c r="A2636">
        <v>2</v>
      </c>
      <c r="B2636">
        <v>10</v>
      </c>
      <c r="C2636"/>
      <c r="D2636" t="s">
        <v>31</v>
      </c>
      <c r="E2636" t="s">
        <v>35</v>
      </c>
      <c r="F2636" t="s">
        <v>37</v>
      </c>
      <c r="G2636" s="118">
        <v>0.57144675925925925</v>
      </c>
      <c r="H2636" s="118">
        <v>9.6064814814814808E-4</v>
      </c>
      <c r="I2636" s="118">
        <v>3.4722222222222224E-4</v>
      </c>
      <c r="J2636"/>
      <c r="K2636"/>
    </row>
    <row r="2637" spans="1:11" x14ac:dyDescent="0.25">
      <c r="A2637">
        <v>3</v>
      </c>
      <c r="B2637">
        <v>10</v>
      </c>
      <c r="C2637"/>
      <c r="D2637" t="s">
        <v>31</v>
      </c>
      <c r="E2637" t="s">
        <v>32</v>
      </c>
      <c r="F2637" t="s">
        <v>33</v>
      </c>
      <c r="G2637" s="118">
        <v>0.57170138888888888</v>
      </c>
      <c r="H2637" s="118">
        <v>5.2083333333333333E-4</v>
      </c>
      <c r="I2637" s="118">
        <v>9.6064814814814808E-4</v>
      </c>
      <c r="J2637" s="118">
        <v>7.0717592592592594E-3</v>
      </c>
      <c r="K2637" s="118">
        <v>7.0717592592592594E-3</v>
      </c>
    </row>
    <row r="2638" spans="1:11" x14ac:dyDescent="0.25">
      <c r="A2638">
        <v>2</v>
      </c>
      <c r="B2638">
        <v>10</v>
      </c>
      <c r="C2638"/>
      <c r="D2638" t="s">
        <v>31</v>
      </c>
      <c r="E2638" t="s">
        <v>32</v>
      </c>
      <c r="F2638" t="s">
        <v>37</v>
      </c>
      <c r="G2638" s="118">
        <v>0.57179398148148153</v>
      </c>
      <c r="H2638" s="118">
        <v>3.4722222222222224E-4</v>
      </c>
      <c r="I2638" s="118">
        <v>9.0277777777777784E-4</v>
      </c>
      <c r="J2638" s="118">
        <v>7.0717592592592594E-3</v>
      </c>
      <c r="K2638" s="118">
        <v>7.0717592592592594E-3</v>
      </c>
    </row>
    <row r="2639" spans="1:11" x14ac:dyDescent="0.25">
      <c r="A2639">
        <v>5</v>
      </c>
      <c r="B2639">
        <v>11</v>
      </c>
      <c r="C2639"/>
      <c r="D2639" t="s">
        <v>31</v>
      </c>
      <c r="E2639" t="s">
        <v>35</v>
      </c>
      <c r="F2639" t="s">
        <v>52</v>
      </c>
      <c r="G2639" s="118">
        <v>0.57180555555555557</v>
      </c>
      <c r="H2639" s="118">
        <v>1.0416666666666667E-3</v>
      </c>
      <c r="I2639" s="118">
        <v>3.4722222222222224E-4</v>
      </c>
      <c r="J2639"/>
      <c r="K2639"/>
    </row>
    <row r="2640" spans="1:11" x14ac:dyDescent="0.25">
      <c r="A2640">
        <v>1</v>
      </c>
      <c r="B2640">
        <v>10</v>
      </c>
      <c r="C2640"/>
      <c r="D2640" t="s">
        <v>31</v>
      </c>
      <c r="E2640" t="s">
        <v>35</v>
      </c>
      <c r="F2640" t="s">
        <v>47</v>
      </c>
      <c r="G2640" s="118">
        <v>0.57204861111111105</v>
      </c>
      <c r="H2640" s="118">
        <v>8.564814814814815E-4</v>
      </c>
      <c r="I2640" s="118">
        <v>5.2083333333333333E-4</v>
      </c>
      <c r="J2640"/>
      <c r="K2640"/>
    </row>
    <row r="2641" spans="1:11" x14ac:dyDescent="0.25">
      <c r="A2641">
        <v>5</v>
      </c>
      <c r="B2641">
        <v>11</v>
      </c>
      <c r="C2641"/>
      <c r="D2641" t="s">
        <v>31</v>
      </c>
      <c r="E2641" t="s">
        <v>32</v>
      </c>
      <c r="F2641" t="s">
        <v>52</v>
      </c>
      <c r="G2641" s="118">
        <v>0.57215277777777784</v>
      </c>
      <c r="H2641" s="118">
        <v>3.4722222222222224E-4</v>
      </c>
      <c r="I2641" s="118">
        <v>1.0532407407407407E-3</v>
      </c>
      <c r="J2641" s="118">
        <v>7.0717592592592594E-3</v>
      </c>
      <c r="K2641" s="118">
        <v>7.0717592592592594E-3</v>
      </c>
    </row>
    <row r="2642" spans="1:11" x14ac:dyDescent="0.25">
      <c r="A2642">
        <v>4</v>
      </c>
      <c r="B2642">
        <v>10</v>
      </c>
      <c r="C2642"/>
      <c r="D2642" t="s">
        <v>31</v>
      </c>
      <c r="E2642" t="s">
        <v>35</v>
      </c>
      <c r="F2642" t="s">
        <v>55</v>
      </c>
      <c r="G2642" s="118">
        <v>0.5723611111111111</v>
      </c>
      <c r="H2642" s="118">
        <v>1.0069444444444444E-3</v>
      </c>
      <c r="I2642" s="118">
        <v>4.6296296296296293E-4</v>
      </c>
      <c r="J2642"/>
      <c r="K2642"/>
    </row>
    <row r="2643" spans="1:11" x14ac:dyDescent="0.25">
      <c r="A2643">
        <v>1</v>
      </c>
      <c r="B2643">
        <v>10</v>
      </c>
      <c r="C2643"/>
      <c r="D2643" t="s">
        <v>31</v>
      </c>
      <c r="E2643" t="s">
        <v>32</v>
      </c>
      <c r="F2643" t="s">
        <v>47</v>
      </c>
      <c r="G2643" s="118">
        <v>0.57256944444444446</v>
      </c>
      <c r="H2643" s="118">
        <v>5.2083333333333333E-4</v>
      </c>
      <c r="I2643" s="118">
        <v>8.7962962962962962E-4</v>
      </c>
      <c r="J2643" s="118">
        <v>7.0717592592592594E-3</v>
      </c>
      <c r="K2643" s="118">
        <v>7.0717592592592594E-3</v>
      </c>
    </row>
    <row r="2644" spans="1:11" x14ac:dyDescent="0.25">
      <c r="A2644">
        <v>3</v>
      </c>
      <c r="B2644">
        <v>10</v>
      </c>
      <c r="C2644"/>
      <c r="D2644" t="s">
        <v>31</v>
      </c>
      <c r="E2644" t="s">
        <v>35</v>
      </c>
      <c r="F2644" t="s">
        <v>36</v>
      </c>
      <c r="G2644" s="118">
        <v>0.57266203703703711</v>
      </c>
      <c r="H2644" s="118">
        <v>9.6064814814814808E-4</v>
      </c>
      <c r="I2644" s="118">
        <v>3.4722222222222224E-4</v>
      </c>
      <c r="J2644"/>
      <c r="K2644"/>
    </row>
    <row r="2645" spans="1:11" x14ac:dyDescent="0.25">
      <c r="A2645">
        <v>2</v>
      </c>
      <c r="B2645">
        <v>10</v>
      </c>
      <c r="C2645"/>
      <c r="D2645" t="s">
        <v>31</v>
      </c>
      <c r="E2645" t="s">
        <v>35</v>
      </c>
      <c r="F2645" t="s">
        <v>42</v>
      </c>
      <c r="G2645" s="118">
        <v>0.57269675925925922</v>
      </c>
      <c r="H2645" s="118">
        <v>9.0277777777777784E-4</v>
      </c>
      <c r="I2645" s="118">
        <v>3.4722222222222224E-4</v>
      </c>
      <c r="J2645"/>
      <c r="K2645"/>
    </row>
    <row r="2646" spans="1:11" x14ac:dyDescent="0.25">
      <c r="A2646">
        <v>4</v>
      </c>
      <c r="B2646">
        <v>10</v>
      </c>
      <c r="C2646"/>
      <c r="D2646" t="s">
        <v>31</v>
      </c>
      <c r="E2646" t="s">
        <v>32</v>
      </c>
      <c r="F2646" t="s">
        <v>55</v>
      </c>
      <c r="G2646" s="118">
        <v>0.5728240740740741</v>
      </c>
      <c r="H2646" s="118">
        <v>4.6296296296296293E-4</v>
      </c>
      <c r="I2646" s="118">
        <v>4.3981481481481481E-4</v>
      </c>
      <c r="J2646" s="118">
        <v>7.0717592592592594E-3</v>
      </c>
      <c r="K2646" s="118">
        <v>7.0717592592592594E-3</v>
      </c>
    </row>
    <row r="2647" spans="1:11" x14ac:dyDescent="0.25">
      <c r="A2647">
        <v>3</v>
      </c>
      <c r="B2647">
        <v>10</v>
      </c>
      <c r="C2647"/>
      <c r="D2647" t="s">
        <v>31</v>
      </c>
      <c r="E2647" t="s">
        <v>32</v>
      </c>
      <c r="F2647" t="s">
        <v>36</v>
      </c>
      <c r="G2647" s="118">
        <v>0.57300925925925927</v>
      </c>
      <c r="H2647" s="118">
        <v>3.4722222222222224E-4</v>
      </c>
      <c r="I2647" s="118">
        <v>1.0995370370370371E-3</v>
      </c>
      <c r="J2647" s="118">
        <v>7.0717592592592594E-3</v>
      </c>
      <c r="K2647" s="118">
        <v>7.0717592592592594E-3</v>
      </c>
    </row>
    <row r="2648" spans="1:11" x14ac:dyDescent="0.25">
      <c r="A2648">
        <v>2</v>
      </c>
      <c r="B2648">
        <v>10</v>
      </c>
      <c r="C2648"/>
      <c r="D2648" t="s">
        <v>31</v>
      </c>
      <c r="E2648" t="s">
        <v>32</v>
      </c>
      <c r="F2648" t="s">
        <v>42</v>
      </c>
      <c r="G2648" s="118">
        <v>0.5730439814814815</v>
      </c>
      <c r="H2648" s="118">
        <v>3.4722222222222224E-4</v>
      </c>
      <c r="I2648" s="118">
        <v>9.1435185185185185E-4</v>
      </c>
      <c r="J2648" s="118">
        <v>7.0717592592592594E-3</v>
      </c>
      <c r="K2648" s="118">
        <v>7.0717592592592594E-3</v>
      </c>
    </row>
    <row r="2649" spans="1:11" x14ac:dyDescent="0.25">
      <c r="A2649">
        <v>5</v>
      </c>
      <c r="B2649">
        <v>11</v>
      </c>
      <c r="C2649"/>
      <c r="D2649" t="s">
        <v>31</v>
      </c>
      <c r="E2649" t="s">
        <v>35</v>
      </c>
      <c r="F2649" t="s">
        <v>57</v>
      </c>
      <c r="G2649" s="118">
        <v>0.57320601851851849</v>
      </c>
      <c r="H2649" s="118">
        <v>1.0532407407407407E-3</v>
      </c>
      <c r="I2649" s="118">
        <v>3.4722222222222224E-4</v>
      </c>
      <c r="J2649"/>
      <c r="K2649"/>
    </row>
    <row r="2650" spans="1:11" x14ac:dyDescent="0.25">
      <c r="A2650">
        <v>4</v>
      </c>
      <c r="B2650">
        <v>10</v>
      </c>
      <c r="C2650"/>
      <c r="D2650" t="s">
        <v>31</v>
      </c>
      <c r="E2650" t="s">
        <v>35</v>
      </c>
      <c r="F2650" t="s">
        <v>58</v>
      </c>
      <c r="G2650" s="118">
        <v>0.57326388888888891</v>
      </c>
      <c r="H2650" s="118">
        <v>4.3981481481481481E-4</v>
      </c>
      <c r="I2650" s="118">
        <v>5.7870370370370366E-5</v>
      </c>
      <c r="J2650"/>
      <c r="K2650"/>
    </row>
    <row r="2651" spans="1:11" x14ac:dyDescent="0.25">
      <c r="A2651">
        <v>4</v>
      </c>
      <c r="B2651">
        <v>10</v>
      </c>
      <c r="C2651"/>
      <c r="D2651" t="s">
        <v>31</v>
      </c>
      <c r="E2651" t="s">
        <v>32</v>
      </c>
      <c r="F2651" t="s">
        <v>58</v>
      </c>
      <c r="G2651" s="118">
        <v>0.57332175925925932</v>
      </c>
      <c r="H2651" s="118">
        <v>5.7870370370370366E-5</v>
      </c>
      <c r="I2651" s="118">
        <v>4.8611111111111104E-4</v>
      </c>
      <c r="J2651" s="118">
        <v>7.0717592592592594E-3</v>
      </c>
      <c r="K2651" s="118">
        <v>7.0717592592592594E-3</v>
      </c>
    </row>
    <row r="2652" spans="1:11" x14ac:dyDescent="0.25">
      <c r="A2652">
        <v>1</v>
      </c>
      <c r="B2652">
        <v>10</v>
      </c>
      <c r="C2652"/>
      <c r="D2652" t="s">
        <v>31</v>
      </c>
      <c r="E2652" t="s">
        <v>35</v>
      </c>
      <c r="F2652" t="s">
        <v>53</v>
      </c>
      <c r="G2652" s="118">
        <v>0.57344907407407408</v>
      </c>
      <c r="H2652" s="118">
        <v>8.7962962962962962E-4</v>
      </c>
      <c r="I2652" s="118">
        <v>3.4722222222222224E-4</v>
      </c>
      <c r="J2652"/>
      <c r="K2652"/>
    </row>
    <row r="2653" spans="1:11" x14ac:dyDescent="0.25">
      <c r="A2653">
        <v>5</v>
      </c>
      <c r="B2653">
        <v>11</v>
      </c>
      <c r="C2653"/>
      <c r="D2653" t="s">
        <v>31</v>
      </c>
      <c r="E2653" t="s">
        <v>32</v>
      </c>
      <c r="F2653" t="s">
        <v>57</v>
      </c>
      <c r="G2653" s="118">
        <v>0.57355324074074077</v>
      </c>
      <c r="H2653" s="118">
        <v>3.4722222222222224E-4</v>
      </c>
      <c r="I2653" s="118">
        <v>9.3750000000000007E-4</v>
      </c>
      <c r="J2653" s="118">
        <v>7.0717592592592594E-3</v>
      </c>
      <c r="K2653" s="118">
        <v>7.0717592592592594E-3</v>
      </c>
    </row>
    <row r="2654" spans="1:11" x14ac:dyDescent="0.25">
      <c r="A2654">
        <v>1</v>
      </c>
      <c r="B2654">
        <v>10</v>
      </c>
      <c r="C2654"/>
      <c r="D2654" t="s">
        <v>31</v>
      </c>
      <c r="E2654" t="s">
        <v>32</v>
      </c>
      <c r="F2654" t="s">
        <v>53</v>
      </c>
      <c r="G2654" s="118">
        <v>0.57379629629629625</v>
      </c>
      <c r="H2654" s="118">
        <v>3.4722222222222224E-4</v>
      </c>
      <c r="I2654" s="118">
        <v>8.449074074074075E-4</v>
      </c>
      <c r="J2654" s="118">
        <v>7.0717592592592594E-3</v>
      </c>
      <c r="K2654" s="118">
        <v>7.0717592592592594E-3</v>
      </c>
    </row>
    <row r="2655" spans="1:11" x14ac:dyDescent="0.25">
      <c r="A2655">
        <v>4</v>
      </c>
      <c r="B2655">
        <v>10</v>
      </c>
      <c r="C2655"/>
      <c r="D2655" t="s">
        <v>31</v>
      </c>
      <c r="E2655" t="s">
        <v>35</v>
      </c>
      <c r="F2655" t="s">
        <v>40</v>
      </c>
      <c r="G2655" s="118">
        <v>0.5738078703703704</v>
      </c>
      <c r="H2655" s="118">
        <v>4.8611111111111104E-4</v>
      </c>
      <c r="I2655" s="118">
        <v>4.6296296296296293E-4</v>
      </c>
      <c r="J2655"/>
      <c r="K2655"/>
    </row>
    <row r="2656" spans="1:11" x14ac:dyDescent="0.25">
      <c r="A2656">
        <v>2</v>
      </c>
      <c r="B2656">
        <v>10</v>
      </c>
      <c r="C2656"/>
      <c r="D2656" t="s">
        <v>31</v>
      </c>
      <c r="E2656" t="s">
        <v>35</v>
      </c>
      <c r="F2656" t="s">
        <v>48</v>
      </c>
      <c r="G2656" s="118">
        <v>0.57395833333333335</v>
      </c>
      <c r="H2656" s="118">
        <v>9.1435185185185185E-4</v>
      </c>
      <c r="I2656" s="118">
        <v>5.2083333333333333E-4</v>
      </c>
      <c r="J2656"/>
      <c r="K2656"/>
    </row>
    <row r="2657" spans="1:11" x14ac:dyDescent="0.25">
      <c r="A2657">
        <v>3</v>
      </c>
      <c r="B2657">
        <v>10</v>
      </c>
      <c r="C2657"/>
      <c r="D2657" t="s">
        <v>31</v>
      </c>
      <c r="E2657" t="s">
        <v>35</v>
      </c>
      <c r="F2657" t="s">
        <v>43</v>
      </c>
      <c r="G2657" s="118">
        <v>0.5741087962962963</v>
      </c>
      <c r="H2657" s="118">
        <v>1.0995370370370371E-3</v>
      </c>
      <c r="I2657" s="118">
        <v>3.4722222222222224E-4</v>
      </c>
      <c r="J2657"/>
      <c r="K2657"/>
    </row>
    <row r="2658" spans="1:11" x14ac:dyDescent="0.25">
      <c r="A2658">
        <v>4</v>
      </c>
      <c r="B2658">
        <v>10</v>
      </c>
      <c r="C2658"/>
      <c r="D2658" t="s">
        <v>31</v>
      </c>
      <c r="E2658" t="s">
        <v>32</v>
      </c>
      <c r="F2658" t="s">
        <v>40</v>
      </c>
      <c r="G2658" s="118">
        <v>0.5742708333333334</v>
      </c>
      <c r="H2658" s="118">
        <v>4.6296296296296293E-4</v>
      </c>
      <c r="I2658" s="118">
        <v>1.0069444444444444E-3</v>
      </c>
      <c r="J2658" s="118">
        <v>7.0717592592592594E-3</v>
      </c>
      <c r="K2658" s="118">
        <v>7.0717592592592594E-3</v>
      </c>
    </row>
    <row r="2659" spans="1:11" x14ac:dyDescent="0.25">
      <c r="A2659">
        <v>3</v>
      </c>
      <c r="B2659">
        <v>10</v>
      </c>
      <c r="C2659"/>
      <c r="D2659" t="s">
        <v>31</v>
      </c>
      <c r="E2659" t="s">
        <v>32</v>
      </c>
      <c r="F2659" t="s">
        <v>43</v>
      </c>
      <c r="G2659" s="118">
        <v>0.57445601851851846</v>
      </c>
      <c r="H2659" s="118">
        <v>3.4722222222222224E-4</v>
      </c>
      <c r="I2659" s="118">
        <v>1.1458333333333333E-3</v>
      </c>
      <c r="J2659" s="118">
        <v>7.0717592592592594E-3</v>
      </c>
      <c r="K2659" s="118">
        <v>7.0717592592592594E-3</v>
      </c>
    </row>
    <row r="2660" spans="1:11" x14ac:dyDescent="0.25">
      <c r="A2660">
        <v>2</v>
      </c>
      <c r="B2660">
        <v>10</v>
      </c>
      <c r="C2660"/>
      <c r="D2660" t="s">
        <v>31</v>
      </c>
      <c r="E2660" t="s">
        <v>32</v>
      </c>
      <c r="F2660" t="s">
        <v>48</v>
      </c>
      <c r="G2660" s="118">
        <v>0.57447916666666665</v>
      </c>
      <c r="H2660" s="118">
        <v>5.2083333333333333E-4</v>
      </c>
      <c r="I2660" s="118">
        <v>8.6805555555555551E-4</v>
      </c>
      <c r="J2660" s="118">
        <v>7.0717592592592594E-3</v>
      </c>
      <c r="K2660" s="118">
        <v>7.0717592592592594E-3</v>
      </c>
    </row>
    <row r="2661" spans="1:11" x14ac:dyDescent="0.25">
      <c r="A2661">
        <v>5</v>
      </c>
      <c r="B2661">
        <v>11</v>
      </c>
      <c r="C2661"/>
      <c r="D2661" t="s">
        <v>31</v>
      </c>
      <c r="E2661" t="s">
        <v>35</v>
      </c>
      <c r="F2661" t="s">
        <v>39</v>
      </c>
      <c r="G2661" s="118">
        <v>0.5744907407407408</v>
      </c>
      <c r="H2661" s="118">
        <v>9.3750000000000007E-4</v>
      </c>
      <c r="I2661" s="118">
        <v>5.2083333333333333E-4</v>
      </c>
      <c r="J2661"/>
      <c r="K2661"/>
    </row>
    <row r="2662" spans="1:11" x14ac:dyDescent="0.25">
      <c r="A2662">
        <v>1</v>
      </c>
      <c r="B2662">
        <v>10</v>
      </c>
      <c r="C2662"/>
      <c r="D2662" t="s">
        <v>31</v>
      </c>
      <c r="E2662" t="s">
        <v>35</v>
      </c>
      <c r="F2662" t="s">
        <v>34</v>
      </c>
      <c r="G2662" s="118">
        <v>0.57464120370370375</v>
      </c>
      <c r="H2662" s="118">
        <v>8.449074074074075E-4</v>
      </c>
      <c r="I2662" s="118">
        <v>3.4722222222222224E-4</v>
      </c>
      <c r="J2662"/>
      <c r="K2662"/>
    </row>
    <row r="2663" spans="1:11" x14ac:dyDescent="0.25">
      <c r="A2663">
        <v>1</v>
      </c>
      <c r="B2663">
        <v>10</v>
      </c>
      <c r="C2663"/>
      <c r="D2663" t="s">
        <v>31</v>
      </c>
      <c r="E2663" t="s">
        <v>32</v>
      </c>
      <c r="F2663" t="s">
        <v>34</v>
      </c>
      <c r="G2663" s="118">
        <v>0.57498842592592592</v>
      </c>
      <c r="H2663" s="118">
        <v>3.4722222222222224E-4</v>
      </c>
      <c r="I2663" s="118">
        <v>9.1435185185185185E-4</v>
      </c>
      <c r="J2663" s="118">
        <v>7.0717592592592594E-3</v>
      </c>
      <c r="K2663" s="118">
        <v>7.0717592592592594E-3</v>
      </c>
    </row>
    <row r="2664" spans="1:11" x14ac:dyDescent="0.25">
      <c r="A2664">
        <v>5</v>
      </c>
      <c r="B2664">
        <v>11</v>
      </c>
      <c r="C2664"/>
      <c r="D2664" t="s">
        <v>31</v>
      </c>
      <c r="E2664" t="s">
        <v>32</v>
      </c>
      <c r="F2664" t="s">
        <v>39</v>
      </c>
      <c r="G2664" s="118">
        <v>0.57501157407407411</v>
      </c>
      <c r="H2664" s="118">
        <v>5.2083333333333333E-4</v>
      </c>
      <c r="I2664" s="118">
        <v>1.8055555555555557E-3</v>
      </c>
      <c r="J2664" s="118">
        <v>7.0717592592592594E-3</v>
      </c>
      <c r="K2664" s="118">
        <v>7.0717592592592594E-3</v>
      </c>
    </row>
    <row r="2665" spans="1:11" x14ac:dyDescent="0.25">
      <c r="A2665">
        <v>4</v>
      </c>
      <c r="B2665">
        <v>10</v>
      </c>
      <c r="C2665"/>
      <c r="D2665" t="s">
        <v>31</v>
      </c>
      <c r="E2665" t="s">
        <v>35</v>
      </c>
      <c r="F2665" t="s">
        <v>44</v>
      </c>
      <c r="G2665" s="118">
        <v>0.57527777777777778</v>
      </c>
      <c r="H2665" s="118">
        <v>1.0069444444444444E-3</v>
      </c>
      <c r="I2665" s="118">
        <v>3.4722222222222224E-4</v>
      </c>
      <c r="J2665"/>
      <c r="K2665"/>
    </row>
    <row r="2666" spans="1:11" x14ac:dyDescent="0.25">
      <c r="A2666">
        <v>2</v>
      </c>
      <c r="B2666">
        <v>10</v>
      </c>
      <c r="C2666"/>
      <c r="D2666" t="s">
        <v>31</v>
      </c>
      <c r="E2666" t="s">
        <v>35</v>
      </c>
      <c r="F2666" t="s">
        <v>54</v>
      </c>
      <c r="G2666" s="118">
        <v>0.57534722222222223</v>
      </c>
      <c r="H2666" s="118">
        <v>8.6805555555555551E-4</v>
      </c>
      <c r="I2666" s="118">
        <v>3.4722222222222224E-4</v>
      </c>
      <c r="J2666"/>
      <c r="K2666"/>
    </row>
    <row r="2667" spans="1:11" x14ac:dyDescent="0.25">
      <c r="A2667">
        <v>3</v>
      </c>
      <c r="B2667">
        <v>10</v>
      </c>
      <c r="C2667"/>
      <c r="D2667" t="s">
        <v>31</v>
      </c>
      <c r="E2667" t="s">
        <v>35</v>
      </c>
      <c r="F2667" t="s">
        <v>50</v>
      </c>
      <c r="G2667" s="118">
        <v>0.57560185185185186</v>
      </c>
      <c r="H2667" s="118">
        <v>1.1458333333333333E-3</v>
      </c>
      <c r="I2667" s="118">
        <v>3.4722222222222224E-4</v>
      </c>
      <c r="J2667"/>
      <c r="K2667"/>
    </row>
    <row r="2668" spans="1:11" x14ac:dyDescent="0.25">
      <c r="A2668">
        <v>4</v>
      </c>
      <c r="B2668">
        <v>10</v>
      </c>
      <c r="C2668"/>
      <c r="D2668" t="s">
        <v>31</v>
      </c>
      <c r="E2668" t="s">
        <v>32</v>
      </c>
      <c r="F2668" t="s">
        <v>44</v>
      </c>
      <c r="G2668" s="118">
        <v>0.57562499999999994</v>
      </c>
      <c r="H2668" s="118">
        <v>3.4722222222222224E-4</v>
      </c>
      <c r="I2668" s="118">
        <v>9.2592592592592585E-4</v>
      </c>
      <c r="J2668" s="118">
        <v>7.0717592592592594E-3</v>
      </c>
      <c r="K2668" s="118">
        <v>7.0717592592592594E-3</v>
      </c>
    </row>
    <row r="2669" spans="1:11" x14ac:dyDescent="0.25">
      <c r="A2669">
        <v>2</v>
      </c>
      <c r="B2669">
        <v>10</v>
      </c>
      <c r="C2669"/>
      <c r="D2669" t="s">
        <v>31</v>
      </c>
      <c r="E2669" t="s">
        <v>32</v>
      </c>
      <c r="F2669" t="s">
        <v>54</v>
      </c>
      <c r="G2669" s="118">
        <v>0.5756944444444444</v>
      </c>
      <c r="H2669" s="118">
        <v>3.4722222222222224E-4</v>
      </c>
      <c r="I2669" s="118">
        <v>6.9444444444444447E-4</v>
      </c>
      <c r="J2669" s="118">
        <v>7.0717592592592594E-3</v>
      </c>
      <c r="K2669" s="118">
        <v>7.0717592592592594E-3</v>
      </c>
    </row>
    <row r="2670" spans="1:11" x14ac:dyDescent="0.25">
      <c r="A2670">
        <v>1</v>
      </c>
      <c r="B2670">
        <v>10</v>
      </c>
      <c r="C2670"/>
      <c r="D2670" t="s">
        <v>31</v>
      </c>
      <c r="E2670" t="s">
        <v>35</v>
      </c>
      <c r="F2670" t="s">
        <v>38</v>
      </c>
      <c r="G2670" s="118">
        <v>0.57590277777777776</v>
      </c>
      <c r="H2670" s="118">
        <v>9.1435185185185185E-4</v>
      </c>
      <c r="I2670" s="118">
        <v>3.4722222222222224E-4</v>
      </c>
      <c r="J2670"/>
      <c r="K2670"/>
    </row>
    <row r="2671" spans="1:11" x14ac:dyDescent="0.25">
      <c r="A2671">
        <v>3</v>
      </c>
      <c r="B2671">
        <v>10</v>
      </c>
      <c r="C2671"/>
      <c r="D2671" t="s">
        <v>31</v>
      </c>
      <c r="E2671" t="s">
        <v>32</v>
      </c>
      <c r="F2671" t="s">
        <v>50</v>
      </c>
      <c r="G2671" s="118">
        <v>0.57594907407407414</v>
      </c>
      <c r="H2671" s="118">
        <v>3.4722222222222224E-4</v>
      </c>
      <c r="I2671" s="118">
        <v>1.261574074074074E-3</v>
      </c>
      <c r="J2671" s="118">
        <v>7.0717592592592594E-3</v>
      </c>
      <c r="K2671" s="118">
        <v>7.0717592592592594E-3</v>
      </c>
    </row>
    <row r="2672" spans="1:11" x14ac:dyDescent="0.25">
      <c r="A2672">
        <v>1</v>
      </c>
      <c r="B2672">
        <v>10</v>
      </c>
      <c r="C2672"/>
      <c r="D2672" t="s">
        <v>31</v>
      </c>
      <c r="E2672" t="s">
        <v>32</v>
      </c>
      <c r="F2672" t="s">
        <v>38</v>
      </c>
      <c r="G2672" s="118">
        <v>0.57625000000000004</v>
      </c>
      <c r="H2672" s="118">
        <v>3.4722222222222224E-4</v>
      </c>
      <c r="I2672" s="118">
        <v>1.2384259259259258E-3</v>
      </c>
      <c r="J2672" s="118">
        <v>7.0717592592592594E-3</v>
      </c>
      <c r="K2672" s="118">
        <v>7.0717592592592594E-3</v>
      </c>
    </row>
    <row r="2673" spans="1:11" x14ac:dyDescent="0.25">
      <c r="A2673">
        <v>2</v>
      </c>
      <c r="B2673">
        <v>10</v>
      </c>
      <c r="C2673"/>
      <c r="D2673" t="s">
        <v>31</v>
      </c>
      <c r="E2673" t="s">
        <v>35</v>
      </c>
      <c r="F2673" t="s">
        <v>92</v>
      </c>
      <c r="G2673" s="118">
        <v>0.57638888888888895</v>
      </c>
      <c r="H2673" s="118">
        <v>6.9444444444444447E-4</v>
      </c>
      <c r="I2673" s="118">
        <v>5.2083333333333333E-4</v>
      </c>
      <c r="J2673"/>
      <c r="K2673"/>
    </row>
    <row r="2674" spans="1:11" x14ac:dyDescent="0.25">
      <c r="A2674">
        <v>4</v>
      </c>
      <c r="B2674">
        <v>10</v>
      </c>
      <c r="C2674"/>
      <c r="D2674" t="s">
        <v>31</v>
      </c>
      <c r="E2674" t="s">
        <v>35</v>
      </c>
      <c r="F2674" t="s">
        <v>49</v>
      </c>
      <c r="G2674" s="118">
        <v>0.57655092592592594</v>
      </c>
      <c r="H2674" s="118">
        <v>9.2592592592592585E-4</v>
      </c>
      <c r="I2674" s="118">
        <v>3.4722222222222224E-4</v>
      </c>
      <c r="J2674"/>
      <c r="K2674"/>
    </row>
    <row r="2675" spans="1:11" x14ac:dyDescent="0.25">
      <c r="A2675">
        <v>5</v>
      </c>
      <c r="B2675">
        <v>11</v>
      </c>
      <c r="C2675"/>
      <c r="D2675" t="s">
        <v>31</v>
      </c>
      <c r="E2675" t="s">
        <v>35</v>
      </c>
      <c r="F2675" t="s">
        <v>46</v>
      </c>
      <c r="G2675" s="118">
        <v>0.57681712962962961</v>
      </c>
      <c r="H2675" s="118">
        <v>1.8055555555555557E-3</v>
      </c>
      <c r="I2675" s="118">
        <v>3.4722222222222224E-4</v>
      </c>
      <c r="J2675"/>
      <c r="K2675"/>
    </row>
    <row r="2676" spans="1:11" x14ac:dyDescent="0.25">
      <c r="A2676">
        <v>4</v>
      </c>
      <c r="B2676">
        <v>10</v>
      </c>
      <c r="C2676"/>
      <c r="D2676" t="s">
        <v>31</v>
      </c>
      <c r="E2676" t="s">
        <v>32</v>
      </c>
      <c r="F2676" t="s">
        <v>49</v>
      </c>
      <c r="G2676" s="118">
        <v>0.57689814814814822</v>
      </c>
      <c r="H2676" s="118">
        <v>3.4722222222222224E-4</v>
      </c>
      <c r="I2676" s="118">
        <v>1.3541666666666667E-3</v>
      </c>
      <c r="J2676" s="118">
        <v>7.0717592592592594E-3</v>
      </c>
      <c r="K2676" s="118">
        <v>7.0717592592592594E-3</v>
      </c>
    </row>
    <row r="2677" spans="1:11" x14ac:dyDescent="0.25">
      <c r="A2677">
        <v>2</v>
      </c>
      <c r="B2677">
        <v>11</v>
      </c>
      <c r="C2677"/>
      <c r="D2677" t="s">
        <v>31</v>
      </c>
      <c r="E2677" t="s">
        <v>32</v>
      </c>
      <c r="F2677" t="s">
        <v>92</v>
      </c>
      <c r="G2677" s="118">
        <v>0.57690972222222225</v>
      </c>
      <c r="H2677" s="118">
        <v>5.2083333333333333E-4</v>
      </c>
      <c r="I2677" s="118">
        <v>1.0069444444444444E-3</v>
      </c>
      <c r="J2677" s="118">
        <v>7.0717592592592594E-3</v>
      </c>
      <c r="K2677" s="118">
        <v>7.0717592592592594E-3</v>
      </c>
    </row>
    <row r="2678" spans="1:11" x14ac:dyDescent="0.25">
      <c r="A2678">
        <v>5</v>
      </c>
      <c r="B2678">
        <v>11</v>
      </c>
      <c r="C2678"/>
      <c r="D2678" t="s">
        <v>31</v>
      </c>
      <c r="E2678" t="s">
        <v>32</v>
      </c>
      <c r="F2678" t="s">
        <v>46</v>
      </c>
      <c r="G2678" s="118">
        <v>0.57716435185185189</v>
      </c>
      <c r="H2678" s="118">
        <v>3.4722222222222224E-4</v>
      </c>
      <c r="I2678" s="118">
        <v>9.1435185185185185E-4</v>
      </c>
      <c r="J2678" s="118">
        <v>7.0717592592592594E-3</v>
      </c>
      <c r="K2678" s="118">
        <v>7.0717592592592594E-3</v>
      </c>
    </row>
    <row r="2679" spans="1:11" x14ac:dyDescent="0.25">
      <c r="A2679">
        <v>3</v>
      </c>
      <c r="B2679">
        <v>10</v>
      </c>
      <c r="C2679"/>
      <c r="D2679" t="s">
        <v>31</v>
      </c>
      <c r="E2679" t="s">
        <v>35</v>
      </c>
      <c r="F2679" t="s">
        <v>56</v>
      </c>
      <c r="G2679" s="118">
        <v>0.57721064814814815</v>
      </c>
      <c r="H2679" s="118">
        <v>1.261574074074074E-3</v>
      </c>
      <c r="I2679" s="118">
        <v>3.4722222222222224E-4</v>
      </c>
      <c r="J2679"/>
      <c r="K2679"/>
    </row>
    <row r="2680" spans="1:11" x14ac:dyDescent="0.25">
      <c r="A2680">
        <v>1</v>
      </c>
      <c r="B2680">
        <v>10</v>
      </c>
      <c r="C2680"/>
      <c r="D2680" t="s">
        <v>31</v>
      </c>
      <c r="E2680" t="s">
        <v>35</v>
      </c>
      <c r="F2680" t="s">
        <v>45</v>
      </c>
      <c r="G2680" s="118">
        <v>0.57748842592592597</v>
      </c>
      <c r="H2680" s="118">
        <v>1.2384259259259258E-3</v>
      </c>
      <c r="I2680" s="118">
        <v>3.4722222222222224E-4</v>
      </c>
      <c r="J2680"/>
      <c r="K2680"/>
    </row>
    <row r="2681" spans="1:11" x14ac:dyDescent="0.25">
      <c r="A2681">
        <v>3</v>
      </c>
      <c r="B2681">
        <v>10</v>
      </c>
      <c r="C2681"/>
      <c r="D2681" t="s">
        <v>31</v>
      </c>
      <c r="E2681" t="s">
        <v>32</v>
      </c>
      <c r="F2681" t="s">
        <v>56</v>
      </c>
      <c r="G2681" s="118">
        <v>0.57755787037037043</v>
      </c>
      <c r="H2681" s="118">
        <v>3.4722222222222224E-4</v>
      </c>
      <c r="I2681" s="118">
        <v>9.6064814814814808E-4</v>
      </c>
      <c r="J2681" s="118">
        <v>7.0717592592592594E-3</v>
      </c>
      <c r="K2681" s="118">
        <v>7.0717592592592594E-3</v>
      </c>
    </row>
    <row r="2682" spans="1:11" x14ac:dyDescent="0.25">
      <c r="A2682">
        <v>1</v>
      </c>
      <c r="B2682">
        <v>10</v>
      </c>
      <c r="C2682"/>
      <c r="D2682" t="s">
        <v>31</v>
      </c>
      <c r="E2682" t="s">
        <v>32</v>
      </c>
      <c r="F2682" t="s">
        <v>45</v>
      </c>
      <c r="G2682" s="118">
        <v>0.57783564814814814</v>
      </c>
      <c r="H2682" s="118">
        <v>3.4722222222222224E-4</v>
      </c>
      <c r="I2682" s="118">
        <v>1.0416666666666667E-3</v>
      </c>
      <c r="J2682" s="118">
        <v>7.0717592592592594E-3</v>
      </c>
      <c r="K2682" s="118">
        <v>7.0717592592592594E-3</v>
      </c>
    </row>
    <row r="2683" spans="1:11" x14ac:dyDescent="0.25">
      <c r="A2683">
        <v>2</v>
      </c>
      <c r="B2683">
        <v>11</v>
      </c>
      <c r="C2683"/>
      <c r="D2683" t="s">
        <v>31</v>
      </c>
      <c r="E2683" t="s">
        <v>35</v>
      </c>
      <c r="F2683" t="s">
        <v>41</v>
      </c>
      <c r="G2683" s="118">
        <v>0.57791666666666663</v>
      </c>
      <c r="H2683" s="118">
        <v>1.0069444444444444E-3</v>
      </c>
      <c r="I2683" s="118">
        <v>3.4722222222222224E-4</v>
      </c>
      <c r="J2683"/>
      <c r="K2683"/>
    </row>
    <row r="2684" spans="1:11" x14ac:dyDescent="0.25">
      <c r="A2684">
        <v>5</v>
      </c>
      <c r="B2684">
        <v>11</v>
      </c>
      <c r="C2684"/>
      <c r="D2684" t="s">
        <v>31</v>
      </c>
      <c r="E2684" t="s">
        <v>35</v>
      </c>
      <c r="F2684" t="s">
        <v>51</v>
      </c>
      <c r="G2684" s="118">
        <v>0.57807870370370373</v>
      </c>
      <c r="H2684" s="118">
        <v>9.1435185185185185E-4</v>
      </c>
      <c r="I2684" s="118">
        <v>3.4722222222222224E-4</v>
      </c>
      <c r="J2684"/>
      <c r="K2684"/>
    </row>
    <row r="2685" spans="1:11" x14ac:dyDescent="0.25">
      <c r="A2685">
        <v>4</v>
      </c>
      <c r="B2685">
        <v>10</v>
      </c>
      <c r="C2685"/>
      <c r="D2685" t="s">
        <v>31</v>
      </c>
      <c r="E2685" t="s">
        <v>35</v>
      </c>
      <c r="F2685" t="s">
        <v>33</v>
      </c>
      <c r="G2685" s="118">
        <v>0.57825231481481476</v>
      </c>
      <c r="H2685" s="118">
        <v>1.3541666666666667E-3</v>
      </c>
      <c r="I2685" s="118">
        <v>5.2083333333333333E-4</v>
      </c>
      <c r="J2685"/>
      <c r="K2685"/>
    </row>
    <row r="2686" spans="1:11" x14ac:dyDescent="0.25">
      <c r="A2686">
        <v>2</v>
      </c>
      <c r="B2686">
        <v>11</v>
      </c>
      <c r="C2686"/>
      <c r="D2686" t="s">
        <v>31</v>
      </c>
      <c r="E2686" t="s">
        <v>32</v>
      </c>
      <c r="F2686" t="s">
        <v>41</v>
      </c>
      <c r="G2686" s="118">
        <v>0.57826388888888891</v>
      </c>
      <c r="H2686" s="118">
        <v>3.4722222222222224E-4</v>
      </c>
      <c r="I2686" s="118">
        <v>8.564814814814815E-4</v>
      </c>
      <c r="J2686" s="118">
        <v>7.0717592592592594E-3</v>
      </c>
      <c r="K2686" s="118">
        <v>7.0717592592592594E-3</v>
      </c>
    </row>
    <row r="2687" spans="1:11" x14ac:dyDescent="0.25">
      <c r="A2687">
        <v>5</v>
      </c>
      <c r="B2687">
        <v>11</v>
      </c>
      <c r="C2687"/>
      <c r="D2687" t="s">
        <v>31</v>
      </c>
      <c r="E2687" t="s">
        <v>32</v>
      </c>
      <c r="F2687" t="s">
        <v>51</v>
      </c>
      <c r="G2687" s="118">
        <v>0.5784259259259259</v>
      </c>
      <c r="H2687" s="118">
        <v>3.4722222222222224E-4</v>
      </c>
      <c r="I2687" s="118">
        <v>1.0069444444444444E-3</v>
      </c>
      <c r="J2687" s="118">
        <v>7.0717592592592594E-3</v>
      </c>
      <c r="K2687" s="118">
        <v>7.0717592592592594E-3</v>
      </c>
    </row>
    <row r="2688" spans="1:11" x14ac:dyDescent="0.25">
      <c r="A2688">
        <v>3</v>
      </c>
      <c r="B2688">
        <v>10</v>
      </c>
      <c r="C2688"/>
      <c r="D2688" t="s">
        <v>31</v>
      </c>
      <c r="E2688" t="s">
        <v>35</v>
      </c>
      <c r="F2688" t="s">
        <v>37</v>
      </c>
      <c r="G2688" s="118">
        <v>0.57851851851851854</v>
      </c>
      <c r="H2688" s="118">
        <v>9.6064814814814808E-4</v>
      </c>
      <c r="I2688" s="118">
        <v>3.4722222222222224E-4</v>
      </c>
      <c r="J2688"/>
      <c r="K2688"/>
    </row>
    <row r="2689" spans="1:11" x14ac:dyDescent="0.25">
      <c r="A2689">
        <v>4</v>
      </c>
      <c r="B2689">
        <v>10</v>
      </c>
      <c r="C2689"/>
      <c r="D2689" t="s">
        <v>31</v>
      </c>
      <c r="E2689" t="s">
        <v>32</v>
      </c>
      <c r="F2689" t="s">
        <v>33</v>
      </c>
      <c r="G2689" s="118">
        <v>0.57877314814814818</v>
      </c>
      <c r="H2689" s="118">
        <v>5.2083333333333333E-4</v>
      </c>
      <c r="I2689" s="118">
        <v>9.6064814814814808E-4</v>
      </c>
      <c r="J2689" s="118">
        <v>7.0717592592592594E-3</v>
      </c>
      <c r="K2689" s="118">
        <v>7.0717592592592594E-3</v>
      </c>
    </row>
    <row r="2690" spans="1:11" x14ac:dyDescent="0.25">
      <c r="A2690">
        <v>3</v>
      </c>
      <c r="B2690">
        <v>10</v>
      </c>
      <c r="C2690"/>
      <c r="D2690" t="s">
        <v>31</v>
      </c>
      <c r="E2690" t="s">
        <v>32</v>
      </c>
      <c r="F2690" t="s">
        <v>37</v>
      </c>
      <c r="G2690" s="118">
        <v>0.57886574074074071</v>
      </c>
      <c r="H2690" s="118">
        <v>3.4722222222222224E-4</v>
      </c>
      <c r="I2690" s="118">
        <v>9.0277777777777784E-4</v>
      </c>
      <c r="J2690" s="118">
        <v>7.0717592592592594E-3</v>
      </c>
      <c r="K2690" s="118">
        <v>7.0717592592592594E-3</v>
      </c>
    </row>
    <row r="2691" spans="1:11" x14ac:dyDescent="0.25">
      <c r="A2691">
        <v>1</v>
      </c>
      <c r="B2691">
        <v>10</v>
      </c>
      <c r="C2691"/>
      <c r="D2691" t="s">
        <v>31</v>
      </c>
      <c r="E2691" t="s">
        <v>35</v>
      </c>
      <c r="F2691" t="s">
        <v>52</v>
      </c>
      <c r="G2691" s="118">
        <v>0.57887731481481486</v>
      </c>
      <c r="H2691" s="118">
        <v>1.0416666666666667E-3</v>
      </c>
      <c r="I2691" s="118">
        <v>3.4722222222222224E-4</v>
      </c>
      <c r="J2691"/>
      <c r="K2691"/>
    </row>
    <row r="2692" spans="1:11" x14ac:dyDescent="0.25">
      <c r="A2692">
        <v>2</v>
      </c>
      <c r="B2692">
        <v>11</v>
      </c>
      <c r="C2692"/>
      <c r="D2692" t="s">
        <v>31</v>
      </c>
      <c r="E2692" t="s">
        <v>35</v>
      </c>
      <c r="F2692" t="s">
        <v>47</v>
      </c>
      <c r="G2692" s="118">
        <v>0.57912037037037034</v>
      </c>
      <c r="H2692" s="118">
        <v>8.564814814814815E-4</v>
      </c>
      <c r="I2692" s="118">
        <v>5.2083333333333333E-4</v>
      </c>
      <c r="J2692"/>
      <c r="K2692"/>
    </row>
    <row r="2693" spans="1:11" x14ac:dyDescent="0.25">
      <c r="A2693">
        <v>1</v>
      </c>
      <c r="B2693">
        <v>10</v>
      </c>
      <c r="C2693"/>
      <c r="D2693" t="s">
        <v>31</v>
      </c>
      <c r="E2693" t="s">
        <v>32</v>
      </c>
      <c r="F2693" t="s">
        <v>52</v>
      </c>
      <c r="G2693" s="118">
        <v>0.57922453703703702</v>
      </c>
      <c r="H2693" s="118">
        <v>3.4722222222222224E-4</v>
      </c>
      <c r="I2693" s="118">
        <v>1.0532407407407407E-3</v>
      </c>
      <c r="J2693" s="118">
        <v>7.0717592592592594E-3</v>
      </c>
      <c r="K2693" s="118">
        <v>7.0717592592592594E-3</v>
      </c>
    </row>
    <row r="2694" spans="1:11" x14ac:dyDescent="0.25">
      <c r="A2694">
        <v>5</v>
      </c>
      <c r="B2694">
        <v>11</v>
      </c>
      <c r="C2694"/>
      <c r="D2694" t="s">
        <v>31</v>
      </c>
      <c r="E2694" t="s">
        <v>35</v>
      </c>
      <c r="F2694" t="s">
        <v>55</v>
      </c>
      <c r="G2694" s="118">
        <v>0.57943287037037039</v>
      </c>
      <c r="H2694" s="118">
        <v>1.0069444444444444E-3</v>
      </c>
      <c r="I2694" s="118">
        <v>4.6296296296296293E-4</v>
      </c>
      <c r="J2694"/>
      <c r="K2694"/>
    </row>
    <row r="2695" spans="1:11" x14ac:dyDescent="0.25">
      <c r="A2695">
        <v>2</v>
      </c>
      <c r="B2695">
        <v>11</v>
      </c>
      <c r="C2695"/>
      <c r="D2695" t="s">
        <v>31</v>
      </c>
      <c r="E2695" t="s">
        <v>32</v>
      </c>
      <c r="F2695" t="s">
        <v>47</v>
      </c>
      <c r="G2695" s="118">
        <v>0.57964120370370364</v>
      </c>
      <c r="H2695" s="118">
        <v>5.2083333333333333E-4</v>
      </c>
      <c r="I2695" s="118">
        <v>8.7962962962962962E-4</v>
      </c>
      <c r="J2695" s="118">
        <v>7.0717592592592594E-3</v>
      </c>
      <c r="K2695" s="118">
        <v>7.0717592592592594E-3</v>
      </c>
    </row>
    <row r="2696" spans="1:11" x14ac:dyDescent="0.25">
      <c r="A2696">
        <v>4</v>
      </c>
      <c r="B2696">
        <v>10</v>
      </c>
      <c r="C2696"/>
      <c r="D2696" t="s">
        <v>31</v>
      </c>
      <c r="E2696" t="s">
        <v>35</v>
      </c>
      <c r="F2696" t="s">
        <v>36</v>
      </c>
      <c r="G2696" s="118">
        <v>0.57973379629629629</v>
      </c>
      <c r="H2696" s="118">
        <v>9.6064814814814808E-4</v>
      </c>
      <c r="I2696" s="118">
        <v>3.4722222222222224E-4</v>
      </c>
      <c r="J2696"/>
      <c r="K2696"/>
    </row>
    <row r="2697" spans="1:11" x14ac:dyDescent="0.25">
      <c r="A2697">
        <v>3</v>
      </c>
      <c r="B2697">
        <v>10</v>
      </c>
      <c r="C2697"/>
      <c r="D2697" t="s">
        <v>31</v>
      </c>
      <c r="E2697" t="s">
        <v>35</v>
      </c>
      <c r="F2697" t="s">
        <v>42</v>
      </c>
      <c r="G2697" s="118">
        <v>0.57976851851851852</v>
      </c>
      <c r="H2697" s="118">
        <v>9.0277777777777784E-4</v>
      </c>
      <c r="I2697" s="118">
        <v>3.4722222222222224E-4</v>
      </c>
      <c r="J2697"/>
      <c r="K2697"/>
    </row>
    <row r="2698" spans="1:11" x14ac:dyDescent="0.25">
      <c r="A2698">
        <v>5</v>
      </c>
      <c r="B2698">
        <v>11</v>
      </c>
      <c r="C2698"/>
      <c r="D2698" t="s">
        <v>31</v>
      </c>
      <c r="E2698" t="s">
        <v>32</v>
      </c>
      <c r="F2698" t="s">
        <v>55</v>
      </c>
      <c r="G2698" s="118">
        <v>0.57989583333333339</v>
      </c>
      <c r="H2698" s="118">
        <v>4.6296296296296293E-4</v>
      </c>
      <c r="I2698" s="118">
        <v>4.3981481481481481E-4</v>
      </c>
      <c r="J2698" s="118">
        <v>7.0717592592592594E-3</v>
      </c>
      <c r="K2698" s="118">
        <v>7.0717592592592594E-3</v>
      </c>
    </row>
    <row r="2699" spans="1:11" x14ac:dyDescent="0.25">
      <c r="A2699">
        <v>4</v>
      </c>
      <c r="B2699">
        <v>10</v>
      </c>
      <c r="C2699"/>
      <c r="D2699" t="s">
        <v>31</v>
      </c>
      <c r="E2699" t="s">
        <v>32</v>
      </c>
      <c r="F2699" t="s">
        <v>36</v>
      </c>
      <c r="G2699" s="118">
        <v>0.58008101851851845</v>
      </c>
      <c r="H2699" s="118">
        <v>3.4722222222222224E-4</v>
      </c>
      <c r="I2699" s="118">
        <v>1.0995370370370371E-3</v>
      </c>
      <c r="J2699" s="118">
        <v>7.0717592592592594E-3</v>
      </c>
      <c r="K2699" s="118">
        <v>7.0717592592592594E-3</v>
      </c>
    </row>
    <row r="2700" spans="1:11" x14ac:dyDescent="0.25">
      <c r="A2700">
        <v>3</v>
      </c>
      <c r="B2700">
        <v>10</v>
      </c>
      <c r="C2700"/>
      <c r="D2700" t="s">
        <v>31</v>
      </c>
      <c r="E2700" t="s">
        <v>32</v>
      </c>
      <c r="F2700" t="s">
        <v>42</v>
      </c>
      <c r="G2700" s="118">
        <v>0.58011574074074079</v>
      </c>
      <c r="H2700" s="118">
        <v>3.4722222222222224E-4</v>
      </c>
      <c r="I2700" s="118">
        <v>9.1435185185185185E-4</v>
      </c>
      <c r="J2700" s="118">
        <v>7.0717592592592594E-3</v>
      </c>
      <c r="K2700" s="118">
        <v>7.0717592592592594E-3</v>
      </c>
    </row>
    <row r="2701" spans="1:11" x14ac:dyDescent="0.25">
      <c r="A2701">
        <v>1</v>
      </c>
      <c r="B2701">
        <v>10</v>
      </c>
      <c r="C2701"/>
      <c r="D2701" t="s">
        <v>31</v>
      </c>
      <c r="E2701" t="s">
        <v>35</v>
      </c>
      <c r="F2701" t="s">
        <v>57</v>
      </c>
      <c r="G2701" s="118">
        <v>0.58027777777777778</v>
      </c>
      <c r="H2701" s="118">
        <v>1.0532407407407407E-3</v>
      </c>
      <c r="I2701" s="118">
        <v>3.4722222222222224E-4</v>
      </c>
      <c r="J2701"/>
      <c r="K2701"/>
    </row>
    <row r="2702" spans="1:11" x14ac:dyDescent="0.25">
      <c r="A2702">
        <v>5</v>
      </c>
      <c r="B2702">
        <v>11</v>
      </c>
      <c r="C2702"/>
      <c r="D2702" t="s">
        <v>31</v>
      </c>
      <c r="E2702" t="s">
        <v>35</v>
      </c>
      <c r="F2702" t="s">
        <v>58</v>
      </c>
      <c r="G2702" s="118">
        <v>0.5803356481481482</v>
      </c>
      <c r="H2702" s="118">
        <v>4.3981481481481481E-4</v>
      </c>
      <c r="I2702" s="118">
        <v>5.7870370370370366E-5</v>
      </c>
      <c r="J2702"/>
      <c r="K2702"/>
    </row>
    <row r="2703" spans="1:11" x14ac:dyDescent="0.25">
      <c r="A2703">
        <v>5</v>
      </c>
      <c r="B2703">
        <v>11</v>
      </c>
      <c r="C2703"/>
      <c r="D2703" t="s">
        <v>31</v>
      </c>
      <c r="E2703" t="s">
        <v>32</v>
      </c>
      <c r="F2703" t="s">
        <v>58</v>
      </c>
      <c r="G2703" s="118">
        <v>0.5803935185185185</v>
      </c>
      <c r="H2703" s="118">
        <v>5.7870370370370366E-5</v>
      </c>
      <c r="I2703" s="118">
        <v>4.8611111111111104E-4</v>
      </c>
      <c r="J2703" s="118">
        <v>7.0717592592592594E-3</v>
      </c>
      <c r="K2703" s="118">
        <v>7.0717592592592594E-3</v>
      </c>
    </row>
    <row r="2704" spans="1:11" x14ac:dyDescent="0.25">
      <c r="A2704">
        <v>2</v>
      </c>
      <c r="B2704">
        <v>11</v>
      </c>
      <c r="C2704"/>
      <c r="D2704" t="s">
        <v>31</v>
      </c>
      <c r="E2704" t="s">
        <v>35</v>
      </c>
      <c r="F2704" t="s">
        <v>53</v>
      </c>
      <c r="G2704" s="118">
        <v>0.58052083333333326</v>
      </c>
      <c r="H2704" s="118">
        <v>8.7962962962962962E-4</v>
      </c>
      <c r="I2704" s="118">
        <v>3.4722222222222224E-4</v>
      </c>
      <c r="J2704"/>
      <c r="K2704"/>
    </row>
    <row r="2705" spans="1:11" x14ac:dyDescent="0.25">
      <c r="A2705">
        <v>1</v>
      </c>
      <c r="B2705">
        <v>10</v>
      </c>
      <c r="C2705"/>
      <c r="D2705" t="s">
        <v>31</v>
      </c>
      <c r="E2705" t="s">
        <v>32</v>
      </c>
      <c r="F2705" t="s">
        <v>57</v>
      </c>
      <c r="G2705" s="118">
        <v>0.58062500000000006</v>
      </c>
      <c r="H2705" s="118">
        <v>3.4722222222222224E-4</v>
      </c>
      <c r="I2705" s="118">
        <v>9.3750000000000007E-4</v>
      </c>
      <c r="J2705" s="118">
        <v>7.0717592592592594E-3</v>
      </c>
      <c r="K2705" s="118">
        <v>7.0717592592592594E-3</v>
      </c>
    </row>
    <row r="2706" spans="1:11" x14ac:dyDescent="0.25">
      <c r="A2706">
        <v>2</v>
      </c>
      <c r="B2706">
        <v>11</v>
      </c>
      <c r="C2706"/>
      <c r="D2706" t="s">
        <v>31</v>
      </c>
      <c r="E2706" t="s">
        <v>32</v>
      </c>
      <c r="F2706" t="s">
        <v>53</v>
      </c>
      <c r="G2706" s="118">
        <v>0.58086805555555554</v>
      </c>
      <c r="H2706" s="118">
        <v>3.4722222222222224E-4</v>
      </c>
      <c r="I2706" s="118">
        <v>8.449074074074075E-4</v>
      </c>
      <c r="J2706" s="118">
        <v>7.0717592592592594E-3</v>
      </c>
      <c r="K2706" s="118">
        <v>7.0717592592592594E-3</v>
      </c>
    </row>
    <row r="2707" spans="1:11" x14ac:dyDescent="0.25">
      <c r="A2707">
        <v>5</v>
      </c>
      <c r="B2707">
        <v>11</v>
      </c>
      <c r="C2707"/>
      <c r="D2707" t="s">
        <v>31</v>
      </c>
      <c r="E2707" t="s">
        <v>35</v>
      </c>
      <c r="F2707" t="s">
        <v>40</v>
      </c>
      <c r="G2707" s="118">
        <v>0.58087962962962958</v>
      </c>
      <c r="H2707" s="118">
        <v>4.8611111111111104E-4</v>
      </c>
      <c r="I2707" s="118">
        <v>4.6296296296296293E-4</v>
      </c>
      <c r="J2707"/>
      <c r="K2707"/>
    </row>
    <row r="2708" spans="1:11" x14ac:dyDescent="0.25">
      <c r="A2708">
        <v>3</v>
      </c>
      <c r="B2708">
        <v>10</v>
      </c>
      <c r="C2708"/>
      <c r="D2708" t="s">
        <v>31</v>
      </c>
      <c r="E2708" t="s">
        <v>35</v>
      </c>
      <c r="F2708" t="s">
        <v>48</v>
      </c>
      <c r="G2708" s="118">
        <v>0.58103009259259253</v>
      </c>
      <c r="H2708" s="118">
        <v>9.1435185185185185E-4</v>
      </c>
      <c r="I2708" s="118">
        <v>5.2083333333333333E-4</v>
      </c>
      <c r="J2708"/>
      <c r="K2708"/>
    </row>
    <row r="2709" spans="1:11" x14ac:dyDescent="0.25">
      <c r="A2709">
        <v>4</v>
      </c>
      <c r="B2709">
        <v>10</v>
      </c>
      <c r="C2709"/>
      <c r="D2709" t="s">
        <v>31</v>
      </c>
      <c r="E2709" t="s">
        <v>35</v>
      </c>
      <c r="F2709" t="s">
        <v>43</v>
      </c>
      <c r="G2709" s="118">
        <v>0.58118055555555559</v>
      </c>
      <c r="H2709" s="118">
        <v>1.0995370370370371E-3</v>
      </c>
      <c r="I2709" s="118">
        <v>3.4722222222222224E-4</v>
      </c>
      <c r="J2709"/>
      <c r="K2709"/>
    </row>
    <row r="2710" spans="1:11" x14ac:dyDescent="0.25">
      <c r="A2710">
        <v>5</v>
      </c>
      <c r="B2710">
        <v>11</v>
      </c>
      <c r="C2710"/>
      <c r="D2710" t="s">
        <v>31</v>
      </c>
      <c r="E2710" t="s">
        <v>32</v>
      </c>
      <c r="F2710" t="s">
        <v>40</v>
      </c>
      <c r="G2710" s="118">
        <v>0.58134259259259258</v>
      </c>
      <c r="H2710" s="118">
        <v>4.6296296296296293E-4</v>
      </c>
      <c r="I2710" s="118">
        <v>1.0069444444444444E-3</v>
      </c>
      <c r="J2710" s="118">
        <v>7.0717592592592594E-3</v>
      </c>
      <c r="K2710" s="118">
        <v>7.0717592592592594E-3</v>
      </c>
    </row>
    <row r="2711" spans="1:11" x14ac:dyDescent="0.25">
      <c r="A2711">
        <v>4</v>
      </c>
      <c r="B2711">
        <v>10</v>
      </c>
      <c r="C2711"/>
      <c r="D2711" t="s">
        <v>31</v>
      </c>
      <c r="E2711" t="s">
        <v>32</v>
      </c>
      <c r="F2711" t="s">
        <v>43</v>
      </c>
      <c r="G2711" s="118">
        <v>0.58152777777777775</v>
      </c>
      <c r="H2711" s="118">
        <v>3.4722222222222224E-4</v>
      </c>
      <c r="I2711" s="118">
        <v>1.1458333333333333E-3</v>
      </c>
      <c r="J2711" s="118">
        <v>7.0717592592592594E-3</v>
      </c>
      <c r="K2711" s="118">
        <v>7.0717592592592594E-3</v>
      </c>
    </row>
    <row r="2712" spans="1:11" x14ac:dyDescent="0.25">
      <c r="A2712">
        <v>3</v>
      </c>
      <c r="B2712">
        <v>10</v>
      </c>
      <c r="C2712"/>
      <c r="D2712" t="s">
        <v>31</v>
      </c>
      <c r="E2712" t="s">
        <v>32</v>
      </c>
      <c r="F2712" t="s">
        <v>48</v>
      </c>
      <c r="G2712" s="118">
        <v>0.58155092592592594</v>
      </c>
      <c r="H2712" s="118">
        <v>5.2083333333333333E-4</v>
      </c>
      <c r="I2712" s="118">
        <v>8.6805555555555551E-4</v>
      </c>
      <c r="J2712" s="118">
        <v>7.0717592592592594E-3</v>
      </c>
      <c r="K2712" s="118">
        <v>7.0717592592592594E-3</v>
      </c>
    </row>
    <row r="2713" spans="1:11" x14ac:dyDescent="0.25">
      <c r="A2713">
        <v>1</v>
      </c>
      <c r="B2713">
        <v>10</v>
      </c>
      <c r="C2713"/>
      <c r="D2713" t="s">
        <v>31</v>
      </c>
      <c r="E2713" t="s">
        <v>35</v>
      </c>
      <c r="F2713" t="s">
        <v>39</v>
      </c>
      <c r="G2713" s="118">
        <v>0.58156249999999998</v>
      </c>
      <c r="H2713" s="118">
        <v>9.3750000000000007E-4</v>
      </c>
      <c r="I2713" s="118">
        <v>5.2083333333333333E-4</v>
      </c>
      <c r="J2713"/>
      <c r="K2713"/>
    </row>
    <row r="2714" spans="1:11" x14ac:dyDescent="0.25">
      <c r="A2714">
        <v>2</v>
      </c>
      <c r="B2714">
        <v>11</v>
      </c>
      <c r="C2714"/>
      <c r="D2714" t="s">
        <v>31</v>
      </c>
      <c r="E2714" t="s">
        <v>35</v>
      </c>
      <c r="F2714" t="s">
        <v>34</v>
      </c>
      <c r="G2714" s="118">
        <v>0.58171296296296293</v>
      </c>
      <c r="H2714" s="118">
        <v>8.449074074074075E-4</v>
      </c>
      <c r="I2714" s="118">
        <v>3.4722222222222224E-4</v>
      </c>
      <c r="J2714"/>
      <c r="K2714"/>
    </row>
    <row r="2715" spans="1:11" x14ac:dyDescent="0.25">
      <c r="A2715">
        <v>2</v>
      </c>
      <c r="B2715">
        <v>11</v>
      </c>
      <c r="C2715"/>
      <c r="D2715" t="s">
        <v>31</v>
      </c>
      <c r="E2715" t="s">
        <v>32</v>
      </c>
      <c r="F2715" t="s">
        <v>34</v>
      </c>
      <c r="G2715" s="118">
        <v>0.58206018518518521</v>
      </c>
      <c r="H2715" s="118">
        <v>3.4722222222222224E-4</v>
      </c>
      <c r="I2715" s="118">
        <v>9.1435185185185185E-4</v>
      </c>
      <c r="J2715" s="118">
        <v>7.0717592592592594E-3</v>
      </c>
      <c r="K2715" s="118">
        <v>7.0717592592592594E-3</v>
      </c>
    </row>
    <row r="2716" spans="1:11" x14ac:dyDescent="0.25">
      <c r="A2716">
        <v>1</v>
      </c>
      <c r="B2716">
        <v>10</v>
      </c>
      <c r="C2716"/>
      <c r="D2716" t="s">
        <v>31</v>
      </c>
      <c r="E2716" t="s">
        <v>32</v>
      </c>
      <c r="F2716" t="s">
        <v>39</v>
      </c>
      <c r="G2716" s="118">
        <v>0.5820833333333334</v>
      </c>
      <c r="H2716" s="118">
        <v>5.2083333333333333E-4</v>
      </c>
      <c r="I2716" s="118">
        <v>1.8055555555555557E-3</v>
      </c>
      <c r="J2716" s="118">
        <v>7.0717592592592594E-3</v>
      </c>
      <c r="K2716" s="118">
        <v>7.0717592592592594E-3</v>
      </c>
    </row>
    <row r="2717" spans="1:11" x14ac:dyDescent="0.25">
      <c r="A2717">
        <v>5</v>
      </c>
      <c r="B2717">
        <v>11</v>
      </c>
      <c r="C2717"/>
      <c r="D2717" t="s">
        <v>31</v>
      </c>
      <c r="E2717" t="s">
        <v>35</v>
      </c>
      <c r="F2717" t="s">
        <v>44</v>
      </c>
      <c r="G2717" s="118">
        <v>0.58234953703703707</v>
      </c>
      <c r="H2717" s="118">
        <v>1.0069444444444444E-3</v>
      </c>
      <c r="I2717" s="118">
        <v>3.4722222222222224E-4</v>
      </c>
      <c r="J2717"/>
      <c r="K2717"/>
    </row>
    <row r="2718" spans="1:11" x14ac:dyDescent="0.25">
      <c r="A2718">
        <v>3</v>
      </c>
      <c r="B2718">
        <v>10</v>
      </c>
      <c r="C2718"/>
      <c r="D2718" t="s">
        <v>31</v>
      </c>
      <c r="E2718" t="s">
        <v>35</v>
      </c>
      <c r="F2718" t="s">
        <v>54</v>
      </c>
      <c r="G2718" s="118">
        <v>0.58241898148148141</v>
      </c>
      <c r="H2718" s="118">
        <v>8.6805555555555551E-4</v>
      </c>
      <c r="I2718" s="118">
        <v>3.4722222222222224E-4</v>
      </c>
      <c r="J2718"/>
      <c r="K2718"/>
    </row>
    <row r="2719" spans="1:11" x14ac:dyDescent="0.25">
      <c r="A2719">
        <v>4</v>
      </c>
      <c r="B2719">
        <v>10</v>
      </c>
      <c r="C2719"/>
      <c r="D2719" t="s">
        <v>31</v>
      </c>
      <c r="E2719" t="s">
        <v>35</v>
      </c>
      <c r="F2719" t="s">
        <v>50</v>
      </c>
      <c r="G2719" s="118">
        <v>0.58267361111111116</v>
      </c>
      <c r="H2719" s="118">
        <v>1.1458333333333333E-3</v>
      </c>
      <c r="I2719" s="118">
        <v>3.4722222222222224E-4</v>
      </c>
      <c r="J2719"/>
      <c r="K2719"/>
    </row>
    <row r="2720" spans="1:11" x14ac:dyDescent="0.25">
      <c r="A2720">
        <v>5</v>
      </c>
      <c r="B2720">
        <v>11</v>
      </c>
      <c r="C2720"/>
      <c r="D2720" t="s">
        <v>31</v>
      </c>
      <c r="E2720" t="s">
        <v>32</v>
      </c>
      <c r="F2720" t="s">
        <v>44</v>
      </c>
      <c r="G2720" s="118">
        <v>0.58269675925925923</v>
      </c>
      <c r="H2720" s="118">
        <v>3.4722222222222224E-4</v>
      </c>
      <c r="I2720" s="118">
        <v>9.2592592592592585E-4</v>
      </c>
      <c r="J2720" s="118">
        <v>7.0717592592592594E-3</v>
      </c>
      <c r="K2720" s="118">
        <v>7.0717592592592594E-3</v>
      </c>
    </row>
    <row r="2721" spans="1:11" x14ac:dyDescent="0.25">
      <c r="A2721">
        <v>3</v>
      </c>
      <c r="B2721">
        <v>10</v>
      </c>
      <c r="C2721"/>
      <c r="D2721" t="s">
        <v>31</v>
      </c>
      <c r="E2721" t="s">
        <v>32</v>
      </c>
      <c r="F2721" t="s">
        <v>54</v>
      </c>
      <c r="G2721" s="118">
        <v>0.58276620370370369</v>
      </c>
      <c r="H2721" s="118">
        <v>3.4722222222222224E-4</v>
      </c>
      <c r="I2721" s="118">
        <v>6.9444444444444447E-4</v>
      </c>
      <c r="J2721" s="118">
        <v>7.0717592592592594E-3</v>
      </c>
      <c r="K2721" s="118">
        <v>7.0717592592592594E-3</v>
      </c>
    </row>
    <row r="2722" spans="1:11" x14ac:dyDescent="0.25">
      <c r="A2722">
        <v>2</v>
      </c>
      <c r="B2722">
        <v>11</v>
      </c>
      <c r="C2722"/>
      <c r="D2722" t="s">
        <v>31</v>
      </c>
      <c r="E2722" t="s">
        <v>35</v>
      </c>
      <c r="F2722" t="s">
        <v>38</v>
      </c>
      <c r="G2722" s="118">
        <v>0.58297453703703705</v>
      </c>
      <c r="H2722" s="118">
        <v>9.1435185185185185E-4</v>
      </c>
      <c r="I2722" s="118">
        <v>3.4722222222222224E-4</v>
      </c>
      <c r="J2722"/>
      <c r="K2722"/>
    </row>
    <row r="2723" spans="1:11" x14ac:dyDescent="0.25">
      <c r="A2723">
        <v>4</v>
      </c>
      <c r="B2723">
        <v>10</v>
      </c>
      <c r="C2723"/>
      <c r="D2723" t="s">
        <v>31</v>
      </c>
      <c r="E2723" t="s">
        <v>32</v>
      </c>
      <c r="F2723" t="s">
        <v>50</v>
      </c>
      <c r="G2723" s="118">
        <v>0.58302083333333332</v>
      </c>
      <c r="H2723" s="118">
        <v>3.4722222222222224E-4</v>
      </c>
      <c r="I2723" s="118">
        <v>1.261574074074074E-3</v>
      </c>
      <c r="J2723" s="118">
        <v>7.0717592592592594E-3</v>
      </c>
      <c r="K2723" s="118">
        <v>7.0717592592592594E-3</v>
      </c>
    </row>
    <row r="2724" spans="1:11" x14ac:dyDescent="0.25">
      <c r="A2724">
        <v>2</v>
      </c>
      <c r="B2724">
        <v>11</v>
      </c>
      <c r="C2724"/>
      <c r="D2724" t="s">
        <v>31</v>
      </c>
      <c r="E2724" t="s">
        <v>32</v>
      </c>
      <c r="F2724" t="s">
        <v>38</v>
      </c>
      <c r="G2724" s="118">
        <v>0.58332175925925933</v>
      </c>
      <c r="H2724" s="118">
        <v>3.4722222222222224E-4</v>
      </c>
      <c r="I2724" s="118">
        <v>1.2384259259259258E-3</v>
      </c>
      <c r="J2724" s="118">
        <v>7.0717592592592594E-3</v>
      </c>
      <c r="K2724" s="118">
        <v>7.0717592592592594E-3</v>
      </c>
    </row>
    <row r="2725" spans="1:11" x14ac:dyDescent="0.25">
      <c r="A2725">
        <v>3</v>
      </c>
      <c r="B2725">
        <v>10</v>
      </c>
      <c r="C2725"/>
      <c r="D2725" t="s">
        <v>31</v>
      </c>
      <c r="E2725" t="s">
        <v>35</v>
      </c>
      <c r="F2725" t="s">
        <v>92</v>
      </c>
      <c r="G2725" s="118">
        <v>0.58346064814814813</v>
      </c>
      <c r="H2725" s="118">
        <v>6.9444444444444447E-4</v>
      </c>
      <c r="I2725" s="118">
        <v>5.2083333333333333E-4</v>
      </c>
      <c r="J2725"/>
      <c r="K2725"/>
    </row>
    <row r="2726" spans="1:11" x14ac:dyDescent="0.25">
      <c r="A2726">
        <v>5</v>
      </c>
      <c r="B2726">
        <v>11</v>
      </c>
      <c r="C2726"/>
      <c r="D2726" t="s">
        <v>31</v>
      </c>
      <c r="E2726" t="s">
        <v>35</v>
      </c>
      <c r="F2726" t="s">
        <v>49</v>
      </c>
      <c r="G2726" s="118">
        <v>0.58362268518518523</v>
      </c>
      <c r="H2726" s="118">
        <v>9.2592592592592585E-4</v>
      </c>
      <c r="I2726" s="118">
        <v>3.4722222222222224E-4</v>
      </c>
      <c r="J2726"/>
      <c r="K2726"/>
    </row>
    <row r="2727" spans="1:11" x14ac:dyDescent="0.25">
      <c r="A2727">
        <v>1</v>
      </c>
      <c r="B2727">
        <v>10</v>
      </c>
      <c r="C2727"/>
      <c r="D2727" t="s">
        <v>31</v>
      </c>
      <c r="E2727" t="s">
        <v>35</v>
      </c>
      <c r="F2727" t="s">
        <v>46</v>
      </c>
      <c r="G2727" s="118">
        <v>0.5838888888888889</v>
      </c>
      <c r="H2727" s="118">
        <v>1.8055555555555557E-3</v>
      </c>
      <c r="I2727" s="118">
        <v>3.4722222222222224E-4</v>
      </c>
      <c r="J2727"/>
      <c r="K2727"/>
    </row>
    <row r="2728" spans="1:11" x14ac:dyDescent="0.25">
      <c r="A2728">
        <v>5</v>
      </c>
      <c r="B2728">
        <v>11</v>
      </c>
      <c r="C2728"/>
      <c r="D2728" t="s">
        <v>31</v>
      </c>
      <c r="E2728" t="s">
        <v>32</v>
      </c>
      <c r="F2728" t="s">
        <v>49</v>
      </c>
      <c r="G2728" s="118">
        <v>0.5839699074074074</v>
      </c>
      <c r="H2728" s="118">
        <v>3.4722222222222224E-4</v>
      </c>
      <c r="I2728" s="118">
        <v>1.3541666666666667E-3</v>
      </c>
      <c r="J2728" s="118">
        <v>7.0717592592592594E-3</v>
      </c>
      <c r="K2728" s="118">
        <v>7.0717592592592594E-3</v>
      </c>
    </row>
    <row r="2729" spans="1:11" x14ac:dyDescent="0.25">
      <c r="A2729">
        <v>3</v>
      </c>
      <c r="B2729">
        <v>11</v>
      </c>
      <c r="C2729"/>
      <c r="D2729" t="s">
        <v>31</v>
      </c>
      <c r="E2729" t="s">
        <v>32</v>
      </c>
      <c r="F2729" t="s">
        <v>92</v>
      </c>
      <c r="G2729" s="118">
        <v>0.58398148148148155</v>
      </c>
      <c r="H2729" s="118">
        <v>5.2083333333333333E-4</v>
      </c>
      <c r="I2729" s="118">
        <v>1.0069444444444444E-3</v>
      </c>
      <c r="J2729" s="118">
        <v>7.0717592592592594E-3</v>
      </c>
      <c r="K2729" s="118">
        <v>7.0717592592592594E-3</v>
      </c>
    </row>
    <row r="2730" spans="1:11" x14ac:dyDescent="0.25">
      <c r="A2730">
        <v>1</v>
      </c>
      <c r="B2730">
        <v>10</v>
      </c>
      <c r="C2730"/>
      <c r="D2730" t="s">
        <v>31</v>
      </c>
      <c r="E2730" t="s">
        <v>32</v>
      </c>
      <c r="F2730" t="s">
        <v>46</v>
      </c>
      <c r="G2730" s="118">
        <v>0.58423611111111107</v>
      </c>
      <c r="H2730" s="118">
        <v>3.4722222222222224E-4</v>
      </c>
      <c r="I2730" s="118">
        <v>9.1435185185185185E-4</v>
      </c>
      <c r="J2730" s="118">
        <v>7.0717592592592594E-3</v>
      </c>
      <c r="K2730" s="118">
        <v>7.0717592592592594E-3</v>
      </c>
    </row>
    <row r="2731" spans="1:11" x14ac:dyDescent="0.25">
      <c r="A2731">
        <v>4</v>
      </c>
      <c r="B2731">
        <v>10</v>
      </c>
      <c r="C2731"/>
      <c r="D2731" t="s">
        <v>31</v>
      </c>
      <c r="E2731" t="s">
        <v>35</v>
      </c>
      <c r="F2731" t="s">
        <v>56</v>
      </c>
      <c r="G2731" s="118">
        <v>0.58428240740740744</v>
      </c>
      <c r="H2731" s="118">
        <v>1.261574074074074E-3</v>
      </c>
      <c r="I2731" s="118">
        <v>3.4722222222222224E-4</v>
      </c>
      <c r="J2731"/>
      <c r="K2731"/>
    </row>
    <row r="2732" spans="1:11" x14ac:dyDescent="0.25">
      <c r="A2732">
        <v>2</v>
      </c>
      <c r="B2732">
        <v>11</v>
      </c>
      <c r="C2732"/>
      <c r="D2732" t="s">
        <v>31</v>
      </c>
      <c r="E2732" t="s">
        <v>35</v>
      </c>
      <c r="F2732" t="s">
        <v>45</v>
      </c>
      <c r="G2732" s="118">
        <v>0.58456018518518515</v>
      </c>
      <c r="H2732" s="118">
        <v>1.2384259259259258E-3</v>
      </c>
      <c r="I2732" s="118">
        <v>3.4722222222222224E-4</v>
      </c>
      <c r="J2732"/>
      <c r="K2732"/>
    </row>
    <row r="2733" spans="1:11" x14ac:dyDescent="0.25">
      <c r="A2733">
        <v>4</v>
      </c>
      <c r="B2733">
        <v>10</v>
      </c>
      <c r="C2733"/>
      <c r="D2733" t="s">
        <v>31</v>
      </c>
      <c r="E2733" t="s">
        <v>32</v>
      </c>
      <c r="F2733" t="s">
        <v>56</v>
      </c>
      <c r="G2733" s="118">
        <v>0.58462962962962961</v>
      </c>
      <c r="H2733" s="118">
        <v>3.4722222222222224E-4</v>
      </c>
      <c r="I2733" s="118">
        <v>9.6064814814814808E-4</v>
      </c>
      <c r="J2733" s="118">
        <v>7.0717592592592594E-3</v>
      </c>
      <c r="K2733" s="118">
        <v>7.0717592592592594E-3</v>
      </c>
    </row>
    <row r="2734" spans="1:11" x14ac:dyDescent="0.25">
      <c r="A2734">
        <v>2</v>
      </c>
      <c r="B2734">
        <v>11</v>
      </c>
      <c r="C2734"/>
      <c r="D2734" t="s">
        <v>31</v>
      </c>
      <c r="E2734" t="s">
        <v>32</v>
      </c>
      <c r="F2734" t="s">
        <v>45</v>
      </c>
      <c r="G2734" s="118">
        <v>0.58490740740740743</v>
      </c>
      <c r="H2734" s="118">
        <v>3.4722222222222224E-4</v>
      </c>
      <c r="I2734" s="118">
        <v>1.0416666666666667E-3</v>
      </c>
      <c r="J2734" s="118">
        <v>7.0717592592592594E-3</v>
      </c>
      <c r="K2734" s="118">
        <v>7.0717592592592594E-3</v>
      </c>
    </row>
    <row r="2735" spans="1:11" x14ac:dyDescent="0.25">
      <c r="A2735">
        <v>3</v>
      </c>
      <c r="B2735">
        <v>11</v>
      </c>
      <c r="C2735"/>
      <c r="D2735" t="s">
        <v>31</v>
      </c>
      <c r="E2735" t="s">
        <v>35</v>
      </c>
      <c r="F2735" t="s">
        <v>41</v>
      </c>
      <c r="G2735" s="118">
        <v>0.58498842592592593</v>
      </c>
      <c r="H2735" s="118">
        <v>1.0069444444444444E-3</v>
      </c>
      <c r="I2735" s="118">
        <v>3.4722222222222224E-4</v>
      </c>
      <c r="J2735"/>
      <c r="K2735"/>
    </row>
    <row r="2736" spans="1:11" x14ac:dyDescent="0.25">
      <c r="A2736">
        <v>1</v>
      </c>
      <c r="B2736">
        <v>10</v>
      </c>
      <c r="C2736"/>
      <c r="D2736" t="s">
        <v>31</v>
      </c>
      <c r="E2736" t="s">
        <v>35</v>
      </c>
      <c r="F2736" t="s">
        <v>51</v>
      </c>
      <c r="G2736" s="118">
        <v>0.58515046296296302</v>
      </c>
      <c r="H2736" s="118">
        <v>9.1435185185185185E-4</v>
      </c>
      <c r="I2736" s="118">
        <v>3.4722222222222224E-4</v>
      </c>
      <c r="J2736"/>
      <c r="K2736"/>
    </row>
    <row r="2737" spans="1:11" x14ac:dyDescent="0.25">
      <c r="A2737">
        <v>5</v>
      </c>
      <c r="B2737">
        <v>11</v>
      </c>
      <c r="C2737"/>
      <c r="D2737" t="s">
        <v>31</v>
      </c>
      <c r="E2737" t="s">
        <v>35</v>
      </c>
      <c r="F2737" t="s">
        <v>33</v>
      </c>
      <c r="G2737" s="118">
        <v>0.58532407407407405</v>
      </c>
      <c r="H2737" s="118">
        <v>1.3541666666666667E-3</v>
      </c>
      <c r="I2737" s="118">
        <v>5.2083333333333333E-4</v>
      </c>
      <c r="J2737"/>
      <c r="K2737"/>
    </row>
    <row r="2738" spans="1:11" x14ac:dyDescent="0.25">
      <c r="A2738">
        <v>3</v>
      </c>
      <c r="B2738">
        <v>11</v>
      </c>
      <c r="C2738"/>
      <c r="D2738" t="s">
        <v>31</v>
      </c>
      <c r="E2738" t="s">
        <v>32</v>
      </c>
      <c r="F2738" t="s">
        <v>41</v>
      </c>
      <c r="G2738" s="118">
        <v>0.58533564814814809</v>
      </c>
      <c r="H2738" s="118">
        <v>3.4722222222222224E-4</v>
      </c>
      <c r="I2738" s="118">
        <v>8.564814814814815E-4</v>
      </c>
      <c r="J2738" s="118">
        <v>7.0717592592592594E-3</v>
      </c>
      <c r="K2738" s="118">
        <v>7.0717592592592594E-3</v>
      </c>
    </row>
    <row r="2739" spans="1:11" x14ac:dyDescent="0.25">
      <c r="A2739">
        <v>1</v>
      </c>
      <c r="B2739">
        <v>10</v>
      </c>
      <c r="C2739"/>
      <c r="D2739" t="s">
        <v>31</v>
      </c>
      <c r="E2739" t="s">
        <v>32</v>
      </c>
      <c r="F2739" t="s">
        <v>51</v>
      </c>
      <c r="G2739" s="118">
        <v>0.58549768518518519</v>
      </c>
      <c r="H2739" s="118">
        <v>3.4722222222222224E-4</v>
      </c>
      <c r="I2739" s="118">
        <v>1.0069444444444444E-3</v>
      </c>
      <c r="J2739" s="118">
        <v>7.0717592592592594E-3</v>
      </c>
      <c r="K2739" s="118">
        <v>7.0717592592592594E-3</v>
      </c>
    </row>
    <row r="2740" spans="1:11" x14ac:dyDescent="0.25">
      <c r="A2740">
        <v>4</v>
      </c>
      <c r="B2740">
        <v>10</v>
      </c>
      <c r="C2740"/>
      <c r="D2740" t="s">
        <v>31</v>
      </c>
      <c r="E2740" t="s">
        <v>35</v>
      </c>
      <c r="F2740" t="s">
        <v>37</v>
      </c>
      <c r="G2740" s="118">
        <v>0.58559027777777783</v>
      </c>
      <c r="H2740" s="118">
        <v>9.6064814814814808E-4</v>
      </c>
      <c r="I2740" s="118">
        <v>3.4722222222222224E-4</v>
      </c>
      <c r="J2740"/>
      <c r="K2740"/>
    </row>
    <row r="2741" spans="1:11" x14ac:dyDescent="0.25">
      <c r="A2741">
        <v>5</v>
      </c>
      <c r="B2741">
        <v>11</v>
      </c>
      <c r="C2741"/>
      <c r="D2741" t="s">
        <v>31</v>
      </c>
      <c r="E2741" t="s">
        <v>32</v>
      </c>
      <c r="F2741" t="s">
        <v>33</v>
      </c>
      <c r="G2741" s="118">
        <v>0.58584490740740736</v>
      </c>
      <c r="H2741" s="118">
        <v>5.2083333333333333E-4</v>
      </c>
      <c r="I2741" s="118">
        <v>9.6064814814814808E-4</v>
      </c>
      <c r="J2741" s="118">
        <v>7.0717592592592594E-3</v>
      </c>
      <c r="K2741" s="118">
        <v>7.0717592592592594E-3</v>
      </c>
    </row>
    <row r="2742" spans="1:11" x14ac:dyDescent="0.25">
      <c r="A2742">
        <v>4</v>
      </c>
      <c r="B2742">
        <v>10</v>
      </c>
      <c r="C2742"/>
      <c r="D2742" t="s">
        <v>31</v>
      </c>
      <c r="E2742" t="s">
        <v>32</v>
      </c>
      <c r="F2742" t="s">
        <v>37</v>
      </c>
      <c r="G2742" s="118">
        <v>0.5859375</v>
      </c>
      <c r="H2742" s="118">
        <v>3.4722222222222224E-4</v>
      </c>
      <c r="I2742" s="118">
        <v>9.0277777777777784E-4</v>
      </c>
      <c r="J2742" s="118">
        <v>7.0717592592592594E-3</v>
      </c>
      <c r="K2742" s="118">
        <v>7.0717592592592594E-3</v>
      </c>
    </row>
    <row r="2743" spans="1:11" x14ac:dyDescent="0.25">
      <c r="A2743">
        <v>2</v>
      </c>
      <c r="B2743">
        <v>11</v>
      </c>
      <c r="C2743"/>
      <c r="D2743" t="s">
        <v>31</v>
      </c>
      <c r="E2743" t="s">
        <v>35</v>
      </c>
      <c r="F2743" t="s">
        <v>52</v>
      </c>
      <c r="G2743" s="118">
        <v>0.58594907407407404</v>
      </c>
      <c r="H2743" s="118">
        <v>1.0416666666666667E-3</v>
      </c>
      <c r="I2743" s="118">
        <v>3.4722222222222224E-4</v>
      </c>
      <c r="J2743"/>
      <c r="K2743"/>
    </row>
    <row r="2744" spans="1:11" x14ac:dyDescent="0.25">
      <c r="A2744">
        <v>3</v>
      </c>
      <c r="B2744">
        <v>11</v>
      </c>
      <c r="C2744"/>
      <c r="D2744" t="s">
        <v>31</v>
      </c>
      <c r="E2744" t="s">
        <v>35</v>
      </c>
      <c r="F2744" t="s">
        <v>47</v>
      </c>
      <c r="G2744" s="118">
        <v>0.58619212962962963</v>
      </c>
      <c r="H2744" s="118">
        <v>8.564814814814815E-4</v>
      </c>
      <c r="I2744" s="118">
        <v>5.2083333333333333E-4</v>
      </c>
      <c r="J2744"/>
      <c r="K2744"/>
    </row>
    <row r="2745" spans="1:11" x14ac:dyDescent="0.25">
      <c r="A2745">
        <v>2</v>
      </c>
      <c r="B2745">
        <v>11</v>
      </c>
      <c r="C2745"/>
      <c r="D2745" t="s">
        <v>31</v>
      </c>
      <c r="E2745" t="s">
        <v>32</v>
      </c>
      <c r="F2745" t="s">
        <v>52</v>
      </c>
      <c r="G2745" s="118">
        <v>0.58629629629629632</v>
      </c>
      <c r="H2745" s="118">
        <v>3.4722222222222224E-4</v>
      </c>
      <c r="I2745" s="118">
        <v>1.0532407407407407E-3</v>
      </c>
      <c r="J2745" s="118">
        <v>7.0717592592592594E-3</v>
      </c>
      <c r="K2745" s="118">
        <v>7.0717592592592594E-3</v>
      </c>
    </row>
    <row r="2746" spans="1:11" x14ac:dyDescent="0.25">
      <c r="A2746">
        <v>1</v>
      </c>
      <c r="B2746">
        <v>10</v>
      </c>
      <c r="C2746"/>
      <c r="D2746" t="s">
        <v>31</v>
      </c>
      <c r="E2746" t="s">
        <v>35</v>
      </c>
      <c r="F2746" t="s">
        <v>55</v>
      </c>
      <c r="G2746" s="118">
        <v>0.58650462962962957</v>
      </c>
      <c r="H2746" s="118">
        <v>1.0069444444444444E-3</v>
      </c>
      <c r="I2746" s="118">
        <v>4.6296296296296293E-4</v>
      </c>
      <c r="J2746"/>
      <c r="K2746"/>
    </row>
    <row r="2747" spans="1:11" x14ac:dyDescent="0.25">
      <c r="A2747">
        <v>3</v>
      </c>
      <c r="B2747">
        <v>11</v>
      </c>
      <c r="C2747"/>
      <c r="D2747" t="s">
        <v>31</v>
      </c>
      <c r="E2747" t="s">
        <v>32</v>
      </c>
      <c r="F2747" t="s">
        <v>47</v>
      </c>
      <c r="G2747" s="118">
        <v>0.58671296296296294</v>
      </c>
      <c r="H2747" s="118">
        <v>5.2083333333333333E-4</v>
      </c>
      <c r="I2747" s="118">
        <v>8.7962962962962962E-4</v>
      </c>
      <c r="J2747" s="118">
        <v>7.0717592592592594E-3</v>
      </c>
      <c r="K2747" s="118">
        <v>7.0717592592592594E-3</v>
      </c>
    </row>
    <row r="2748" spans="1:11" x14ac:dyDescent="0.25">
      <c r="A2748">
        <v>5</v>
      </c>
      <c r="B2748">
        <v>11</v>
      </c>
      <c r="C2748"/>
      <c r="D2748" t="s">
        <v>31</v>
      </c>
      <c r="E2748" t="s">
        <v>35</v>
      </c>
      <c r="F2748" t="s">
        <v>36</v>
      </c>
      <c r="G2748" s="118">
        <v>0.58680555555555558</v>
      </c>
      <c r="H2748" s="118">
        <v>9.6064814814814808E-4</v>
      </c>
      <c r="I2748" s="118">
        <v>3.4722222222222224E-4</v>
      </c>
      <c r="J2748"/>
      <c r="K2748"/>
    </row>
    <row r="2749" spans="1:11" x14ac:dyDescent="0.25">
      <c r="A2749">
        <v>4</v>
      </c>
      <c r="B2749">
        <v>10</v>
      </c>
      <c r="C2749"/>
      <c r="D2749" t="s">
        <v>31</v>
      </c>
      <c r="E2749" t="s">
        <v>35</v>
      </c>
      <c r="F2749" t="s">
        <v>42</v>
      </c>
      <c r="G2749" s="118">
        <v>0.58684027777777781</v>
      </c>
      <c r="H2749" s="118">
        <v>9.0277777777777784E-4</v>
      </c>
      <c r="I2749" s="118">
        <v>3.4722222222222224E-4</v>
      </c>
      <c r="J2749"/>
      <c r="K2749"/>
    </row>
    <row r="2750" spans="1:11" x14ac:dyDescent="0.25">
      <c r="A2750">
        <v>1</v>
      </c>
      <c r="B2750">
        <v>10</v>
      </c>
      <c r="C2750"/>
      <c r="D2750" t="s">
        <v>31</v>
      </c>
      <c r="E2750" t="s">
        <v>32</v>
      </c>
      <c r="F2750" t="s">
        <v>55</v>
      </c>
      <c r="G2750" s="118">
        <v>0.58696759259259257</v>
      </c>
      <c r="H2750" s="118">
        <v>4.6296296296296293E-4</v>
      </c>
      <c r="I2750" s="118">
        <v>4.3981481481481481E-4</v>
      </c>
      <c r="J2750" s="118">
        <v>7.0717592592592594E-3</v>
      </c>
      <c r="K2750" s="118">
        <v>7.0717592592592594E-3</v>
      </c>
    </row>
    <row r="2751" spans="1:11" x14ac:dyDescent="0.25">
      <c r="A2751">
        <v>5</v>
      </c>
      <c r="B2751">
        <v>11</v>
      </c>
      <c r="C2751"/>
      <c r="D2751" t="s">
        <v>31</v>
      </c>
      <c r="E2751" t="s">
        <v>32</v>
      </c>
      <c r="F2751" t="s">
        <v>36</v>
      </c>
      <c r="G2751" s="118">
        <v>0.58715277777777775</v>
      </c>
      <c r="H2751" s="118">
        <v>3.4722222222222224E-4</v>
      </c>
      <c r="I2751" s="118">
        <v>1.0995370370370371E-3</v>
      </c>
      <c r="J2751" s="118">
        <v>7.0717592592592594E-3</v>
      </c>
      <c r="K2751" s="118">
        <v>7.0717592592592594E-3</v>
      </c>
    </row>
    <row r="2752" spans="1:11" x14ac:dyDescent="0.25">
      <c r="A2752">
        <v>4</v>
      </c>
      <c r="B2752">
        <v>10</v>
      </c>
      <c r="C2752"/>
      <c r="D2752" t="s">
        <v>31</v>
      </c>
      <c r="E2752" t="s">
        <v>32</v>
      </c>
      <c r="F2752" t="s">
        <v>42</v>
      </c>
      <c r="G2752" s="118">
        <v>0.58718749999999997</v>
      </c>
      <c r="H2752" s="118">
        <v>3.4722222222222224E-4</v>
      </c>
      <c r="I2752" s="118">
        <v>9.1435185185185185E-4</v>
      </c>
      <c r="J2752" s="118">
        <v>7.0717592592592594E-3</v>
      </c>
      <c r="K2752" s="118">
        <v>7.0717592592592594E-3</v>
      </c>
    </row>
    <row r="2753" spans="1:11" x14ac:dyDescent="0.25">
      <c r="A2753">
        <v>2</v>
      </c>
      <c r="B2753">
        <v>11</v>
      </c>
      <c r="C2753"/>
      <c r="D2753" t="s">
        <v>31</v>
      </c>
      <c r="E2753" t="s">
        <v>35</v>
      </c>
      <c r="F2753" t="s">
        <v>57</v>
      </c>
      <c r="G2753" s="118">
        <v>0.58734953703703707</v>
      </c>
      <c r="H2753" s="118">
        <v>1.0532407407407407E-3</v>
      </c>
      <c r="I2753" s="118">
        <v>3.4722222222222224E-4</v>
      </c>
      <c r="J2753"/>
      <c r="K2753"/>
    </row>
    <row r="2754" spans="1:11" x14ac:dyDescent="0.25">
      <c r="A2754">
        <v>1</v>
      </c>
      <c r="B2754">
        <v>10</v>
      </c>
      <c r="C2754"/>
      <c r="D2754" t="s">
        <v>31</v>
      </c>
      <c r="E2754" t="s">
        <v>35</v>
      </c>
      <c r="F2754" t="s">
        <v>58</v>
      </c>
      <c r="G2754" s="118">
        <v>0.58740740740740738</v>
      </c>
      <c r="H2754" s="118">
        <v>4.3981481481481481E-4</v>
      </c>
      <c r="I2754" s="118">
        <v>5.7870370370370366E-5</v>
      </c>
      <c r="J2754"/>
      <c r="K2754"/>
    </row>
    <row r="2755" spans="1:11" x14ac:dyDescent="0.25">
      <c r="A2755">
        <v>1</v>
      </c>
      <c r="B2755">
        <v>10</v>
      </c>
      <c r="C2755"/>
      <c r="D2755" t="s">
        <v>31</v>
      </c>
      <c r="E2755" t="s">
        <v>32</v>
      </c>
      <c r="F2755" t="s">
        <v>58</v>
      </c>
      <c r="G2755" s="118">
        <v>0.58746527777777779</v>
      </c>
      <c r="H2755" s="118">
        <v>5.7870370370370366E-5</v>
      </c>
      <c r="I2755" s="118">
        <v>4.8611111111111104E-4</v>
      </c>
      <c r="J2755" s="118">
        <v>7.0717592592592594E-3</v>
      </c>
      <c r="K2755" s="118">
        <v>7.0717592592592594E-3</v>
      </c>
    </row>
    <row r="2756" spans="1:11" x14ac:dyDescent="0.25">
      <c r="A2756">
        <v>3</v>
      </c>
      <c r="B2756">
        <v>11</v>
      </c>
      <c r="C2756"/>
      <c r="D2756" t="s">
        <v>31</v>
      </c>
      <c r="E2756" t="s">
        <v>35</v>
      </c>
      <c r="F2756" t="s">
        <v>53</v>
      </c>
      <c r="G2756" s="118">
        <v>0.58759259259259256</v>
      </c>
      <c r="H2756" s="118">
        <v>8.7962962962962962E-4</v>
      </c>
      <c r="I2756" s="118">
        <v>3.4722222222222224E-4</v>
      </c>
      <c r="J2756"/>
      <c r="K2756"/>
    </row>
    <row r="2757" spans="1:11" x14ac:dyDescent="0.25">
      <c r="A2757">
        <v>2</v>
      </c>
      <c r="B2757">
        <v>11</v>
      </c>
      <c r="C2757"/>
      <c r="D2757" t="s">
        <v>31</v>
      </c>
      <c r="E2757" t="s">
        <v>32</v>
      </c>
      <c r="F2757" t="s">
        <v>57</v>
      </c>
      <c r="G2757" s="118">
        <v>0.58769675925925924</v>
      </c>
      <c r="H2757" s="118">
        <v>3.4722222222222224E-4</v>
      </c>
      <c r="I2757" s="118">
        <v>9.3750000000000007E-4</v>
      </c>
      <c r="J2757" s="118">
        <v>7.0717592592592594E-3</v>
      </c>
      <c r="K2757" s="118">
        <v>7.0717592592592594E-3</v>
      </c>
    </row>
    <row r="2758" spans="1:11" x14ac:dyDescent="0.25">
      <c r="A2758">
        <v>3</v>
      </c>
      <c r="B2758">
        <v>11</v>
      </c>
      <c r="C2758"/>
      <c r="D2758" t="s">
        <v>31</v>
      </c>
      <c r="E2758" t="s">
        <v>32</v>
      </c>
      <c r="F2758" t="s">
        <v>53</v>
      </c>
      <c r="G2758" s="118">
        <v>0.58793981481481483</v>
      </c>
      <c r="H2758" s="118">
        <v>3.4722222222222224E-4</v>
      </c>
      <c r="I2758" s="118">
        <v>8.449074074074075E-4</v>
      </c>
      <c r="J2758" s="118">
        <v>7.0717592592592594E-3</v>
      </c>
      <c r="K2758" s="118">
        <v>7.0717592592592594E-3</v>
      </c>
    </row>
    <row r="2759" spans="1:11" x14ac:dyDescent="0.25">
      <c r="A2759">
        <v>1</v>
      </c>
      <c r="B2759">
        <v>10</v>
      </c>
      <c r="C2759"/>
      <c r="D2759" t="s">
        <v>31</v>
      </c>
      <c r="E2759" t="s">
        <v>35</v>
      </c>
      <c r="F2759" t="s">
        <v>40</v>
      </c>
      <c r="G2759" s="118">
        <v>0.58795138888888887</v>
      </c>
      <c r="H2759" s="118">
        <v>4.8611111111111104E-4</v>
      </c>
      <c r="I2759" s="118">
        <v>4.6296296296296293E-4</v>
      </c>
      <c r="J2759"/>
      <c r="K2759"/>
    </row>
    <row r="2760" spans="1:11" x14ac:dyDescent="0.25">
      <c r="A2760">
        <v>4</v>
      </c>
      <c r="B2760">
        <v>10</v>
      </c>
      <c r="C2760"/>
      <c r="D2760" t="s">
        <v>31</v>
      </c>
      <c r="E2760" t="s">
        <v>35</v>
      </c>
      <c r="F2760" t="s">
        <v>48</v>
      </c>
      <c r="G2760" s="118">
        <v>0.58810185185185182</v>
      </c>
      <c r="H2760" s="118">
        <v>9.1435185185185185E-4</v>
      </c>
      <c r="I2760" s="118">
        <v>5.2083333333333333E-4</v>
      </c>
      <c r="J2760"/>
      <c r="K2760"/>
    </row>
    <row r="2761" spans="1:11" x14ac:dyDescent="0.25">
      <c r="A2761">
        <v>5</v>
      </c>
      <c r="B2761">
        <v>11</v>
      </c>
      <c r="C2761"/>
      <c r="D2761" t="s">
        <v>31</v>
      </c>
      <c r="E2761" t="s">
        <v>35</v>
      </c>
      <c r="F2761" t="s">
        <v>43</v>
      </c>
      <c r="G2761" s="118">
        <v>0.58825231481481477</v>
      </c>
      <c r="H2761" s="118">
        <v>1.0995370370370371E-3</v>
      </c>
      <c r="I2761" s="118">
        <v>3.4722222222222224E-4</v>
      </c>
      <c r="J2761"/>
      <c r="K2761"/>
    </row>
    <row r="2762" spans="1:11" x14ac:dyDescent="0.25">
      <c r="A2762">
        <v>1</v>
      </c>
      <c r="B2762">
        <v>10</v>
      </c>
      <c r="C2762"/>
      <c r="D2762" t="s">
        <v>31</v>
      </c>
      <c r="E2762" t="s">
        <v>32</v>
      </c>
      <c r="F2762" t="s">
        <v>40</v>
      </c>
      <c r="G2762" s="118">
        <v>0.58841435185185187</v>
      </c>
      <c r="H2762" s="118">
        <v>4.6296296296296293E-4</v>
      </c>
      <c r="I2762" s="118">
        <v>1.0069444444444444E-3</v>
      </c>
      <c r="J2762" s="118">
        <v>7.0717592592592594E-3</v>
      </c>
      <c r="K2762" s="118">
        <v>7.0717592592592594E-3</v>
      </c>
    </row>
    <row r="2763" spans="1:11" x14ac:dyDescent="0.25">
      <c r="A2763">
        <v>5</v>
      </c>
      <c r="B2763">
        <v>11</v>
      </c>
      <c r="C2763"/>
      <c r="D2763" t="s">
        <v>31</v>
      </c>
      <c r="E2763" t="s">
        <v>32</v>
      </c>
      <c r="F2763" t="s">
        <v>43</v>
      </c>
      <c r="G2763" s="118">
        <v>0.58859953703703705</v>
      </c>
      <c r="H2763" s="118">
        <v>3.4722222222222224E-4</v>
      </c>
      <c r="I2763" s="118">
        <v>1.1458333333333333E-3</v>
      </c>
      <c r="J2763" s="118">
        <v>7.0717592592592594E-3</v>
      </c>
      <c r="K2763" s="118">
        <v>7.0717592592592594E-3</v>
      </c>
    </row>
    <row r="2764" spans="1:11" x14ac:dyDescent="0.25">
      <c r="A2764">
        <v>4</v>
      </c>
      <c r="B2764">
        <v>10</v>
      </c>
      <c r="C2764"/>
      <c r="D2764" t="s">
        <v>31</v>
      </c>
      <c r="E2764" t="s">
        <v>32</v>
      </c>
      <c r="F2764" t="s">
        <v>48</v>
      </c>
      <c r="G2764" s="118">
        <v>0.58862268518518512</v>
      </c>
      <c r="H2764" s="118">
        <v>5.2083333333333333E-4</v>
      </c>
      <c r="I2764" s="118">
        <v>8.6805555555555551E-4</v>
      </c>
      <c r="J2764" s="118">
        <v>7.0717592592592594E-3</v>
      </c>
      <c r="K2764" s="118">
        <v>7.0717592592592594E-3</v>
      </c>
    </row>
    <row r="2765" spans="1:11" x14ac:dyDescent="0.25">
      <c r="A2765">
        <v>2</v>
      </c>
      <c r="B2765">
        <v>11</v>
      </c>
      <c r="C2765"/>
      <c r="D2765" t="s">
        <v>31</v>
      </c>
      <c r="E2765" t="s">
        <v>35</v>
      </c>
      <c r="F2765" t="s">
        <v>39</v>
      </c>
      <c r="G2765" s="118">
        <v>0.58863425925925927</v>
      </c>
      <c r="H2765" s="118">
        <v>9.3750000000000007E-4</v>
      </c>
      <c r="I2765" s="118">
        <v>5.2083333333333333E-4</v>
      </c>
      <c r="J2765"/>
      <c r="K2765"/>
    </row>
    <row r="2766" spans="1:11" x14ac:dyDescent="0.25">
      <c r="A2766">
        <v>3</v>
      </c>
      <c r="B2766">
        <v>11</v>
      </c>
      <c r="C2766"/>
      <c r="D2766" t="s">
        <v>31</v>
      </c>
      <c r="E2766" t="s">
        <v>35</v>
      </c>
      <c r="F2766" t="s">
        <v>34</v>
      </c>
      <c r="G2766" s="118">
        <v>0.58878472222222222</v>
      </c>
      <c r="H2766" s="118">
        <v>8.449074074074075E-4</v>
      </c>
      <c r="I2766" s="118">
        <v>3.4722222222222224E-4</v>
      </c>
      <c r="J2766"/>
      <c r="K2766"/>
    </row>
    <row r="2767" spans="1:11" x14ac:dyDescent="0.25">
      <c r="A2767">
        <v>3</v>
      </c>
      <c r="B2767">
        <v>11</v>
      </c>
      <c r="C2767"/>
      <c r="D2767" t="s">
        <v>31</v>
      </c>
      <c r="E2767" t="s">
        <v>32</v>
      </c>
      <c r="F2767" t="s">
        <v>34</v>
      </c>
      <c r="G2767" s="118">
        <v>0.58913194444444439</v>
      </c>
      <c r="H2767" s="118">
        <v>3.4722222222222224E-4</v>
      </c>
      <c r="I2767" s="118">
        <v>9.1435185185185185E-4</v>
      </c>
      <c r="J2767" s="118">
        <v>7.0717592592592594E-3</v>
      </c>
      <c r="K2767" s="118">
        <v>7.0717592592592594E-3</v>
      </c>
    </row>
    <row r="2768" spans="1:11" x14ac:dyDescent="0.25">
      <c r="A2768">
        <v>2</v>
      </c>
      <c r="B2768">
        <v>11</v>
      </c>
      <c r="C2768"/>
      <c r="D2768" t="s">
        <v>31</v>
      </c>
      <c r="E2768" t="s">
        <v>32</v>
      </c>
      <c r="F2768" t="s">
        <v>39</v>
      </c>
      <c r="G2768" s="118">
        <v>0.58915509259259258</v>
      </c>
      <c r="H2768" s="118">
        <v>5.2083333333333333E-4</v>
      </c>
      <c r="I2768" s="118">
        <v>1.8055555555555557E-3</v>
      </c>
      <c r="J2768" s="118">
        <v>7.0717592592592594E-3</v>
      </c>
      <c r="K2768" s="118">
        <v>7.0717592592592594E-3</v>
      </c>
    </row>
    <row r="2769" spans="1:11" x14ac:dyDescent="0.25">
      <c r="A2769">
        <v>1</v>
      </c>
      <c r="B2769">
        <v>10</v>
      </c>
      <c r="C2769"/>
      <c r="D2769" t="s">
        <v>31</v>
      </c>
      <c r="E2769" t="s">
        <v>35</v>
      </c>
      <c r="F2769" t="s">
        <v>44</v>
      </c>
      <c r="G2769" s="118">
        <v>0.58942129629629625</v>
      </c>
      <c r="H2769" s="118">
        <v>1.0069444444444444E-3</v>
      </c>
      <c r="I2769" s="118">
        <v>3.4722222222222224E-4</v>
      </c>
      <c r="J2769"/>
      <c r="K2769"/>
    </row>
    <row r="2770" spans="1:11" x14ac:dyDescent="0.25">
      <c r="A2770">
        <v>4</v>
      </c>
      <c r="B2770">
        <v>10</v>
      </c>
      <c r="C2770"/>
      <c r="D2770" t="s">
        <v>31</v>
      </c>
      <c r="E2770" t="s">
        <v>35</v>
      </c>
      <c r="F2770" t="s">
        <v>54</v>
      </c>
      <c r="G2770" s="118">
        <v>0.5894907407407407</v>
      </c>
      <c r="H2770" s="118">
        <v>8.6805555555555551E-4</v>
      </c>
      <c r="I2770" s="118">
        <v>3.4722222222222224E-4</v>
      </c>
      <c r="J2770"/>
      <c r="K2770"/>
    </row>
    <row r="2771" spans="1:11" x14ac:dyDescent="0.25">
      <c r="A2771">
        <v>5</v>
      </c>
      <c r="B2771">
        <v>11</v>
      </c>
      <c r="C2771"/>
      <c r="D2771" t="s">
        <v>31</v>
      </c>
      <c r="E2771" t="s">
        <v>35</v>
      </c>
      <c r="F2771" t="s">
        <v>50</v>
      </c>
      <c r="G2771" s="118">
        <v>0.58974537037037034</v>
      </c>
      <c r="H2771" s="118">
        <v>1.1458333333333333E-3</v>
      </c>
      <c r="I2771" s="118">
        <v>3.4722222222222224E-4</v>
      </c>
      <c r="J2771"/>
      <c r="K2771"/>
    </row>
    <row r="2772" spans="1:11" x14ac:dyDescent="0.25">
      <c r="A2772">
        <v>1</v>
      </c>
      <c r="B2772">
        <v>10</v>
      </c>
      <c r="C2772"/>
      <c r="D2772" t="s">
        <v>31</v>
      </c>
      <c r="E2772" t="s">
        <v>32</v>
      </c>
      <c r="F2772" t="s">
        <v>44</v>
      </c>
      <c r="G2772" s="118">
        <v>0.58976851851851853</v>
      </c>
      <c r="H2772" s="118">
        <v>3.4722222222222224E-4</v>
      </c>
      <c r="I2772" s="118">
        <v>9.2592592592592585E-4</v>
      </c>
      <c r="J2772" s="118">
        <v>7.0717592592592594E-3</v>
      </c>
      <c r="K2772" s="118">
        <v>7.0717592592592594E-3</v>
      </c>
    </row>
    <row r="2773" spans="1:11" x14ac:dyDescent="0.25">
      <c r="A2773">
        <v>4</v>
      </c>
      <c r="B2773">
        <v>10</v>
      </c>
      <c r="C2773"/>
      <c r="D2773" t="s">
        <v>31</v>
      </c>
      <c r="E2773" t="s">
        <v>32</v>
      </c>
      <c r="F2773" t="s">
        <v>54</v>
      </c>
      <c r="G2773" s="118">
        <v>0.58983796296296298</v>
      </c>
      <c r="H2773" s="118">
        <v>3.4722222222222224E-4</v>
      </c>
      <c r="I2773" s="118">
        <v>6.9444444444444447E-4</v>
      </c>
      <c r="J2773" s="118">
        <v>7.0717592592592594E-3</v>
      </c>
      <c r="K2773" s="118">
        <v>7.0717592592592594E-3</v>
      </c>
    </row>
    <row r="2774" spans="1:11" x14ac:dyDescent="0.25">
      <c r="A2774">
        <v>3</v>
      </c>
      <c r="B2774">
        <v>11</v>
      </c>
      <c r="C2774"/>
      <c r="D2774" t="s">
        <v>31</v>
      </c>
      <c r="E2774" t="s">
        <v>35</v>
      </c>
      <c r="F2774" t="s">
        <v>38</v>
      </c>
      <c r="G2774" s="118">
        <v>0.59004629629629635</v>
      </c>
      <c r="H2774" s="118">
        <v>9.1435185185185185E-4</v>
      </c>
      <c r="I2774" s="118">
        <v>3.4722222222222224E-4</v>
      </c>
      <c r="J2774"/>
      <c r="K2774"/>
    </row>
    <row r="2775" spans="1:11" x14ac:dyDescent="0.25">
      <c r="A2775">
        <v>5</v>
      </c>
      <c r="B2775">
        <v>11</v>
      </c>
      <c r="C2775"/>
      <c r="D2775" t="s">
        <v>31</v>
      </c>
      <c r="E2775" t="s">
        <v>32</v>
      </c>
      <c r="F2775" t="s">
        <v>50</v>
      </c>
      <c r="G2775" s="118">
        <v>0.59009259259259261</v>
      </c>
      <c r="H2775" s="118">
        <v>3.4722222222222224E-4</v>
      </c>
      <c r="I2775" s="118">
        <v>1.261574074074074E-3</v>
      </c>
      <c r="J2775" s="118">
        <v>7.0717592592592594E-3</v>
      </c>
      <c r="K2775" s="118">
        <v>7.0717592592592594E-3</v>
      </c>
    </row>
    <row r="2776" spans="1:11" x14ac:dyDescent="0.25">
      <c r="A2776">
        <v>3</v>
      </c>
      <c r="B2776">
        <v>11</v>
      </c>
      <c r="C2776"/>
      <c r="D2776" t="s">
        <v>31</v>
      </c>
      <c r="E2776" t="s">
        <v>32</v>
      </c>
      <c r="F2776" t="s">
        <v>38</v>
      </c>
      <c r="G2776" s="118">
        <v>0.59039351851851851</v>
      </c>
      <c r="H2776" s="118">
        <v>3.4722222222222224E-4</v>
      </c>
      <c r="I2776" s="118">
        <v>1.2384259259259258E-3</v>
      </c>
      <c r="J2776" s="118">
        <v>7.0717592592592594E-3</v>
      </c>
      <c r="K2776" s="118">
        <v>7.0717592592592594E-3</v>
      </c>
    </row>
    <row r="2777" spans="1:11" x14ac:dyDescent="0.25">
      <c r="A2777">
        <v>4</v>
      </c>
      <c r="B2777">
        <v>10</v>
      </c>
      <c r="C2777"/>
      <c r="D2777" t="s">
        <v>31</v>
      </c>
      <c r="E2777" t="s">
        <v>35</v>
      </c>
      <c r="F2777" t="s">
        <v>92</v>
      </c>
      <c r="G2777" s="118">
        <v>0.59053240740740742</v>
      </c>
      <c r="H2777" s="118">
        <v>6.9444444444444447E-4</v>
      </c>
      <c r="I2777" s="118">
        <v>5.2083333333333333E-4</v>
      </c>
      <c r="J2777"/>
      <c r="K2777"/>
    </row>
    <row r="2778" spans="1:11" x14ac:dyDescent="0.25">
      <c r="A2778">
        <v>1</v>
      </c>
      <c r="B2778">
        <v>10</v>
      </c>
      <c r="C2778"/>
      <c r="D2778" t="s">
        <v>31</v>
      </c>
      <c r="E2778" t="s">
        <v>35</v>
      </c>
      <c r="F2778" t="s">
        <v>49</v>
      </c>
      <c r="G2778" s="118">
        <v>0.59069444444444441</v>
      </c>
      <c r="H2778" s="118">
        <v>9.2592592592592585E-4</v>
      </c>
      <c r="I2778" s="118">
        <v>3.4722222222222224E-4</v>
      </c>
      <c r="J2778"/>
      <c r="K2778"/>
    </row>
    <row r="2779" spans="1:11" x14ac:dyDescent="0.25">
      <c r="A2779">
        <v>2</v>
      </c>
      <c r="B2779">
        <v>11</v>
      </c>
      <c r="C2779"/>
      <c r="D2779" t="s">
        <v>31</v>
      </c>
      <c r="E2779" t="s">
        <v>35</v>
      </c>
      <c r="F2779" t="s">
        <v>46</v>
      </c>
      <c r="G2779" s="118">
        <v>0.59096064814814808</v>
      </c>
      <c r="H2779" s="118">
        <v>1.8055555555555557E-3</v>
      </c>
      <c r="I2779" s="118">
        <v>3.4722222222222224E-4</v>
      </c>
      <c r="J2779"/>
      <c r="K2779"/>
    </row>
    <row r="2780" spans="1:11" x14ac:dyDescent="0.25">
      <c r="A2780">
        <v>1</v>
      </c>
      <c r="B2780">
        <v>10</v>
      </c>
      <c r="C2780"/>
      <c r="D2780" t="s">
        <v>31</v>
      </c>
      <c r="E2780" t="s">
        <v>32</v>
      </c>
      <c r="F2780" t="s">
        <v>49</v>
      </c>
      <c r="G2780" s="118">
        <v>0.59104166666666669</v>
      </c>
      <c r="H2780" s="118">
        <v>3.4722222222222224E-4</v>
      </c>
      <c r="I2780" s="118">
        <v>1.3541666666666667E-3</v>
      </c>
      <c r="J2780" s="118">
        <v>7.0717592592592594E-3</v>
      </c>
      <c r="K2780" s="118">
        <v>7.0717592592592594E-3</v>
      </c>
    </row>
    <row r="2781" spans="1:11" x14ac:dyDescent="0.25">
      <c r="A2781">
        <v>4</v>
      </c>
      <c r="B2781">
        <v>11</v>
      </c>
      <c r="C2781"/>
      <c r="D2781" t="s">
        <v>31</v>
      </c>
      <c r="E2781" t="s">
        <v>32</v>
      </c>
      <c r="F2781" t="s">
        <v>92</v>
      </c>
      <c r="G2781" s="118">
        <v>0.59105324074074073</v>
      </c>
      <c r="H2781" s="118">
        <v>5.2083333333333333E-4</v>
      </c>
      <c r="I2781" s="118">
        <v>1.0069444444444444E-3</v>
      </c>
      <c r="J2781" s="118">
        <v>7.0717592592592594E-3</v>
      </c>
      <c r="K2781" s="118">
        <v>7.0717592592592594E-3</v>
      </c>
    </row>
    <row r="2782" spans="1:11" x14ac:dyDescent="0.25">
      <c r="A2782">
        <v>2</v>
      </c>
      <c r="B2782">
        <v>11</v>
      </c>
      <c r="C2782"/>
      <c r="D2782" t="s">
        <v>31</v>
      </c>
      <c r="E2782" t="s">
        <v>32</v>
      </c>
      <c r="F2782" t="s">
        <v>46</v>
      </c>
      <c r="G2782" s="118">
        <v>0.59130787037037036</v>
      </c>
      <c r="H2782" s="118">
        <v>3.4722222222222224E-4</v>
      </c>
      <c r="I2782" s="118">
        <v>9.1435185185185185E-4</v>
      </c>
      <c r="J2782" s="118">
        <v>7.0717592592592594E-3</v>
      </c>
      <c r="K2782" s="118">
        <v>7.0717592592592594E-3</v>
      </c>
    </row>
    <row r="2783" spans="1:11" x14ac:dyDescent="0.25">
      <c r="A2783">
        <v>5</v>
      </c>
      <c r="B2783">
        <v>11</v>
      </c>
      <c r="C2783"/>
      <c r="D2783" t="s">
        <v>31</v>
      </c>
      <c r="E2783" t="s">
        <v>35</v>
      </c>
      <c r="F2783" t="s">
        <v>56</v>
      </c>
      <c r="G2783" s="118">
        <v>0.59135416666666674</v>
      </c>
      <c r="H2783" s="118">
        <v>1.261574074074074E-3</v>
      </c>
      <c r="I2783" s="118">
        <v>3.4722222222222224E-4</v>
      </c>
      <c r="J2783"/>
      <c r="K2783"/>
    </row>
    <row r="2784" spans="1:11" x14ac:dyDescent="0.25">
      <c r="A2784">
        <v>3</v>
      </c>
      <c r="B2784">
        <v>11</v>
      </c>
      <c r="C2784"/>
      <c r="D2784" t="s">
        <v>31</v>
      </c>
      <c r="E2784" t="s">
        <v>35</v>
      </c>
      <c r="F2784" t="s">
        <v>45</v>
      </c>
      <c r="G2784" s="118">
        <v>0.59163194444444445</v>
      </c>
      <c r="H2784" s="118">
        <v>1.2384259259259258E-3</v>
      </c>
      <c r="I2784" s="118">
        <v>3.4722222222222224E-4</v>
      </c>
      <c r="J2784"/>
      <c r="K2784"/>
    </row>
    <row r="2785" spans="1:11" x14ac:dyDescent="0.25">
      <c r="A2785">
        <v>5</v>
      </c>
      <c r="B2785">
        <v>11</v>
      </c>
      <c r="C2785"/>
      <c r="D2785" t="s">
        <v>31</v>
      </c>
      <c r="E2785" t="s">
        <v>32</v>
      </c>
      <c r="F2785" t="s">
        <v>56</v>
      </c>
      <c r="G2785" s="118">
        <v>0.5917013888888889</v>
      </c>
      <c r="H2785" s="118">
        <v>3.4722222222222224E-4</v>
      </c>
      <c r="I2785" s="118">
        <v>9.6064814814814808E-4</v>
      </c>
      <c r="J2785" s="118">
        <v>7.0717592592592594E-3</v>
      </c>
      <c r="K2785" s="118">
        <v>7.0717592592592594E-3</v>
      </c>
    </row>
    <row r="2786" spans="1:11" x14ac:dyDescent="0.25">
      <c r="A2786">
        <v>3</v>
      </c>
      <c r="B2786">
        <v>11</v>
      </c>
      <c r="C2786"/>
      <c r="D2786" t="s">
        <v>31</v>
      </c>
      <c r="E2786" t="s">
        <v>32</v>
      </c>
      <c r="F2786" t="s">
        <v>45</v>
      </c>
      <c r="G2786" s="118">
        <v>0.59197916666666661</v>
      </c>
      <c r="H2786" s="118">
        <v>3.4722222222222224E-4</v>
      </c>
      <c r="I2786" s="118">
        <v>1.0416666666666667E-3</v>
      </c>
      <c r="J2786" s="118">
        <v>7.0717592592592594E-3</v>
      </c>
      <c r="K2786" s="118">
        <v>7.0717592592592594E-3</v>
      </c>
    </row>
    <row r="2787" spans="1:11" x14ac:dyDescent="0.25">
      <c r="A2787">
        <v>4</v>
      </c>
      <c r="B2787">
        <v>11</v>
      </c>
      <c r="C2787"/>
      <c r="D2787" t="s">
        <v>31</v>
      </c>
      <c r="E2787" t="s">
        <v>35</v>
      </c>
      <c r="F2787" t="s">
        <v>41</v>
      </c>
      <c r="G2787" s="118">
        <v>0.59206018518518522</v>
      </c>
      <c r="H2787" s="118">
        <v>1.0069444444444444E-3</v>
      </c>
      <c r="I2787" s="118">
        <v>3.4722222222222224E-4</v>
      </c>
      <c r="J2787"/>
      <c r="K2787"/>
    </row>
    <row r="2788" spans="1:11" x14ac:dyDescent="0.25">
      <c r="A2788">
        <v>2</v>
      </c>
      <c r="B2788">
        <v>11</v>
      </c>
      <c r="C2788"/>
      <c r="D2788" t="s">
        <v>31</v>
      </c>
      <c r="E2788" t="s">
        <v>35</v>
      </c>
      <c r="F2788" t="s">
        <v>51</v>
      </c>
      <c r="G2788" s="118">
        <v>0.59222222222222221</v>
      </c>
      <c r="H2788" s="118">
        <v>9.1435185185185185E-4</v>
      </c>
      <c r="I2788" s="118">
        <v>3.4722222222222224E-4</v>
      </c>
      <c r="J2788"/>
      <c r="K2788"/>
    </row>
    <row r="2789" spans="1:11" x14ac:dyDescent="0.25">
      <c r="A2789">
        <v>1</v>
      </c>
      <c r="B2789">
        <v>10</v>
      </c>
      <c r="C2789"/>
      <c r="D2789" t="s">
        <v>31</v>
      </c>
      <c r="E2789" t="s">
        <v>35</v>
      </c>
      <c r="F2789" t="s">
        <v>33</v>
      </c>
      <c r="G2789" s="118">
        <v>0.59239583333333334</v>
      </c>
      <c r="H2789" s="118">
        <v>1.3541666666666667E-3</v>
      </c>
      <c r="I2789" s="118">
        <v>5.2083333333333333E-4</v>
      </c>
      <c r="J2789"/>
      <c r="K2789"/>
    </row>
    <row r="2790" spans="1:11" x14ac:dyDescent="0.25">
      <c r="A2790">
        <v>4</v>
      </c>
      <c r="B2790">
        <v>11</v>
      </c>
      <c r="C2790"/>
      <c r="D2790" t="s">
        <v>31</v>
      </c>
      <c r="E2790" t="s">
        <v>32</v>
      </c>
      <c r="F2790" t="s">
        <v>41</v>
      </c>
      <c r="G2790" s="118">
        <v>0.59240740740740738</v>
      </c>
      <c r="H2790" s="118">
        <v>3.4722222222222224E-4</v>
      </c>
      <c r="I2790" s="118">
        <v>8.564814814814815E-4</v>
      </c>
      <c r="J2790" s="118">
        <v>7.0717592592592594E-3</v>
      </c>
      <c r="K2790" s="118">
        <v>7.0717592592592594E-3</v>
      </c>
    </row>
    <row r="2791" spans="1:11" x14ac:dyDescent="0.25">
      <c r="A2791">
        <v>2</v>
      </c>
      <c r="B2791">
        <v>11</v>
      </c>
      <c r="C2791"/>
      <c r="D2791" t="s">
        <v>31</v>
      </c>
      <c r="E2791" t="s">
        <v>32</v>
      </c>
      <c r="F2791" t="s">
        <v>51</v>
      </c>
      <c r="G2791" s="118">
        <v>0.59256944444444448</v>
      </c>
      <c r="H2791" s="118">
        <v>3.4722222222222224E-4</v>
      </c>
      <c r="I2791" s="118">
        <v>1.0069444444444444E-3</v>
      </c>
      <c r="J2791" s="118">
        <v>7.0717592592592594E-3</v>
      </c>
      <c r="K2791" s="118">
        <v>7.0717592592592594E-3</v>
      </c>
    </row>
    <row r="2792" spans="1:11" x14ac:dyDescent="0.25">
      <c r="A2792">
        <v>5</v>
      </c>
      <c r="B2792">
        <v>11</v>
      </c>
      <c r="C2792"/>
      <c r="D2792" t="s">
        <v>31</v>
      </c>
      <c r="E2792" t="s">
        <v>35</v>
      </c>
      <c r="F2792" t="s">
        <v>37</v>
      </c>
      <c r="G2792" s="118">
        <v>0.59266203703703701</v>
      </c>
      <c r="H2792" s="118">
        <v>9.6064814814814808E-4</v>
      </c>
      <c r="I2792" s="118">
        <v>3.4722222222222224E-4</v>
      </c>
      <c r="J2792"/>
      <c r="K2792"/>
    </row>
    <row r="2793" spans="1:11" x14ac:dyDescent="0.25">
      <c r="A2793">
        <v>1</v>
      </c>
      <c r="B2793">
        <v>10</v>
      </c>
      <c r="C2793"/>
      <c r="D2793" t="s">
        <v>31</v>
      </c>
      <c r="E2793" t="s">
        <v>32</v>
      </c>
      <c r="F2793" t="s">
        <v>33</v>
      </c>
      <c r="G2793" s="118">
        <v>0.59291666666666665</v>
      </c>
      <c r="H2793" s="118">
        <v>5.2083333333333333E-4</v>
      </c>
      <c r="I2793" s="118">
        <v>9.6064814814814808E-4</v>
      </c>
      <c r="J2793" s="118">
        <v>7.0717592592592594E-3</v>
      </c>
      <c r="K2793" s="118">
        <v>7.0717592592592594E-3</v>
      </c>
    </row>
    <row r="2794" spans="1:11" x14ac:dyDescent="0.25">
      <c r="A2794">
        <v>5</v>
      </c>
      <c r="B2794">
        <v>11</v>
      </c>
      <c r="C2794"/>
      <c r="D2794" t="s">
        <v>31</v>
      </c>
      <c r="E2794" t="s">
        <v>32</v>
      </c>
      <c r="F2794" t="s">
        <v>37</v>
      </c>
      <c r="G2794" s="118">
        <v>0.59300925925925929</v>
      </c>
      <c r="H2794" s="118">
        <v>3.4722222222222224E-4</v>
      </c>
      <c r="I2794" s="118">
        <v>9.0277777777777784E-4</v>
      </c>
      <c r="J2794" s="118">
        <v>7.0717592592592594E-3</v>
      </c>
      <c r="K2794" s="118">
        <v>7.0717592592592594E-3</v>
      </c>
    </row>
    <row r="2795" spans="1:11" x14ac:dyDescent="0.25">
      <c r="A2795">
        <v>3</v>
      </c>
      <c r="B2795">
        <v>11</v>
      </c>
      <c r="C2795"/>
      <c r="D2795" t="s">
        <v>31</v>
      </c>
      <c r="E2795" t="s">
        <v>35</v>
      </c>
      <c r="F2795" t="s">
        <v>52</v>
      </c>
      <c r="G2795" s="118">
        <v>0.59302083333333333</v>
      </c>
      <c r="H2795" s="118">
        <v>1.0416666666666667E-3</v>
      </c>
      <c r="I2795" s="118">
        <v>3.4722222222222224E-4</v>
      </c>
      <c r="J2795"/>
      <c r="K2795"/>
    </row>
    <row r="2796" spans="1:11" x14ac:dyDescent="0.25">
      <c r="A2796">
        <v>4</v>
      </c>
      <c r="B2796">
        <v>11</v>
      </c>
      <c r="C2796"/>
      <c r="D2796" t="s">
        <v>31</v>
      </c>
      <c r="E2796" t="s">
        <v>35</v>
      </c>
      <c r="F2796" t="s">
        <v>47</v>
      </c>
      <c r="G2796" s="118">
        <v>0.59326388888888892</v>
      </c>
      <c r="H2796" s="118">
        <v>8.564814814814815E-4</v>
      </c>
      <c r="I2796" s="118">
        <v>5.2083333333333333E-4</v>
      </c>
      <c r="J2796"/>
      <c r="K2796"/>
    </row>
    <row r="2797" spans="1:11" x14ac:dyDescent="0.25">
      <c r="A2797">
        <v>3</v>
      </c>
      <c r="B2797">
        <v>11</v>
      </c>
      <c r="C2797"/>
      <c r="D2797" t="s">
        <v>31</v>
      </c>
      <c r="E2797" t="s">
        <v>32</v>
      </c>
      <c r="F2797" t="s">
        <v>52</v>
      </c>
      <c r="G2797" s="118">
        <v>0.5933680555555555</v>
      </c>
      <c r="H2797" s="118">
        <v>3.4722222222222224E-4</v>
      </c>
      <c r="I2797" s="118">
        <v>1.0532407407407407E-3</v>
      </c>
      <c r="J2797" s="118">
        <v>7.0717592592592594E-3</v>
      </c>
      <c r="K2797" s="118">
        <v>7.0717592592592594E-3</v>
      </c>
    </row>
    <row r="2798" spans="1:11" x14ac:dyDescent="0.25">
      <c r="A2798">
        <v>2</v>
      </c>
      <c r="B2798">
        <v>11</v>
      </c>
      <c r="C2798"/>
      <c r="D2798" t="s">
        <v>31</v>
      </c>
      <c r="E2798" t="s">
        <v>35</v>
      </c>
      <c r="F2798" t="s">
        <v>55</v>
      </c>
      <c r="G2798" s="118">
        <v>0.59357638888888886</v>
      </c>
      <c r="H2798" s="118">
        <v>1.0069444444444444E-3</v>
      </c>
      <c r="I2798" s="118">
        <v>4.6296296296296293E-4</v>
      </c>
      <c r="J2798"/>
      <c r="K2798"/>
    </row>
    <row r="2799" spans="1:11" x14ac:dyDescent="0.25">
      <c r="A2799">
        <v>4</v>
      </c>
      <c r="B2799">
        <v>11</v>
      </c>
      <c r="C2799"/>
      <c r="D2799" t="s">
        <v>31</v>
      </c>
      <c r="E2799" t="s">
        <v>32</v>
      </c>
      <c r="F2799" t="s">
        <v>47</v>
      </c>
      <c r="G2799" s="118">
        <v>0.59378472222222223</v>
      </c>
      <c r="H2799" s="118">
        <v>5.2083333333333333E-4</v>
      </c>
      <c r="I2799" s="118">
        <v>8.7962962962962962E-4</v>
      </c>
      <c r="J2799" s="118">
        <v>7.0717592592592594E-3</v>
      </c>
      <c r="K2799" s="118">
        <v>7.0717592592592594E-3</v>
      </c>
    </row>
    <row r="2800" spans="1:11" x14ac:dyDescent="0.25">
      <c r="A2800">
        <v>1</v>
      </c>
      <c r="B2800">
        <v>10</v>
      </c>
      <c r="C2800"/>
      <c r="D2800" t="s">
        <v>31</v>
      </c>
      <c r="E2800" t="s">
        <v>35</v>
      </c>
      <c r="F2800" t="s">
        <v>36</v>
      </c>
      <c r="G2800" s="118">
        <v>0.59387731481481476</v>
      </c>
      <c r="H2800" s="118">
        <v>9.6064814814814808E-4</v>
      </c>
      <c r="I2800" s="118">
        <v>3.4722222222222224E-4</v>
      </c>
      <c r="J2800"/>
      <c r="K2800"/>
    </row>
    <row r="2801" spans="1:11" x14ac:dyDescent="0.25">
      <c r="A2801">
        <v>5</v>
      </c>
      <c r="B2801">
        <v>11</v>
      </c>
      <c r="C2801"/>
      <c r="D2801" t="s">
        <v>31</v>
      </c>
      <c r="E2801" t="s">
        <v>35</v>
      </c>
      <c r="F2801" t="s">
        <v>42</v>
      </c>
      <c r="G2801" s="118">
        <v>0.5939120370370371</v>
      </c>
      <c r="H2801" s="118">
        <v>9.0277777777777784E-4</v>
      </c>
      <c r="I2801" s="118">
        <v>3.4722222222222224E-4</v>
      </c>
      <c r="J2801"/>
      <c r="K2801"/>
    </row>
    <row r="2802" spans="1:11" x14ac:dyDescent="0.25">
      <c r="A2802">
        <v>2</v>
      </c>
      <c r="B2802">
        <v>11</v>
      </c>
      <c r="C2802"/>
      <c r="D2802" t="s">
        <v>31</v>
      </c>
      <c r="E2802" t="s">
        <v>32</v>
      </c>
      <c r="F2802" t="s">
        <v>55</v>
      </c>
      <c r="G2802" s="118">
        <v>0.59403935185185186</v>
      </c>
      <c r="H2802" s="118">
        <v>4.6296296296296293E-4</v>
      </c>
      <c r="I2802" s="118">
        <v>4.3981481481481481E-4</v>
      </c>
      <c r="J2802" s="118">
        <v>7.0717592592592594E-3</v>
      </c>
      <c r="K2802" s="118">
        <v>7.0717592592592594E-3</v>
      </c>
    </row>
    <row r="2803" spans="1:11" x14ac:dyDescent="0.25">
      <c r="A2803">
        <v>1</v>
      </c>
      <c r="B2803">
        <v>10</v>
      </c>
      <c r="C2803"/>
      <c r="D2803" t="s">
        <v>31</v>
      </c>
      <c r="E2803" t="s">
        <v>32</v>
      </c>
      <c r="F2803" t="s">
        <v>36</v>
      </c>
      <c r="G2803" s="118">
        <v>0.59422453703703704</v>
      </c>
      <c r="H2803" s="118">
        <v>3.4722222222222224E-4</v>
      </c>
      <c r="I2803" s="118">
        <v>1.0995370370370371E-3</v>
      </c>
      <c r="J2803" s="118">
        <v>7.0717592592592594E-3</v>
      </c>
      <c r="K2803" s="118">
        <v>7.0717592592592594E-3</v>
      </c>
    </row>
    <row r="2804" spans="1:11" x14ac:dyDescent="0.25">
      <c r="A2804">
        <v>5</v>
      </c>
      <c r="B2804">
        <v>11</v>
      </c>
      <c r="C2804"/>
      <c r="D2804" t="s">
        <v>31</v>
      </c>
      <c r="E2804" t="s">
        <v>32</v>
      </c>
      <c r="F2804" t="s">
        <v>42</v>
      </c>
      <c r="G2804" s="118">
        <v>0.59425925925925926</v>
      </c>
      <c r="H2804" s="118">
        <v>3.4722222222222224E-4</v>
      </c>
      <c r="I2804" s="118">
        <v>9.1435185185185185E-4</v>
      </c>
      <c r="J2804" s="118">
        <v>7.0717592592592594E-3</v>
      </c>
      <c r="K2804" s="118">
        <v>7.0717592592592594E-3</v>
      </c>
    </row>
    <row r="2805" spans="1:11" x14ac:dyDescent="0.25">
      <c r="A2805">
        <v>3</v>
      </c>
      <c r="B2805">
        <v>11</v>
      </c>
      <c r="C2805"/>
      <c r="D2805" t="s">
        <v>31</v>
      </c>
      <c r="E2805" t="s">
        <v>35</v>
      </c>
      <c r="F2805" t="s">
        <v>57</v>
      </c>
      <c r="G2805" s="118">
        <v>0.59442129629629636</v>
      </c>
      <c r="H2805" s="118">
        <v>1.0532407407407407E-3</v>
      </c>
      <c r="I2805" s="118">
        <v>3.4722222222222224E-4</v>
      </c>
      <c r="J2805"/>
      <c r="K2805"/>
    </row>
    <row r="2806" spans="1:11" x14ac:dyDescent="0.25">
      <c r="A2806">
        <v>2</v>
      </c>
      <c r="B2806">
        <v>11</v>
      </c>
      <c r="C2806"/>
      <c r="D2806" t="s">
        <v>31</v>
      </c>
      <c r="E2806" t="s">
        <v>35</v>
      </c>
      <c r="F2806" t="s">
        <v>58</v>
      </c>
      <c r="G2806" s="118">
        <v>0.59447916666666667</v>
      </c>
      <c r="H2806" s="118">
        <v>4.3981481481481481E-4</v>
      </c>
      <c r="I2806" s="118">
        <v>5.7870370370370366E-5</v>
      </c>
      <c r="J2806"/>
      <c r="K2806"/>
    </row>
    <row r="2807" spans="1:11" x14ac:dyDescent="0.25">
      <c r="A2807">
        <v>2</v>
      </c>
      <c r="B2807">
        <v>11</v>
      </c>
      <c r="C2807"/>
      <c r="D2807" t="s">
        <v>31</v>
      </c>
      <c r="E2807" t="s">
        <v>32</v>
      </c>
      <c r="F2807" t="s">
        <v>58</v>
      </c>
      <c r="G2807" s="118">
        <v>0.59453703703703698</v>
      </c>
      <c r="H2807" s="118">
        <v>5.7870370370370366E-5</v>
      </c>
      <c r="I2807" s="118">
        <v>4.8611111111111104E-4</v>
      </c>
      <c r="J2807" s="118">
        <v>7.0717592592592594E-3</v>
      </c>
      <c r="K2807" s="118">
        <v>7.0717592592592594E-3</v>
      </c>
    </row>
    <row r="2808" spans="1:11" x14ac:dyDescent="0.25">
      <c r="A2808">
        <v>4</v>
      </c>
      <c r="B2808">
        <v>11</v>
      </c>
      <c r="C2808"/>
      <c r="D2808" t="s">
        <v>31</v>
      </c>
      <c r="E2808" t="s">
        <v>35</v>
      </c>
      <c r="F2808" t="s">
        <v>53</v>
      </c>
      <c r="G2808" s="118">
        <v>0.59466435185185185</v>
      </c>
      <c r="H2808" s="118">
        <v>8.7962962962962962E-4</v>
      </c>
      <c r="I2808" s="118">
        <v>3.4722222222222224E-4</v>
      </c>
      <c r="J2808"/>
      <c r="K2808"/>
    </row>
    <row r="2809" spans="1:11" x14ac:dyDescent="0.25">
      <c r="A2809">
        <v>3</v>
      </c>
      <c r="B2809">
        <v>11</v>
      </c>
      <c r="C2809"/>
      <c r="D2809" t="s">
        <v>31</v>
      </c>
      <c r="E2809" t="s">
        <v>32</v>
      </c>
      <c r="F2809" t="s">
        <v>57</v>
      </c>
      <c r="G2809" s="118">
        <v>0.59476851851851853</v>
      </c>
      <c r="H2809" s="118">
        <v>3.4722222222222224E-4</v>
      </c>
      <c r="I2809" s="118">
        <v>9.3750000000000007E-4</v>
      </c>
      <c r="J2809" s="118">
        <v>7.0717592592592594E-3</v>
      </c>
      <c r="K2809" s="118">
        <v>7.0717592592592594E-3</v>
      </c>
    </row>
    <row r="2810" spans="1:11" x14ac:dyDescent="0.25">
      <c r="A2810">
        <v>4</v>
      </c>
      <c r="B2810">
        <v>11</v>
      </c>
      <c r="C2810"/>
      <c r="D2810" t="s">
        <v>31</v>
      </c>
      <c r="E2810" t="s">
        <v>32</v>
      </c>
      <c r="F2810" t="s">
        <v>53</v>
      </c>
      <c r="G2810" s="118">
        <v>0.59501157407407412</v>
      </c>
      <c r="H2810" s="118">
        <v>3.4722222222222224E-4</v>
      </c>
      <c r="I2810" s="118">
        <v>8.449074074074075E-4</v>
      </c>
      <c r="J2810" s="118">
        <v>7.0717592592592594E-3</v>
      </c>
      <c r="K2810" s="118">
        <v>7.0717592592592594E-3</v>
      </c>
    </row>
    <row r="2811" spans="1:11" x14ac:dyDescent="0.25">
      <c r="A2811">
        <v>2</v>
      </c>
      <c r="B2811">
        <v>11</v>
      </c>
      <c r="C2811"/>
      <c r="D2811" t="s">
        <v>31</v>
      </c>
      <c r="E2811" t="s">
        <v>35</v>
      </c>
      <c r="F2811" t="s">
        <v>40</v>
      </c>
      <c r="G2811" s="118">
        <v>0.59502314814814816</v>
      </c>
      <c r="H2811" s="118">
        <v>4.8611111111111104E-4</v>
      </c>
      <c r="I2811" s="118">
        <v>4.6296296296296293E-4</v>
      </c>
      <c r="J2811"/>
      <c r="K2811"/>
    </row>
    <row r="2812" spans="1:11" x14ac:dyDescent="0.25">
      <c r="A2812">
        <v>5</v>
      </c>
      <c r="B2812">
        <v>11</v>
      </c>
      <c r="C2812"/>
      <c r="D2812" t="s">
        <v>31</v>
      </c>
      <c r="E2812" t="s">
        <v>35</v>
      </c>
      <c r="F2812" t="s">
        <v>48</v>
      </c>
      <c r="G2812" s="118">
        <v>0.59517361111111111</v>
      </c>
      <c r="H2812" s="118">
        <v>9.1435185185185185E-4</v>
      </c>
      <c r="I2812" s="118">
        <v>5.2083333333333333E-4</v>
      </c>
      <c r="J2812"/>
      <c r="K2812"/>
    </row>
    <row r="2813" spans="1:11" x14ac:dyDescent="0.25">
      <c r="A2813">
        <v>1</v>
      </c>
      <c r="B2813">
        <v>10</v>
      </c>
      <c r="C2813"/>
      <c r="D2813" t="s">
        <v>31</v>
      </c>
      <c r="E2813" t="s">
        <v>35</v>
      </c>
      <c r="F2813" t="s">
        <v>43</v>
      </c>
      <c r="G2813" s="118">
        <v>0.59532407407407406</v>
      </c>
      <c r="H2813" s="118">
        <v>1.0995370370370371E-3</v>
      </c>
      <c r="I2813" s="118">
        <v>3.4722222222222224E-4</v>
      </c>
      <c r="J2813"/>
      <c r="K2813"/>
    </row>
    <row r="2814" spans="1:11" x14ac:dyDescent="0.25">
      <c r="A2814">
        <v>2</v>
      </c>
      <c r="B2814">
        <v>11</v>
      </c>
      <c r="C2814"/>
      <c r="D2814" t="s">
        <v>31</v>
      </c>
      <c r="E2814" t="s">
        <v>32</v>
      </c>
      <c r="F2814" t="s">
        <v>40</v>
      </c>
      <c r="G2814" s="118">
        <v>0.59548611111111105</v>
      </c>
      <c r="H2814" s="118">
        <v>4.6296296296296293E-4</v>
      </c>
      <c r="I2814" s="118">
        <v>1.0069444444444444E-3</v>
      </c>
      <c r="J2814" s="118">
        <v>7.0717592592592594E-3</v>
      </c>
      <c r="K2814" s="118">
        <v>7.0717592592592594E-3</v>
      </c>
    </row>
    <row r="2815" spans="1:11" x14ac:dyDescent="0.25">
      <c r="A2815">
        <v>1</v>
      </c>
      <c r="B2815">
        <v>10</v>
      </c>
      <c r="C2815"/>
      <c r="D2815" t="s">
        <v>31</v>
      </c>
      <c r="E2815" t="s">
        <v>32</v>
      </c>
      <c r="F2815" t="s">
        <v>43</v>
      </c>
      <c r="G2815" s="118">
        <v>0.59567129629629634</v>
      </c>
      <c r="H2815" s="118">
        <v>3.4722222222222224E-4</v>
      </c>
      <c r="I2815" s="118">
        <v>1.1458333333333333E-3</v>
      </c>
      <c r="J2815" s="118">
        <v>7.0717592592592594E-3</v>
      </c>
      <c r="K2815" s="118">
        <v>7.0717592592592594E-3</v>
      </c>
    </row>
    <row r="2816" spans="1:11" x14ac:dyDescent="0.25">
      <c r="A2816">
        <v>5</v>
      </c>
      <c r="B2816">
        <v>11</v>
      </c>
      <c r="C2816"/>
      <c r="D2816" t="s">
        <v>31</v>
      </c>
      <c r="E2816" t="s">
        <v>32</v>
      </c>
      <c r="F2816" t="s">
        <v>48</v>
      </c>
      <c r="G2816" s="118">
        <v>0.59569444444444442</v>
      </c>
      <c r="H2816" s="118">
        <v>5.2083333333333333E-4</v>
      </c>
      <c r="I2816" s="118">
        <v>8.6805555555555551E-4</v>
      </c>
      <c r="J2816" s="118">
        <v>7.0717592592592594E-3</v>
      </c>
      <c r="K2816" s="118">
        <v>7.0717592592592594E-3</v>
      </c>
    </row>
    <row r="2817" spans="1:11" x14ac:dyDescent="0.25">
      <c r="A2817">
        <v>3</v>
      </c>
      <c r="B2817">
        <v>11</v>
      </c>
      <c r="C2817"/>
      <c r="D2817" t="s">
        <v>31</v>
      </c>
      <c r="E2817" t="s">
        <v>35</v>
      </c>
      <c r="F2817" t="s">
        <v>39</v>
      </c>
      <c r="G2817" s="118">
        <v>0.59570601851851845</v>
      </c>
      <c r="H2817" s="118">
        <v>9.3750000000000007E-4</v>
      </c>
      <c r="I2817" s="118">
        <v>5.2083333333333333E-4</v>
      </c>
      <c r="J2817"/>
      <c r="K2817"/>
    </row>
    <row r="2818" spans="1:11" x14ac:dyDescent="0.25">
      <c r="A2818">
        <v>4</v>
      </c>
      <c r="B2818">
        <v>11</v>
      </c>
      <c r="C2818"/>
      <c r="D2818" t="s">
        <v>31</v>
      </c>
      <c r="E2818" t="s">
        <v>35</v>
      </c>
      <c r="F2818" t="s">
        <v>34</v>
      </c>
      <c r="G2818" s="118">
        <v>0.59585648148148151</v>
      </c>
      <c r="H2818" s="118">
        <v>8.449074074074075E-4</v>
      </c>
      <c r="I2818" s="118">
        <v>3.4722222222222224E-4</v>
      </c>
      <c r="J2818"/>
      <c r="K2818"/>
    </row>
    <row r="2819" spans="1:11" x14ac:dyDescent="0.25">
      <c r="A2819">
        <v>4</v>
      </c>
      <c r="B2819">
        <v>11</v>
      </c>
      <c r="C2819"/>
      <c r="D2819" t="s">
        <v>31</v>
      </c>
      <c r="E2819" t="s">
        <v>32</v>
      </c>
      <c r="F2819" t="s">
        <v>34</v>
      </c>
      <c r="G2819" s="118">
        <v>0.59620370370370368</v>
      </c>
      <c r="H2819" s="118">
        <v>3.4722222222222224E-4</v>
      </c>
      <c r="I2819" s="118">
        <v>9.1435185185185185E-4</v>
      </c>
      <c r="J2819" s="118">
        <v>7.0717592592592594E-3</v>
      </c>
      <c r="K2819" s="118">
        <v>7.0717592592592594E-3</v>
      </c>
    </row>
    <row r="2820" spans="1:11" x14ac:dyDescent="0.25">
      <c r="A2820">
        <v>3</v>
      </c>
      <c r="B2820">
        <v>11</v>
      </c>
      <c r="C2820"/>
      <c r="D2820" t="s">
        <v>31</v>
      </c>
      <c r="E2820" t="s">
        <v>32</v>
      </c>
      <c r="F2820" t="s">
        <v>39</v>
      </c>
      <c r="G2820" s="118">
        <v>0.59622685185185187</v>
      </c>
      <c r="H2820" s="118">
        <v>5.2083333333333333E-4</v>
      </c>
      <c r="I2820" s="118">
        <v>1.8055555555555557E-3</v>
      </c>
      <c r="J2820" s="118">
        <v>7.0717592592592594E-3</v>
      </c>
      <c r="K2820" s="118">
        <v>7.0717592592592594E-3</v>
      </c>
    </row>
    <row r="2821" spans="1:11" x14ac:dyDescent="0.25">
      <c r="A2821">
        <v>2</v>
      </c>
      <c r="B2821">
        <v>11</v>
      </c>
      <c r="C2821"/>
      <c r="D2821" t="s">
        <v>31</v>
      </c>
      <c r="E2821" t="s">
        <v>35</v>
      </c>
      <c r="F2821" t="s">
        <v>44</v>
      </c>
      <c r="G2821" s="118">
        <v>0.59649305555555554</v>
      </c>
      <c r="H2821" s="118">
        <v>1.0069444444444444E-3</v>
      </c>
      <c r="I2821" s="118">
        <v>3.4722222222222224E-4</v>
      </c>
      <c r="J2821"/>
      <c r="K2821"/>
    </row>
    <row r="2822" spans="1:11" x14ac:dyDescent="0.25">
      <c r="A2822">
        <v>5</v>
      </c>
      <c r="B2822">
        <v>11</v>
      </c>
      <c r="C2822"/>
      <c r="D2822" t="s">
        <v>31</v>
      </c>
      <c r="E2822" t="s">
        <v>35</v>
      </c>
      <c r="F2822" t="s">
        <v>54</v>
      </c>
      <c r="G2822" s="118">
        <v>0.5965625</v>
      </c>
      <c r="H2822" s="118">
        <v>8.6805555555555551E-4</v>
      </c>
      <c r="I2822" s="118">
        <v>3.4722222222222224E-4</v>
      </c>
      <c r="J2822"/>
      <c r="K2822"/>
    </row>
    <row r="2823" spans="1:11" x14ac:dyDescent="0.25">
      <c r="A2823">
        <v>1</v>
      </c>
      <c r="B2823">
        <v>10</v>
      </c>
      <c r="C2823"/>
      <c r="D2823" t="s">
        <v>31</v>
      </c>
      <c r="E2823" t="s">
        <v>35</v>
      </c>
      <c r="F2823" t="s">
        <v>50</v>
      </c>
      <c r="G2823" s="118">
        <v>0.59681712962962963</v>
      </c>
      <c r="H2823" s="118">
        <v>1.1458333333333333E-3</v>
      </c>
      <c r="I2823" s="118">
        <v>3.4722222222222224E-4</v>
      </c>
      <c r="J2823"/>
      <c r="K2823"/>
    </row>
    <row r="2824" spans="1:11" x14ac:dyDescent="0.25">
      <c r="A2824">
        <v>2</v>
      </c>
      <c r="B2824">
        <v>11</v>
      </c>
      <c r="C2824"/>
      <c r="D2824" t="s">
        <v>31</v>
      </c>
      <c r="E2824" t="s">
        <v>32</v>
      </c>
      <c r="F2824" t="s">
        <v>44</v>
      </c>
      <c r="G2824" s="118">
        <v>0.59684027777777782</v>
      </c>
      <c r="H2824" s="118">
        <v>3.4722222222222224E-4</v>
      </c>
      <c r="I2824" s="118">
        <v>9.2592592592592585E-4</v>
      </c>
      <c r="J2824" s="118">
        <v>7.0717592592592594E-3</v>
      </c>
      <c r="K2824" s="118">
        <v>7.0717592592592594E-3</v>
      </c>
    </row>
    <row r="2825" spans="1:11" x14ac:dyDescent="0.25">
      <c r="A2825">
        <v>5</v>
      </c>
      <c r="B2825">
        <v>11</v>
      </c>
      <c r="C2825"/>
      <c r="D2825" t="s">
        <v>31</v>
      </c>
      <c r="E2825" t="s">
        <v>32</v>
      </c>
      <c r="F2825" t="s">
        <v>54</v>
      </c>
      <c r="G2825" s="118">
        <v>0.59690972222222227</v>
      </c>
      <c r="H2825" s="118">
        <v>3.4722222222222224E-4</v>
      </c>
      <c r="I2825" s="118">
        <v>6.9444444444444447E-4</v>
      </c>
      <c r="J2825" s="118">
        <v>7.0717592592592594E-3</v>
      </c>
      <c r="K2825" s="118">
        <v>7.0717592592592594E-3</v>
      </c>
    </row>
    <row r="2826" spans="1:11" x14ac:dyDescent="0.25">
      <c r="A2826">
        <v>4</v>
      </c>
      <c r="B2826">
        <v>11</v>
      </c>
      <c r="C2826"/>
      <c r="D2826" t="s">
        <v>31</v>
      </c>
      <c r="E2826" t="s">
        <v>35</v>
      </c>
      <c r="F2826" t="s">
        <v>38</v>
      </c>
      <c r="G2826" s="118">
        <v>0.59711805555555553</v>
      </c>
      <c r="H2826" s="118">
        <v>9.1435185185185185E-4</v>
      </c>
      <c r="I2826" s="118">
        <v>3.4722222222222224E-4</v>
      </c>
      <c r="J2826"/>
      <c r="K2826"/>
    </row>
    <row r="2827" spans="1:11" x14ac:dyDescent="0.25">
      <c r="A2827">
        <v>1</v>
      </c>
      <c r="B2827">
        <v>10</v>
      </c>
      <c r="C2827"/>
      <c r="D2827" t="s">
        <v>31</v>
      </c>
      <c r="E2827" t="s">
        <v>32</v>
      </c>
      <c r="F2827" t="s">
        <v>50</v>
      </c>
      <c r="G2827" s="118">
        <v>0.59716435185185179</v>
      </c>
      <c r="H2827" s="118">
        <v>3.4722222222222224E-4</v>
      </c>
      <c r="I2827" s="118">
        <v>1.261574074074074E-3</v>
      </c>
      <c r="J2827" s="118">
        <v>7.0717592592592594E-3</v>
      </c>
      <c r="K2827" s="118">
        <v>7.0717592592592594E-3</v>
      </c>
    </row>
    <row r="2828" spans="1:11" x14ac:dyDescent="0.25">
      <c r="A2828">
        <v>4</v>
      </c>
      <c r="B2828">
        <v>11</v>
      </c>
      <c r="C2828"/>
      <c r="D2828" t="s">
        <v>31</v>
      </c>
      <c r="E2828" t="s">
        <v>32</v>
      </c>
      <c r="F2828" t="s">
        <v>38</v>
      </c>
      <c r="G2828" s="118">
        <v>0.5974652777777778</v>
      </c>
      <c r="H2828" s="118">
        <v>3.4722222222222224E-4</v>
      </c>
      <c r="I2828" s="118">
        <v>1.2384259259259258E-3</v>
      </c>
      <c r="J2828" s="118">
        <v>7.0717592592592594E-3</v>
      </c>
      <c r="K2828" s="118">
        <v>7.0717592592592594E-3</v>
      </c>
    </row>
    <row r="2829" spans="1:11" x14ac:dyDescent="0.25">
      <c r="A2829">
        <v>5</v>
      </c>
      <c r="B2829">
        <v>11</v>
      </c>
      <c r="C2829"/>
      <c r="D2829" t="s">
        <v>31</v>
      </c>
      <c r="E2829" t="s">
        <v>35</v>
      </c>
      <c r="F2829" t="s">
        <v>92</v>
      </c>
      <c r="G2829" s="118">
        <v>0.5976041666666666</v>
      </c>
      <c r="H2829" s="118">
        <v>6.9444444444444447E-4</v>
      </c>
      <c r="I2829" s="118">
        <v>5.2083333333333333E-4</v>
      </c>
      <c r="J2829"/>
      <c r="K2829"/>
    </row>
    <row r="2830" spans="1:11" x14ac:dyDescent="0.25">
      <c r="A2830">
        <v>2</v>
      </c>
      <c r="B2830">
        <v>11</v>
      </c>
      <c r="C2830"/>
      <c r="D2830" t="s">
        <v>31</v>
      </c>
      <c r="E2830" t="s">
        <v>35</v>
      </c>
      <c r="F2830" t="s">
        <v>49</v>
      </c>
      <c r="G2830" s="118">
        <v>0.5977662037037037</v>
      </c>
      <c r="H2830" s="118">
        <v>9.2592592592592585E-4</v>
      </c>
      <c r="I2830" s="118">
        <v>3.4722222222222224E-4</v>
      </c>
      <c r="J2830"/>
      <c r="K2830"/>
    </row>
    <row r="2831" spans="1:11" x14ac:dyDescent="0.25">
      <c r="A2831">
        <v>3</v>
      </c>
      <c r="B2831">
        <v>11</v>
      </c>
      <c r="C2831"/>
      <c r="D2831" t="s">
        <v>31</v>
      </c>
      <c r="E2831" t="s">
        <v>35</v>
      </c>
      <c r="F2831" t="s">
        <v>46</v>
      </c>
      <c r="G2831" s="118">
        <v>0.59803240740740737</v>
      </c>
      <c r="H2831" s="118">
        <v>1.8055555555555557E-3</v>
      </c>
      <c r="I2831" s="118">
        <v>3.4722222222222224E-4</v>
      </c>
      <c r="J2831"/>
      <c r="K2831"/>
    </row>
    <row r="2832" spans="1:11" x14ac:dyDescent="0.25">
      <c r="A2832">
        <v>2</v>
      </c>
      <c r="B2832">
        <v>11</v>
      </c>
      <c r="C2832"/>
      <c r="D2832" t="s">
        <v>31</v>
      </c>
      <c r="E2832" t="s">
        <v>32</v>
      </c>
      <c r="F2832" t="s">
        <v>49</v>
      </c>
      <c r="G2832" s="118">
        <v>0.59811342592592587</v>
      </c>
      <c r="H2832" s="118">
        <v>3.4722222222222224E-4</v>
      </c>
      <c r="I2832" s="118">
        <v>1.3541666666666667E-3</v>
      </c>
      <c r="J2832" s="118">
        <v>7.0717592592592594E-3</v>
      </c>
      <c r="K2832" s="118">
        <v>7.0717592592592594E-3</v>
      </c>
    </row>
    <row r="2833" spans="1:11" x14ac:dyDescent="0.25">
      <c r="A2833">
        <v>5</v>
      </c>
      <c r="B2833">
        <v>12</v>
      </c>
      <c r="C2833"/>
      <c r="D2833" t="s">
        <v>31</v>
      </c>
      <c r="E2833" t="s">
        <v>32</v>
      </c>
      <c r="F2833" t="s">
        <v>92</v>
      </c>
      <c r="G2833" s="118">
        <v>0.59812500000000002</v>
      </c>
      <c r="H2833" s="118">
        <v>5.2083333333333333E-4</v>
      </c>
      <c r="I2833" s="118">
        <v>1.0069444444444444E-3</v>
      </c>
      <c r="J2833" s="118">
        <v>7.0717592592592594E-3</v>
      </c>
      <c r="K2833" s="118">
        <v>7.0717592592592594E-3</v>
      </c>
    </row>
    <row r="2834" spans="1:11" x14ac:dyDescent="0.25">
      <c r="A2834">
        <v>3</v>
      </c>
      <c r="B2834">
        <v>11</v>
      </c>
      <c r="C2834"/>
      <c r="D2834" t="s">
        <v>31</v>
      </c>
      <c r="E2834" t="s">
        <v>32</v>
      </c>
      <c r="F2834" t="s">
        <v>46</v>
      </c>
      <c r="G2834" s="118">
        <v>0.59837962962962965</v>
      </c>
      <c r="H2834" s="118">
        <v>3.4722222222222224E-4</v>
      </c>
      <c r="I2834" s="118">
        <v>9.1435185185185185E-4</v>
      </c>
      <c r="J2834" s="118">
        <v>7.0717592592592594E-3</v>
      </c>
      <c r="K2834" s="118">
        <v>7.0717592592592594E-3</v>
      </c>
    </row>
    <row r="2835" spans="1:11" x14ac:dyDescent="0.25">
      <c r="A2835">
        <v>1</v>
      </c>
      <c r="B2835">
        <v>10</v>
      </c>
      <c r="C2835"/>
      <c r="D2835" t="s">
        <v>31</v>
      </c>
      <c r="E2835" t="s">
        <v>35</v>
      </c>
      <c r="F2835" t="s">
        <v>56</v>
      </c>
      <c r="G2835" s="118">
        <v>0.59842592592592592</v>
      </c>
      <c r="H2835" s="118">
        <v>1.261574074074074E-3</v>
      </c>
      <c r="I2835" s="118">
        <v>3.4722222222222224E-4</v>
      </c>
      <c r="J2835"/>
      <c r="K2835"/>
    </row>
    <row r="2836" spans="1:11" x14ac:dyDescent="0.25">
      <c r="A2836">
        <v>4</v>
      </c>
      <c r="B2836">
        <v>11</v>
      </c>
      <c r="C2836"/>
      <c r="D2836" t="s">
        <v>31</v>
      </c>
      <c r="E2836" t="s">
        <v>35</v>
      </c>
      <c r="F2836" t="s">
        <v>45</v>
      </c>
      <c r="G2836" s="118">
        <v>0.59870370370370374</v>
      </c>
      <c r="H2836" s="118">
        <v>1.2384259259259258E-3</v>
      </c>
      <c r="I2836" s="118">
        <v>3.4722222222222224E-4</v>
      </c>
      <c r="J2836"/>
      <c r="K2836"/>
    </row>
    <row r="2837" spans="1:11" x14ac:dyDescent="0.25">
      <c r="A2837">
        <v>1</v>
      </c>
      <c r="B2837">
        <v>10</v>
      </c>
      <c r="C2837"/>
      <c r="D2837" t="s">
        <v>31</v>
      </c>
      <c r="E2837" t="s">
        <v>32</v>
      </c>
      <c r="F2837" t="s">
        <v>56</v>
      </c>
      <c r="G2837" s="118">
        <v>0.59877314814814808</v>
      </c>
      <c r="H2837" s="118">
        <v>3.4722222222222224E-4</v>
      </c>
      <c r="I2837" s="118">
        <v>9.6064814814814808E-4</v>
      </c>
      <c r="J2837" s="118">
        <v>7.0717592592592594E-3</v>
      </c>
      <c r="K2837" s="118">
        <v>7.0717592592592594E-3</v>
      </c>
    </row>
    <row r="2838" spans="1:11" x14ac:dyDescent="0.25">
      <c r="A2838">
        <v>4</v>
      </c>
      <c r="B2838">
        <v>11</v>
      </c>
      <c r="C2838"/>
      <c r="D2838" t="s">
        <v>31</v>
      </c>
      <c r="E2838" t="s">
        <v>32</v>
      </c>
      <c r="F2838" t="s">
        <v>45</v>
      </c>
      <c r="G2838" s="118">
        <v>0.5990509259259259</v>
      </c>
      <c r="H2838" s="118">
        <v>3.4722222222222224E-4</v>
      </c>
      <c r="I2838" s="118">
        <v>1.0416666666666667E-3</v>
      </c>
      <c r="J2838" s="118">
        <v>7.0717592592592594E-3</v>
      </c>
      <c r="K2838" s="118">
        <v>7.0717592592592594E-3</v>
      </c>
    </row>
    <row r="2839" spans="1:11" x14ac:dyDescent="0.25">
      <c r="A2839">
        <v>5</v>
      </c>
      <c r="B2839">
        <v>12</v>
      </c>
      <c r="C2839"/>
      <c r="D2839" t="s">
        <v>31</v>
      </c>
      <c r="E2839" t="s">
        <v>35</v>
      </c>
      <c r="F2839" t="s">
        <v>41</v>
      </c>
      <c r="G2839" s="118">
        <v>0.5991319444444444</v>
      </c>
      <c r="H2839" s="118">
        <v>1.0069444444444444E-3</v>
      </c>
      <c r="I2839" s="118">
        <v>3.4722222222222224E-4</v>
      </c>
      <c r="J2839"/>
      <c r="K2839"/>
    </row>
    <row r="2840" spans="1:11" x14ac:dyDescent="0.25">
      <c r="A2840">
        <v>3</v>
      </c>
      <c r="B2840">
        <v>11</v>
      </c>
      <c r="C2840"/>
      <c r="D2840" t="s">
        <v>31</v>
      </c>
      <c r="E2840" t="s">
        <v>35</v>
      </c>
      <c r="F2840" t="s">
        <v>51</v>
      </c>
      <c r="G2840" s="118">
        <v>0.5992939814814815</v>
      </c>
      <c r="H2840" s="118">
        <v>9.1435185185185185E-4</v>
      </c>
      <c r="I2840" s="118">
        <v>3.4722222222222224E-4</v>
      </c>
      <c r="J2840"/>
      <c r="K2840"/>
    </row>
    <row r="2841" spans="1:11" x14ac:dyDescent="0.25">
      <c r="A2841">
        <v>2</v>
      </c>
      <c r="B2841">
        <v>11</v>
      </c>
      <c r="C2841"/>
      <c r="D2841" t="s">
        <v>31</v>
      </c>
      <c r="E2841" t="s">
        <v>35</v>
      </c>
      <c r="F2841" t="s">
        <v>33</v>
      </c>
      <c r="G2841" s="118">
        <v>0.59946759259259264</v>
      </c>
      <c r="H2841" s="118">
        <v>1.3541666666666667E-3</v>
      </c>
      <c r="I2841" s="118">
        <v>5.2083333333333333E-4</v>
      </c>
      <c r="J2841"/>
      <c r="K2841"/>
    </row>
    <row r="2842" spans="1:11" x14ac:dyDescent="0.25">
      <c r="A2842">
        <v>5</v>
      </c>
      <c r="B2842">
        <v>12</v>
      </c>
      <c r="C2842"/>
      <c r="D2842" t="s">
        <v>31</v>
      </c>
      <c r="E2842" t="s">
        <v>32</v>
      </c>
      <c r="F2842" t="s">
        <v>41</v>
      </c>
      <c r="G2842" s="118">
        <v>0.59947916666666667</v>
      </c>
      <c r="H2842" s="118">
        <v>3.4722222222222224E-4</v>
      </c>
      <c r="I2842" s="118">
        <v>8.564814814814815E-4</v>
      </c>
      <c r="J2842" s="118">
        <v>7.0717592592592594E-3</v>
      </c>
      <c r="K2842" s="118">
        <v>7.0717592592592594E-3</v>
      </c>
    </row>
    <row r="2843" spans="1:11" x14ac:dyDescent="0.25">
      <c r="A2843">
        <v>3</v>
      </c>
      <c r="B2843">
        <v>11</v>
      </c>
      <c r="C2843"/>
      <c r="D2843" t="s">
        <v>31</v>
      </c>
      <c r="E2843" t="s">
        <v>32</v>
      </c>
      <c r="F2843" t="s">
        <v>51</v>
      </c>
      <c r="G2843" s="118">
        <v>0.59964120370370366</v>
      </c>
      <c r="H2843" s="118">
        <v>3.4722222222222224E-4</v>
      </c>
      <c r="I2843" s="118">
        <v>1.0069444444444444E-3</v>
      </c>
      <c r="J2843" s="118">
        <v>7.0717592592592594E-3</v>
      </c>
      <c r="K2843" s="118">
        <v>7.0717592592592594E-3</v>
      </c>
    </row>
    <row r="2844" spans="1:11" x14ac:dyDescent="0.25">
      <c r="A2844">
        <v>1</v>
      </c>
      <c r="B2844">
        <v>10</v>
      </c>
      <c r="C2844"/>
      <c r="D2844" t="s">
        <v>31</v>
      </c>
      <c r="E2844" t="s">
        <v>35</v>
      </c>
      <c r="F2844" t="s">
        <v>37</v>
      </c>
      <c r="G2844" s="118">
        <v>0.59973379629629631</v>
      </c>
      <c r="H2844" s="118">
        <v>9.6064814814814808E-4</v>
      </c>
      <c r="I2844" s="118">
        <v>3.4722222222222224E-4</v>
      </c>
      <c r="J2844"/>
      <c r="K2844"/>
    </row>
    <row r="2845" spans="1:11" x14ac:dyDescent="0.25">
      <c r="A2845">
        <v>2</v>
      </c>
      <c r="B2845">
        <v>11</v>
      </c>
      <c r="C2845"/>
      <c r="D2845" t="s">
        <v>31</v>
      </c>
      <c r="E2845" t="s">
        <v>32</v>
      </c>
      <c r="F2845" t="s">
        <v>33</v>
      </c>
      <c r="G2845" s="118">
        <v>0.59998842592592594</v>
      </c>
      <c r="H2845" s="118">
        <v>5.2083333333333333E-4</v>
      </c>
      <c r="I2845" s="118">
        <v>9.6064814814814808E-4</v>
      </c>
      <c r="J2845" s="118">
        <v>7.0717592592592594E-3</v>
      </c>
      <c r="K2845" s="118">
        <v>7.0717592592592594E-3</v>
      </c>
    </row>
    <row r="2846" spans="1:11" x14ac:dyDescent="0.25">
      <c r="A2846">
        <v>1</v>
      </c>
      <c r="B2846">
        <v>10</v>
      </c>
      <c r="C2846"/>
      <c r="D2846" t="s">
        <v>31</v>
      </c>
      <c r="E2846" t="s">
        <v>32</v>
      </c>
      <c r="F2846" t="s">
        <v>37</v>
      </c>
      <c r="G2846" s="118">
        <v>0.60008101851851847</v>
      </c>
      <c r="H2846" s="118">
        <v>3.4722222222222224E-4</v>
      </c>
      <c r="I2846" s="118">
        <v>9.0277777777777784E-4</v>
      </c>
      <c r="J2846" s="118">
        <v>7.0717592592592594E-3</v>
      </c>
      <c r="K2846" s="118">
        <v>7.0717592592592594E-3</v>
      </c>
    </row>
    <row r="2847" spans="1:11" x14ac:dyDescent="0.25">
      <c r="A2847">
        <v>4</v>
      </c>
      <c r="B2847">
        <v>11</v>
      </c>
      <c r="C2847"/>
      <c r="D2847" t="s">
        <v>31</v>
      </c>
      <c r="E2847" t="s">
        <v>35</v>
      </c>
      <c r="F2847" t="s">
        <v>52</v>
      </c>
      <c r="G2847" s="118">
        <v>0.60009259259259262</v>
      </c>
      <c r="H2847" s="118">
        <v>1.0416666666666667E-3</v>
      </c>
      <c r="I2847" s="118">
        <v>3.4722222222222224E-4</v>
      </c>
      <c r="J2847"/>
      <c r="K2847"/>
    </row>
    <row r="2848" spans="1:11" x14ac:dyDescent="0.25">
      <c r="A2848">
        <v>5</v>
      </c>
      <c r="B2848">
        <v>12</v>
      </c>
      <c r="C2848"/>
      <c r="D2848" t="s">
        <v>31</v>
      </c>
      <c r="E2848" t="s">
        <v>35</v>
      </c>
      <c r="F2848" t="s">
        <v>47</v>
      </c>
      <c r="G2848" s="118">
        <v>0.60033564814814822</v>
      </c>
      <c r="H2848" s="118">
        <v>8.564814814814815E-4</v>
      </c>
      <c r="I2848" s="118">
        <v>5.2083333333333333E-4</v>
      </c>
      <c r="J2848"/>
      <c r="K2848"/>
    </row>
    <row r="2849" spans="1:11" x14ac:dyDescent="0.25">
      <c r="A2849">
        <v>4</v>
      </c>
      <c r="B2849">
        <v>11</v>
      </c>
      <c r="C2849"/>
      <c r="D2849" t="s">
        <v>31</v>
      </c>
      <c r="E2849" t="s">
        <v>32</v>
      </c>
      <c r="F2849" t="s">
        <v>52</v>
      </c>
      <c r="G2849" s="118">
        <v>0.60043981481481479</v>
      </c>
      <c r="H2849" s="118">
        <v>3.4722222222222224E-4</v>
      </c>
      <c r="I2849" s="118">
        <v>1.0532407407407407E-3</v>
      </c>
      <c r="J2849" s="118">
        <v>7.0717592592592594E-3</v>
      </c>
      <c r="K2849" s="118">
        <v>7.0717592592592594E-3</v>
      </c>
    </row>
    <row r="2850" spans="1:11" x14ac:dyDescent="0.25">
      <c r="A2850">
        <v>3</v>
      </c>
      <c r="B2850">
        <v>11</v>
      </c>
      <c r="C2850"/>
      <c r="D2850" t="s">
        <v>31</v>
      </c>
      <c r="E2850" t="s">
        <v>35</v>
      </c>
      <c r="F2850" t="s">
        <v>55</v>
      </c>
      <c r="G2850" s="118">
        <v>0.60064814814814815</v>
      </c>
      <c r="H2850" s="118">
        <v>1.0069444444444444E-3</v>
      </c>
      <c r="I2850" s="118">
        <v>4.6296296296296293E-4</v>
      </c>
      <c r="J2850"/>
      <c r="K2850"/>
    </row>
    <row r="2851" spans="1:11" x14ac:dyDescent="0.25">
      <c r="A2851">
        <v>5</v>
      </c>
      <c r="B2851">
        <v>12</v>
      </c>
      <c r="C2851"/>
      <c r="D2851" t="s">
        <v>31</v>
      </c>
      <c r="E2851" t="s">
        <v>32</v>
      </c>
      <c r="F2851" t="s">
        <v>47</v>
      </c>
      <c r="G2851" s="118">
        <v>0.60085648148148152</v>
      </c>
      <c r="H2851" s="118">
        <v>5.2083333333333333E-4</v>
      </c>
      <c r="I2851" s="118">
        <v>8.7962962962962962E-4</v>
      </c>
      <c r="J2851" s="118">
        <v>7.0717592592592594E-3</v>
      </c>
      <c r="K2851" s="118">
        <v>7.0717592592592594E-3</v>
      </c>
    </row>
    <row r="2852" spans="1:11" x14ac:dyDescent="0.25">
      <c r="A2852">
        <v>2</v>
      </c>
      <c r="B2852">
        <v>11</v>
      </c>
      <c r="C2852"/>
      <c r="D2852" t="s">
        <v>31</v>
      </c>
      <c r="E2852" t="s">
        <v>35</v>
      </c>
      <c r="F2852" t="s">
        <v>36</v>
      </c>
      <c r="G2852" s="118">
        <v>0.60094907407407405</v>
      </c>
      <c r="H2852" s="118">
        <v>9.6064814814814808E-4</v>
      </c>
      <c r="I2852" s="118">
        <v>3.4722222222222224E-4</v>
      </c>
      <c r="J2852"/>
      <c r="K2852"/>
    </row>
    <row r="2853" spans="1:11" x14ac:dyDescent="0.25">
      <c r="A2853">
        <v>1</v>
      </c>
      <c r="B2853">
        <v>10</v>
      </c>
      <c r="C2853"/>
      <c r="D2853" t="s">
        <v>31</v>
      </c>
      <c r="E2853" t="s">
        <v>35</v>
      </c>
      <c r="F2853" t="s">
        <v>42</v>
      </c>
      <c r="G2853" s="118">
        <v>0.60098379629629628</v>
      </c>
      <c r="H2853" s="118">
        <v>9.0277777777777784E-4</v>
      </c>
      <c r="I2853" s="118">
        <v>3.4722222222222224E-4</v>
      </c>
      <c r="J2853"/>
      <c r="K2853"/>
    </row>
    <row r="2854" spans="1:11" x14ac:dyDescent="0.25">
      <c r="A2854">
        <v>3</v>
      </c>
      <c r="B2854">
        <v>11</v>
      </c>
      <c r="C2854"/>
      <c r="D2854" t="s">
        <v>31</v>
      </c>
      <c r="E2854" t="s">
        <v>32</v>
      </c>
      <c r="F2854" t="s">
        <v>55</v>
      </c>
      <c r="G2854" s="118">
        <v>0.60111111111111104</v>
      </c>
      <c r="H2854" s="118">
        <v>4.6296296296296293E-4</v>
      </c>
      <c r="I2854" s="118">
        <v>4.3981481481481481E-4</v>
      </c>
      <c r="J2854" s="118">
        <v>7.0717592592592594E-3</v>
      </c>
      <c r="K2854" s="118">
        <v>7.0717592592592594E-3</v>
      </c>
    </row>
    <row r="2855" spans="1:11" x14ac:dyDescent="0.25">
      <c r="A2855">
        <v>2</v>
      </c>
      <c r="B2855">
        <v>11</v>
      </c>
      <c r="C2855"/>
      <c r="D2855" t="s">
        <v>31</v>
      </c>
      <c r="E2855" t="s">
        <v>32</v>
      </c>
      <c r="F2855" t="s">
        <v>36</v>
      </c>
      <c r="G2855" s="118">
        <v>0.60129629629629633</v>
      </c>
      <c r="H2855" s="118">
        <v>3.4722222222222224E-4</v>
      </c>
      <c r="I2855" s="118">
        <v>1.0995370370370371E-3</v>
      </c>
      <c r="J2855" s="118">
        <v>7.0717592592592594E-3</v>
      </c>
      <c r="K2855" s="118">
        <v>7.0717592592592594E-3</v>
      </c>
    </row>
    <row r="2856" spans="1:11" x14ac:dyDescent="0.25">
      <c r="A2856">
        <v>1</v>
      </c>
      <c r="B2856">
        <v>10</v>
      </c>
      <c r="C2856"/>
      <c r="D2856" t="s">
        <v>31</v>
      </c>
      <c r="E2856" t="s">
        <v>32</v>
      </c>
      <c r="F2856" t="s">
        <v>42</v>
      </c>
      <c r="G2856" s="118">
        <v>0.60133101851851845</v>
      </c>
      <c r="H2856" s="118">
        <v>3.4722222222222224E-4</v>
      </c>
      <c r="I2856" s="118">
        <v>9.1435185185185185E-4</v>
      </c>
      <c r="J2856" s="118">
        <v>7.0717592592592594E-3</v>
      </c>
      <c r="K2856" s="118">
        <v>7.0717592592592594E-3</v>
      </c>
    </row>
    <row r="2857" spans="1:11" x14ac:dyDescent="0.25">
      <c r="A2857">
        <v>4</v>
      </c>
      <c r="B2857">
        <v>11</v>
      </c>
      <c r="C2857"/>
      <c r="D2857" t="s">
        <v>31</v>
      </c>
      <c r="E2857" t="s">
        <v>35</v>
      </c>
      <c r="F2857" t="s">
        <v>57</v>
      </c>
      <c r="G2857" s="118">
        <v>0.60149305555555554</v>
      </c>
      <c r="H2857" s="118">
        <v>1.0532407407407407E-3</v>
      </c>
      <c r="I2857" s="118">
        <v>3.4722222222222224E-4</v>
      </c>
      <c r="J2857"/>
      <c r="K2857"/>
    </row>
    <row r="2858" spans="1:11" x14ac:dyDescent="0.25">
      <c r="A2858">
        <v>3</v>
      </c>
      <c r="B2858">
        <v>11</v>
      </c>
      <c r="C2858"/>
      <c r="D2858" t="s">
        <v>31</v>
      </c>
      <c r="E2858" t="s">
        <v>35</v>
      </c>
      <c r="F2858" t="s">
        <v>58</v>
      </c>
      <c r="G2858" s="118">
        <v>0.60155092592592596</v>
      </c>
      <c r="H2858" s="118">
        <v>4.3981481481481481E-4</v>
      </c>
      <c r="I2858" s="118">
        <v>5.7870370370370366E-5</v>
      </c>
      <c r="J2858"/>
      <c r="K2858"/>
    </row>
    <row r="2859" spans="1:11" x14ac:dyDescent="0.25">
      <c r="A2859">
        <v>3</v>
      </c>
      <c r="B2859">
        <v>11</v>
      </c>
      <c r="C2859"/>
      <c r="D2859" t="s">
        <v>31</v>
      </c>
      <c r="E2859" t="s">
        <v>32</v>
      </c>
      <c r="F2859" t="s">
        <v>58</v>
      </c>
      <c r="G2859" s="118">
        <v>0.60160879629629627</v>
      </c>
      <c r="H2859" s="118">
        <v>5.7870370370370366E-5</v>
      </c>
      <c r="I2859" s="118">
        <v>4.8611111111111104E-4</v>
      </c>
      <c r="J2859" s="118">
        <v>7.0717592592592594E-3</v>
      </c>
      <c r="K2859" s="118">
        <v>7.0717592592592594E-3</v>
      </c>
    </row>
    <row r="2860" spans="1:11" x14ac:dyDescent="0.25">
      <c r="A2860">
        <v>5</v>
      </c>
      <c r="B2860">
        <v>12</v>
      </c>
      <c r="C2860"/>
      <c r="D2860" t="s">
        <v>31</v>
      </c>
      <c r="E2860" t="s">
        <v>35</v>
      </c>
      <c r="F2860" t="s">
        <v>53</v>
      </c>
      <c r="G2860" s="118">
        <v>0.60173611111111114</v>
      </c>
      <c r="H2860" s="118">
        <v>8.7962962962962962E-4</v>
      </c>
      <c r="I2860" s="118">
        <v>3.4722222222222224E-4</v>
      </c>
      <c r="J2860"/>
      <c r="K2860"/>
    </row>
    <row r="2861" spans="1:11" x14ac:dyDescent="0.25">
      <c r="A2861">
        <v>4</v>
      </c>
      <c r="B2861">
        <v>11</v>
      </c>
      <c r="C2861"/>
      <c r="D2861" t="s">
        <v>31</v>
      </c>
      <c r="E2861" t="s">
        <v>32</v>
      </c>
      <c r="F2861" t="s">
        <v>57</v>
      </c>
      <c r="G2861" s="118">
        <v>0.60184027777777771</v>
      </c>
      <c r="H2861" s="118">
        <v>3.4722222222222224E-4</v>
      </c>
      <c r="I2861" s="118">
        <v>9.3750000000000007E-4</v>
      </c>
      <c r="J2861" s="118">
        <v>7.0717592592592594E-3</v>
      </c>
      <c r="K2861" s="118">
        <v>7.0717592592592594E-3</v>
      </c>
    </row>
    <row r="2862" spans="1:11" x14ac:dyDescent="0.25">
      <c r="A2862">
        <v>5</v>
      </c>
      <c r="B2862">
        <v>12</v>
      </c>
      <c r="C2862"/>
      <c r="D2862" t="s">
        <v>31</v>
      </c>
      <c r="E2862" t="s">
        <v>32</v>
      </c>
      <c r="F2862" t="s">
        <v>53</v>
      </c>
      <c r="G2862" s="118">
        <v>0.6020833333333333</v>
      </c>
      <c r="H2862" s="118">
        <v>3.4722222222222224E-4</v>
      </c>
      <c r="I2862" s="118">
        <v>8.449074074074075E-4</v>
      </c>
      <c r="J2862" s="118">
        <v>7.0717592592592594E-3</v>
      </c>
      <c r="K2862" s="118">
        <v>7.0717592592592594E-3</v>
      </c>
    </row>
    <row r="2863" spans="1:11" x14ac:dyDescent="0.25">
      <c r="A2863">
        <v>3</v>
      </c>
      <c r="B2863">
        <v>11</v>
      </c>
      <c r="C2863"/>
      <c r="D2863" t="s">
        <v>31</v>
      </c>
      <c r="E2863" t="s">
        <v>35</v>
      </c>
      <c r="F2863" t="s">
        <v>40</v>
      </c>
      <c r="G2863" s="118">
        <v>0.60209490740740745</v>
      </c>
      <c r="H2863" s="118">
        <v>4.8611111111111104E-4</v>
      </c>
      <c r="I2863" s="118">
        <v>4.6296296296296293E-4</v>
      </c>
      <c r="J2863"/>
      <c r="K2863"/>
    </row>
    <row r="2864" spans="1:11" x14ac:dyDescent="0.25">
      <c r="A2864">
        <v>1</v>
      </c>
      <c r="B2864">
        <v>10</v>
      </c>
      <c r="C2864"/>
      <c r="D2864" t="s">
        <v>31</v>
      </c>
      <c r="E2864" t="s">
        <v>35</v>
      </c>
      <c r="F2864" t="s">
        <v>48</v>
      </c>
      <c r="G2864" s="118">
        <v>0.6022453703703704</v>
      </c>
      <c r="H2864" s="118">
        <v>9.1435185185185185E-4</v>
      </c>
      <c r="I2864" s="118">
        <v>5.2083333333333333E-4</v>
      </c>
      <c r="J2864"/>
      <c r="K2864"/>
    </row>
    <row r="2865" spans="1:11" x14ac:dyDescent="0.25">
      <c r="A2865">
        <v>2</v>
      </c>
      <c r="B2865">
        <v>11</v>
      </c>
      <c r="C2865"/>
      <c r="D2865" t="s">
        <v>31</v>
      </c>
      <c r="E2865" t="s">
        <v>35</v>
      </c>
      <c r="F2865" t="s">
        <v>43</v>
      </c>
      <c r="G2865" s="118">
        <v>0.60239583333333335</v>
      </c>
      <c r="H2865" s="118">
        <v>1.0995370370370371E-3</v>
      </c>
      <c r="I2865" s="118">
        <v>3.4722222222222224E-4</v>
      </c>
      <c r="J2865"/>
      <c r="K2865"/>
    </row>
    <row r="2866" spans="1:11" x14ac:dyDescent="0.25">
      <c r="A2866">
        <v>3</v>
      </c>
      <c r="B2866">
        <v>11</v>
      </c>
      <c r="C2866"/>
      <c r="D2866" t="s">
        <v>31</v>
      </c>
      <c r="E2866" t="s">
        <v>32</v>
      </c>
      <c r="F2866" t="s">
        <v>40</v>
      </c>
      <c r="G2866" s="118">
        <v>0.60255787037037034</v>
      </c>
      <c r="H2866" s="118">
        <v>4.6296296296296293E-4</v>
      </c>
      <c r="I2866" s="118">
        <v>1.0069444444444444E-3</v>
      </c>
      <c r="J2866" s="118">
        <v>7.0717592592592594E-3</v>
      </c>
      <c r="K2866" s="118">
        <v>7.0717592592592594E-3</v>
      </c>
    </row>
    <row r="2867" spans="1:11" x14ac:dyDescent="0.25">
      <c r="A2867">
        <v>2</v>
      </c>
      <c r="B2867">
        <v>11</v>
      </c>
      <c r="C2867"/>
      <c r="D2867" t="s">
        <v>31</v>
      </c>
      <c r="E2867" t="s">
        <v>32</v>
      </c>
      <c r="F2867" t="s">
        <v>43</v>
      </c>
      <c r="G2867" s="118">
        <v>0.60274305555555552</v>
      </c>
      <c r="H2867" s="118">
        <v>3.4722222222222224E-4</v>
      </c>
      <c r="I2867" s="118">
        <v>1.1458333333333333E-3</v>
      </c>
      <c r="J2867" s="118">
        <v>7.0717592592592594E-3</v>
      </c>
      <c r="K2867" s="118">
        <v>7.0717592592592594E-3</v>
      </c>
    </row>
    <row r="2868" spans="1:11" x14ac:dyDescent="0.25">
      <c r="A2868">
        <v>1</v>
      </c>
      <c r="B2868">
        <v>10</v>
      </c>
      <c r="C2868"/>
      <c r="D2868" t="s">
        <v>31</v>
      </c>
      <c r="E2868" t="s">
        <v>32</v>
      </c>
      <c r="F2868" t="s">
        <v>48</v>
      </c>
      <c r="G2868" s="118">
        <v>0.60276620370370371</v>
      </c>
      <c r="H2868" s="118">
        <v>5.2083333333333333E-4</v>
      </c>
      <c r="I2868" s="118">
        <v>8.6805555555555551E-4</v>
      </c>
      <c r="J2868" s="118">
        <v>7.0717592592592594E-3</v>
      </c>
      <c r="K2868" s="118">
        <v>7.0717592592592594E-3</v>
      </c>
    </row>
    <row r="2869" spans="1:11" x14ac:dyDescent="0.25">
      <c r="A2869">
        <v>4</v>
      </c>
      <c r="B2869">
        <v>11</v>
      </c>
      <c r="C2869"/>
      <c r="D2869" t="s">
        <v>31</v>
      </c>
      <c r="E2869" t="s">
        <v>35</v>
      </c>
      <c r="F2869" t="s">
        <v>39</v>
      </c>
      <c r="G2869" s="118">
        <v>0.60277777777777775</v>
      </c>
      <c r="H2869" s="118">
        <v>9.3750000000000007E-4</v>
      </c>
      <c r="I2869" s="118">
        <v>5.2083333333333333E-4</v>
      </c>
      <c r="J2869"/>
      <c r="K2869"/>
    </row>
    <row r="2870" spans="1:11" x14ac:dyDescent="0.25">
      <c r="A2870">
        <v>5</v>
      </c>
      <c r="B2870">
        <v>12</v>
      </c>
      <c r="C2870"/>
      <c r="D2870" t="s">
        <v>31</v>
      </c>
      <c r="E2870" t="s">
        <v>35</v>
      </c>
      <c r="F2870" t="s">
        <v>34</v>
      </c>
      <c r="G2870" s="118">
        <v>0.6029282407407407</v>
      </c>
      <c r="H2870" s="118">
        <v>8.449074074074075E-4</v>
      </c>
      <c r="I2870" s="118">
        <v>3.4722222222222224E-4</v>
      </c>
      <c r="J2870"/>
      <c r="K2870"/>
    </row>
    <row r="2871" spans="1:11" x14ac:dyDescent="0.25">
      <c r="A2871">
        <v>5</v>
      </c>
      <c r="B2871">
        <v>12</v>
      </c>
      <c r="C2871"/>
      <c r="D2871" t="s">
        <v>31</v>
      </c>
      <c r="E2871" t="s">
        <v>32</v>
      </c>
      <c r="F2871" t="s">
        <v>34</v>
      </c>
      <c r="G2871" s="118">
        <v>0.60327546296296297</v>
      </c>
      <c r="H2871" s="118">
        <v>3.4722222222222224E-4</v>
      </c>
      <c r="I2871" s="118">
        <v>9.1435185185185185E-4</v>
      </c>
      <c r="J2871" s="118">
        <v>7.0717592592592594E-3</v>
      </c>
      <c r="K2871" s="118">
        <v>7.0717592592592594E-3</v>
      </c>
    </row>
    <row r="2872" spans="1:11" x14ac:dyDescent="0.25">
      <c r="A2872">
        <v>4</v>
      </c>
      <c r="B2872">
        <v>11</v>
      </c>
      <c r="C2872"/>
      <c r="D2872" t="s">
        <v>31</v>
      </c>
      <c r="E2872" t="s">
        <v>32</v>
      </c>
      <c r="F2872" t="s">
        <v>39</v>
      </c>
      <c r="G2872" s="118">
        <v>0.60329861111111105</v>
      </c>
      <c r="H2872" s="118">
        <v>5.2083333333333333E-4</v>
      </c>
      <c r="I2872" s="118">
        <v>1.8055555555555557E-3</v>
      </c>
      <c r="J2872" s="118">
        <v>7.0717592592592594E-3</v>
      </c>
      <c r="K2872" s="118">
        <v>7.0717592592592594E-3</v>
      </c>
    </row>
    <row r="2873" spans="1:11" x14ac:dyDescent="0.25">
      <c r="A2873">
        <v>3</v>
      </c>
      <c r="B2873">
        <v>11</v>
      </c>
      <c r="C2873"/>
      <c r="D2873" t="s">
        <v>31</v>
      </c>
      <c r="E2873" t="s">
        <v>35</v>
      </c>
      <c r="F2873" t="s">
        <v>44</v>
      </c>
      <c r="G2873" s="118">
        <v>0.60356481481481483</v>
      </c>
      <c r="H2873" s="118">
        <v>1.0069444444444444E-3</v>
      </c>
      <c r="I2873" s="118">
        <v>3.4722222222222224E-4</v>
      </c>
      <c r="J2873"/>
      <c r="K2873"/>
    </row>
    <row r="2874" spans="1:11" x14ac:dyDescent="0.25">
      <c r="A2874">
        <v>1</v>
      </c>
      <c r="B2874">
        <v>10</v>
      </c>
      <c r="C2874"/>
      <c r="D2874" t="s">
        <v>31</v>
      </c>
      <c r="E2874" t="s">
        <v>35</v>
      </c>
      <c r="F2874" t="s">
        <v>54</v>
      </c>
      <c r="G2874" s="118">
        <v>0.60363425925925929</v>
      </c>
      <c r="H2874" s="118">
        <v>8.6805555555555551E-4</v>
      </c>
      <c r="I2874" s="118">
        <v>3.4722222222222224E-4</v>
      </c>
      <c r="J2874"/>
      <c r="K2874"/>
    </row>
    <row r="2875" spans="1:11" x14ac:dyDescent="0.25">
      <c r="A2875">
        <v>2</v>
      </c>
      <c r="B2875">
        <v>11</v>
      </c>
      <c r="C2875"/>
      <c r="D2875" t="s">
        <v>31</v>
      </c>
      <c r="E2875" t="s">
        <v>35</v>
      </c>
      <c r="F2875" t="s">
        <v>50</v>
      </c>
      <c r="G2875" s="118">
        <v>0.60388888888888892</v>
      </c>
      <c r="H2875" s="118">
        <v>1.1458333333333333E-3</v>
      </c>
      <c r="I2875" s="118">
        <v>3.4722222222222224E-4</v>
      </c>
      <c r="J2875"/>
      <c r="K2875"/>
    </row>
    <row r="2876" spans="1:11" x14ac:dyDescent="0.25">
      <c r="A2876">
        <v>3</v>
      </c>
      <c r="B2876">
        <v>11</v>
      </c>
      <c r="C2876"/>
      <c r="D2876" t="s">
        <v>31</v>
      </c>
      <c r="E2876" t="s">
        <v>32</v>
      </c>
      <c r="F2876" t="s">
        <v>44</v>
      </c>
      <c r="G2876" s="118">
        <v>0.60391203703703711</v>
      </c>
      <c r="H2876" s="118">
        <v>3.4722222222222224E-4</v>
      </c>
      <c r="I2876" s="118">
        <v>9.2592592592592585E-4</v>
      </c>
      <c r="J2876" s="118">
        <v>7.0717592592592594E-3</v>
      </c>
      <c r="K2876" s="118">
        <v>7.0717592592592594E-3</v>
      </c>
    </row>
    <row r="2877" spans="1:11" x14ac:dyDescent="0.25">
      <c r="A2877">
        <v>1</v>
      </c>
      <c r="B2877">
        <v>10</v>
      </c>
      <c r="C2877"/>
      <c r="D2877" t="s">
        <v>31</v>
      </c>
      <c r="E2877" t="s">
        <v>32</v>
      </c>
      <c r="F2877" t="s">
        <v>54</v>
      </c>
      <c r="G2877" s="118">
        <v>0.60398148148148145</v>
      </c>
      <c r="H2877" s="118">
        <v>3.4722222222222224E-4</v>
      </c>
      <c r="I2877" s="118">
        <v>6.9444444444444447E-4</v>
      </c>
      <c r="J2877" s="118">
        <v>7.0717592592592594E-3</v>
      </c>
      <c r="K2877" s="118">
        <v>7.0717592592592594E-3</v>
      </c>
    </row>
    <row r="2878" spans="1:11" x14ac:dyDescent="0.25">
      <c r="A2878">
        <v>5</v>
      </c>
      <c r="B2878">
        <v>12</v>
      </c>
      <c r="C2878"/>
      <c r="D2878" t="s">
        <v>31</v>
      </c>
      <c r="E2878" t="s">
        <v>35</v>
      </c>
      <c r="F2878" t="s">
        <v>38</v>
      </c>
      <c r="G2878" s="118">
        <v>0.60418981481481482</v>
      </c>
      <c r="H2878" s="118">
        <v>9.1435185185185185E-4</v>
      </c>
      <c r="I2878" s="118">
        <v>3.4722222222222224E-4</v>
      </c>
      <c r="J2878"/>
      <c r="K2878"/>
    </row>
    <row r="2879" spans="1:11" x14ac:dyDescent="0.25">
      <c r="A2879">
        <v>2</v>
      </c>
      <c r="B2879">
        <v>11</v>
      </c>
      <c r="C2879"/>
      <c r="D2879" t="s">
        <v>31</v>
      </c>
      <c r="E2879" t="s">
        <v>32</v>
      </c>
      <c r="F2879" t="s">
        <v>50</v>
      </c>
      <c r="G2879" s="118">
        <v>0.60423611111111108</v>
      </c>
      <c r="H2879" s="118">
        <v>3.4722222222222224E-4</v>
      </c>
      <c r="I2879" s="118">
        <v>1.261574074074074E-3</v>
      </c>
      <c r="J2879" s="118">
        <v>7.0717592592592594E-3</v>
      </c>
      <c r="K2879" s="118">
        <v>7.0717592592592594E-3</v>
      </c>
    </row>
    <row r="2880" spans="1:11" x14ac:dyDescent="0.25">
      <c r="A2880">
        <v>5</v>
      </c>
      <c r="B2880">
        <v>12</v>
      </c>
      <c r="C2880"/>
      <c r="D2880" t="s">
        <v>31</v>
      </c>
      <c r="E2880" t="s">
        <v>32</v>
      </c>
      <c r="F2880" t="s">
        <v>38</v>
      </c>
      <c r="G2880" s="118">
        <v>0.60453703703703698</v>
      </c>
      <c r="H2880" s="118">
        <v>3.4722222222222224E-4</v>
      </c>
      <c r="I2880" s="118">
        <v>1.2384259259259258E-3</v>
      </c>
      <c r="J2880" s="118">
        <v>7.0717592592592594E-3</v>
      </c>
      <c r="K2880" s="118">
        <v>7.0717592592592594E-3</v>
      </c>
    </row>
    <row r="2881" spans="1:11" x14ac:dyDescent="0.25">
      <c r="A2881">
        <v>1</v>
      </c>
      <c r="B2881">
        <v>10</v>
      </c>
      <c r="C2881"/>
      <c r="D2881" t="s">
        <v>31</v>
      </c>
      <c r="E2881" t="s">
        <v>35</v>
      </c>
      <c r="F2881" t="s">
        <v>92</v>
      </c>
      <c r="G2881" s="118">
        <v>0.60467592592592589</v>
      </c>
      <c r="H2881" s="118">
        <v>6.9444444444444447E-4</v>
      </c>
      <c r="I2881" s="118">
        <v>5.2083333333333333E-4</v>
      </c>
      <c r="J2881"/>
      <c r="K2881"/>
    </row>
    <row r="2882" spans="1:11" x14ac:dyDescent="0.25">
      <c r="A2882">
        <v>3</v>
      </c>
      <c r="B2882">
        <v>11</v>
      </c>
      <c r="C2882"/>
      <c r="D2882" t="s">
        <v>31</v>
      </c>
      <c r="E2882" t="s">
        <v>35</v>
      </c>
      <c r="F2882" t="s">
        <v>49</v>
      </c>
      <c r="G2882" s="118">
        <v>0.60483796296296299</v>
      </c>
      <c r="H2882" s="118">
        <v>9.2592592592592585E-4</v>
      </c>
      <c r="I2882" s="118">
        <v>3.4722222222222224E-4</v>
      </c>
      <c r="J2882"/>
      <c r="K2882"/>
    </row>
    <row r="2883" spans="1:11" x14ac:dyDescent="0.25">
      <c r="A2883">
        <v>4</v>
      </c>
      <c r="B2883">
        <v>11</v>
      </c>
      <c r="C2883"/>
      <c r="D2883" t="s">
        <v>31</v>
      </c>
      <c r="E2883" t="s">
        <v>35</v>
      </c>
      <c r="F2883" t="s">
        <v>46</v>
      </c>
      <c r="G2883" s="118">
        <v>0.60510416666666667</v>
      </c>
      <c r="H2883" s="118">
        <v>1.8055555555555557E-3</v>
      </c>
      <c r="I2883" s="118">
        <v>3.4722222222222224E-4</v>
      </c>
      <c r="J2883"/>
      <c r="K2883"/>
    </row>
    <row r="2884" spans="1:11" x14ac:dyDescent="0.25">
      <c r="A2884">
        <v>3</v>
      </c>
      <c r="B2884">
        <v>11</v>
      </c>
      <c r="C2884"/>
      <c r="D2884" t="s">
        <v>31</v>
      </c>
      <c r="E2884" t="s">
        <v>32</v>
      </c>
      <c r="F2884" t="s">
        <v>49</v>
      </c>
      <c r="G2884" s="118">
        <v>0.60518518518518516</v>
      </c>
      <c r="H2884" s="118">
        <v>3.4722222222222224E-4</v>
      </c>
      <c r="I2884" s="118">
        <v>1.3541666666666667E-3</v>
      </c>
      <c r="J2884" s="118">
        <v>7.0717592592592594E-3</v>
      </c>
      <c r="K2884" s="118">
        <v>7.0717592592592594E-3</v>
      </c>
    </row>
    <row r="2885" spans="1:11" x14ac:dyDescent="0.25">
      <c r="A2885">
        <v>1</v>
      </c>
      <c r="B2885">
        <v>11</v>
      </c>
      <c r="C2885"/>
      <c r="D2885" t="s">
        <v>31</v>
      </c>
      <c r="E2885" t="s">
        <v>32</v>
      </c>
      <c r="F2885" t="s">
        <v>92</v>
      </c>
      <c r="G2885" s="118">
        <v>0.6051967592592592</v>
      </c>
      <c r="H2885" s="118">
        <v>5.2083333333333333E-4</v>
      </c>
      <c r="I2885" s="118">
        <v>1.0069444444444444E-3</v>
      </c>
      <c r="J2885" s="118">
        <v>7.0717592592592594E-3</v>
      </c>
      <c r="K2885" s="118">
        <v>7.0717592592592594E-3</v>
      </c>
    </row>
    <row r="2886" spans="1:11" x14ac:dyDescent="0.25">
      <c r="A2886">
        <v>4</v>
      </c>
      <c r="B2886">
        <v>11</v>
      </c>
      <c r="C2886"/>
      <c r="D2886" t="s">
        <v>31</v>
      </c>
      <c r="E2886" t="s">
        <v>32</v>
      </c>
      <c r="F2886" t="s">
        <v>46</v>
      </c>
      <c r="G2886" s="118">
        <v>0.60545138888888894</v>
      </c>
      <c r="H2886" s="118">
        <v>3.4722222222222224E-4</v>
      </c>
      <c r="I2886" s="118">
        <v>9.1435185185185185E-4</v>
      </c>
      <c r="J2886" s="118">
        <v>7.0717592592592594E-3</v>
      </c>
      <c r="K2886" s="118">
        <v>7.0717592592592594E-3</v>
      </c>
    </row>
    <row r="2887" spans="1:11" x14ac:dyDescent="0.25">
      <c r="A2887">
        <v>2</v>
      </c>
      <c r="B2887">
        <v>11</v>
      </c>
      <c r="C2887"/>
      <c r="D2887" t="s">
        <v>31</v>
      </c>
      <c r="E2887" t="s">
        <v>35</v>
      </c>
      <c r="F2887" t="s">
        <v>56</v>
      </c>
      <c r="G2887" s="118">
        <v>0.60549768518518521</v>
      </c>
      <c r="H2887" s="118">
        <v>1.261574074074074E-3</v>
      </c>
      <c r="I2887" s="118">
        <v>3.4722222222222224E-4</v>
      </c>
      <c r="J2887"/>
      <c r="K2887"/>
    </row>
    <row r="2888" spans="1:11" x14ac:dyDescent="0.25">
      <c r="A2888">
        <v>5</v>
      </c>
      <c r="B2888">
        <v>12</v>
      </c>
      <c r="C2888"/>
      <c r="D2888" t="s">
        <v>31</v>
      </c>
      <c r="E2888" t="s">
        <v>35</v>
      </c>
      <c r="F2888" t="s">
        <v>45</v>
      </c>
      <c r="G2888" s="118">
        <v>0.60577546296296292</v>
      </c>
      <c r="H2888" s="118">
        <v>1.2384259259259258E-3</v>
      </c>
      <c r="I2888" s="118">
        <v>3.4722222222222224E-4</v>
      </c>
      <c r="J2888"/>
      <c r="K2888"/>
    </row>
    <row r="2889" spans="1:11" x14ac:dyDescent="0.25">
      <c r="A2889">
        <v>2</v>
      </c>
      <c r="B2889">
        <v>11</v>
      </c>
      <c r="C2889"/>
      <c r="D2889" t="s">
        <v>31</v>
      </c>
      <c r="E2889" t="s">
        <v>32</v>
      </c>
      <c r="F2889" t="s">
        <v>56</v>
      </c>
      <c r="G2889" s="118">
        <v>0.60584490740740737</v>
      </c>
      <c r="H2889" s="118">
        <v>3.4722222222222224E-4</v>
      </c>
      <c r="I2889" s="118">
        <v>9.6064814814814808E-4</v>
      </c>
      <c r="J2889" s="118">
        <v>7.0717592592592594E-3</v>
      </c>
      <c r="K2889" s="118">
        <v>7.0717592592592594E-3</v>
      </c>
    </row>
    <row r="2890" spans="1:11" x14ac:dyDescent="0.25">
      <c r="A2890">
        <v>5</v>
      </c>
      <c r="B2890">
        <v>12</v>
      </c>
      <c r="C2890"/>
      <c r="D2890" t="s">
        <v>31</v>
      </c>
      <c r="E2890" t="s">
        <v>32</v>
      </c>
      <c r="F2890" t="s">
        <v>45</v>
      </c>
      <c r="G2890" s="118">
        <v>0.60612268518518519</v>
      </c>
      <c r="H2890" s="118">
        <v>3.4722222222222224E-4</v>
      </c>
      <c r="I2890" s="118">
        <v>1.0416666666666667E-3</v>
      </c>
      <c r="J2890" s="118">
        <v>7.0717592592592594E-3</v>
      </c>
      <c r="K2890" s="118">
        <v>7.0717592592592594E-3</v>
      </c>
    </row>
    <row r="2891" spans="1:11" x14ac:dyDescent="0.25">
      <c r="A2891">
        <v>1</v>
      </c>
      <c r="B2891">
        <v>11</v>
      </c>
      <c r="C2891"/>
      <c r="D2891" t="s">
        <v>31</v>
      </c>
      <c r="E2891" t="s">
        <v>35</v>
      </c>
      <c r="F2891" t="s">
        <v>41</v>
      </c>
      <c r="G2891" s="118">
        <v>0.60620370370370369</v>
      </c>
      <c r="H2891" s="118">
        <v>1.0069444444444444E-3</v>
      </c>
      <c r="I2891" s="118">
        <v>3.4722222222222224E-4</v>
      </c>
      <c r="J2891"/>
      <c r="K2891"/>
    </row>
    <row r="2892" spans="1:11" x14ac:dyDescent="0.25">
      <c r="A2892">
        <v>4</v>
      </c>
      <c r="B2892">
        <v>11</v>
      </c>
      <c r="C2892"/>
      <c r="D2892" t="s">
        <v>31</v>
      </c>
      <c r="E2892" t="s">
        <v>35</v>
      </c>
      <c r="F2892" t="s">
        <v>51</v>
      </c>
      <c r="G2892" s="118">
        <v>0.60636574074074068</v>
      </c>
      <c r="H2892" s="118">
        <v>9.1435185185185185E-4</v>
      </c>
      <c r="I2892" s="118">
        <v>3.4722222222222224E-4</v>
      </c>
      <c r="J2892"/>
      <c r="K2892"/>
    </row>
    <row r="2893" spans="1:11" x14ac:dyDescent="0.25">
      <c r="A2893">
        <v>3</v>
      </c>
      <c r="B2893">
        <v>11</v>
      </c>
      <c r="C2893"/>
      <c r="D2893" t="s">
        <v>31</v>
      </c>
      <c r="E2893" t="s">
        <v>35</v>
      </c>
      <c r="F2893" t="s">
        <v>33</v>
      </c>
      <c r="G2893" s="118">
        <v>0.60653935185185182</v>
      </c>
      <c r="H2893" s="118">
        <v>1.3541666666666667E-3</v>
      </c>
      <c r="I2893" s="118">
        <v>5.2083333333333333E-4</v>
      </c>
      <c r="J2893"/>
      <c r="K2893"/>
    </row>
    <row r="2894" spans="1:11" x14ac:dyDescent="0.25">
      <c r="A2894">
        <v>1</v>
      </c>
      <c r="B2894">
        <v>11</v>
      </c>
      <c r="C2894"/>
      <c r="D2894" t="s">
        <v>31</v>
      </c>
      <c r="E2894" t="s">
        <v>32</v>
      </c>
      <c r="F2894" t="s">
        <v>41</v>
      </c>
      <c r="G2894" s="118">
        <v>0.60655092592592597</v>
      </c>
      <c r="H2894" s="118">
        <v>3.4722222222222224E-4</v>
      </c>
      <c r="I2894" s="118">
        <v>8.564814814814815E-4</v>
      </c>
      <c r="J2894" s="118">
        <v>7.0717592592592594E-3</v>
      </c>
      <c r="K2894" s="118">
        <v>7.0717592592592594E-3</v>
      </c>
    </row>
    <row r="2895" spans="1:11" x14ac:dyDescent="0.25">
      <c r="A2895">
        <v>4</v>
      </c>
      <c r="B2895">
        <v>11</v>
      </c>
      <c r="C2895"/>
      <c r="D2895" t="s">
        <v>31</v>
      </c>
      <c r="E2895" t="s">
        <v>32</v>
      </c>
      <c r="F2895" t="s">
        <v>51</v>
      </c>
      <c r="G2895" s="118">
        <v>0.60671296296296295</v>
      </c>
      <c r="H2895" s="118">
        <v>3.4722222222222224E-4</v>
      </c>
      <c r="I2895" s="118">
        <v>1.0069444444444444E-3</v>
      </c>
      <c r="J2895" s="118">
        <v>7.0717592592592594E-3</v>
      </c>
      <c r="K2895" s="118">
        <v>7.0717592592592594E-3</v>
      </c>
    </row>
    <row r="2896" spans="1:11" x14ac:dyDescent="0.25">
      <c r="A2896">
        <v>2</v>
      </c>
      <c r="B2896">
        <v>11</v>
      </c>
      <c r="C2896"/>
      <c r="D2896" t="s">
        <v>31</v>
      </c>
      <c r="E2896" t="s">
        <v>35</v>
      </c>
      <c r="F2896" t="s">
        <v>37</v>
      </c>
      <c r="G2896" s="118">
        <v>0.60680555555555549</v>
      </c>
      <c r="H2896" s="118">
        <v>9.6064814814814808E-4</v>
      </c>
      <c r="I2896" s="118">
        <v>3.4722222222222224E-4</v>
      </c>
      <c r="J2896"/>
      <c r="K2896"/>
    </row>
    <row r="2897" spans="1:11" x14ac:dyDescent="0.25">
      <c r="A2897">
        <v>3</v>
      </c>
      <c r="B2897">
        <v>11</v>
      </c>
      <c r="C2897"/>
      <c r="D2897" t="s">
        <v>31</v>
      </c>
      <c r="E2897" t="s">
        <v>32</v>
      </c>
      <c r="F2897" t="s">
        <v>33</v>
      </c>
      <c r="G2897" s="118">
        <v>0.60706018518518523</v>
      </c>
      <c r="H2897" s="118">
        <v>5.2083333333333333E-4</v>
      </c>
      <c r="I2897" s="118">
        <v>9.6064814814814808E-4</v>
      </c>
      <c r="J2897" s="118">
        <v>7.0717592592592594E-3</v>
      </c>
      <c r="K2897" s="118">
        <v>7.0717592592592594E-3</v>
      </c>
    </row>
    <row r="2898" spans="1:11" x14ac:dyDescent="0.25">
      <c r="A2898">
        <v>2</v>
      </c>
      <c r="B2898">
        <v>11</v>
      </c>
      <c r="C2898"/>
      <c r="D2898" t="s">
        <v>31</v>
      </c>
      <c r="E2898" t="s">
        <v>32</v>
      </c>
      <c r="F2898" t="s">
        <v>37</v>
      </c>
      <c r="G2898" s="118">
        <v>0.60715277777777776</v>
      </c>
      <c r="H2898" s="118">
        <v>3.4722222222222224E-4</v>
      </c>
      <c r="I2898" s="118">
        <v>9.0277777777777784E-4</v>
      </c>
      <c r="J2898" s="118">
        <v>7.0717592592592594E-3</v>
      </c>
      <c r="K2898" s="118">
        <v>7.0717592592592594E-3</v>
      </c>
    </row>
    <row r="2899" spans="1:11" x14ac:dyDescent="0.25">
      <c r="A2899">
        <v>5</v>
      </c>
      <c r="B2899">
        <v>12</v>
      </c>
      <c r="C2899"/>
      <c r="D2899" t="s">
        <v>31</v>
      </c>
      <c r="E2899" t="s">
        <v>35</v>
      </c>
      <c r="F2899" t="s">
        <v>52</v>
      </c>
      <c r="G2899" s="118">
        <v>0.6071643518518518</v>
      </c>
      <c r="H2899" s="118">
        <v>1.0416666666666667E-3</v>
      </c>
      <c r="I2899" s="118">
        <v>3.4722222222222224E-4</v>
      </c>
      <c r="J2899"/>
      <c r="K2899"/>
    </row>
    <row r="2900" spans="1:11" x14ac:dyDescent="0.25">
      <c r="A2900">
        <v>1</v>
      </c>
      <c r="B2900">
        <v>11</v>
      </c>
      <c r="C2900"/>
      <c r="D2900" t="s">
        <v>31</v>
      </c>
      <c r="E2900" t="s">
        <v>35</v>
      </c>
      <c r="F2900" t="s">
        <v>47</v>
      </c>
      <c r="G2900" s="118">
        <v>0.6074074074074074</v>
      </c>
      <c r="H2900" s="118">
        <v>8.564814814814815E-4</v>
      </c>
      <c r="I2900" s="118">
        <v>5.2083333333333333E-4</v>
      </c>
      <c r="J2900"/>
      <c r="K2900"/>
    </row>
    <row r="2901" spans="1:11" x14ac:dyDescent="0.25">
      <c r="A2901">
        <v>5</v>
      </c>
      <c r="B2901">
        <v>12</v>
      </c>
      <c r="C2901"/>
      <c r="D2901" t="s">
        <v>31</v>
      </c>
      <c r="E2901" t="s">
        <v>32</v>
      </c>
      <c r="F2901" t="s">
        <v>52</v>
      </c>
      <c r="G2901" s="118">
        <v>0.60751157407407408</v>
      </c>
      <c r="H2901" s="118">
        <v>3.4722222222222224E-4</v>
      </c>
      <c r="I2901" s="118">
        <v>1.0532407407407407E-3</v>
      </c>
      <c r="J2901" s="118">
        <v>7.0717592592592594E-3</v>
      </c>
      <c r="K2901" s="118">
        <v>7.0717592592592594E-3</v>
      </c>
    </row>
    <row r="2902" spans="1:11" x14ac:dyDescent="0.25">
      <c r="A2902">
        <v>4</v>
      </c>
      <c r="B2902">
        <v>11</v>
      </c>
      <c r="C2902"/>
      <c r="D2902" t="s">
        <v>31</v>
      </c>
      <c r="E2902" t="s">
        <v>35</v>
      </c>
      <c r="F2902" t="s">
        <v>55</v>
      </c>
      <c r="G2902" s="118">
        <v>0.60771990740740744</v>
      </c>
      <c r="H2902" s="118">
        <v>1.0069444444444444E-3</v>
      </c>
      <c r="I2902" s="118">
        <v>4.6296296296296293E-4</v>
      </c>
      <c r="J2902"/>
      <c r="K2902"/>
    </row>
    <row r="2903" spans="1:11" x14ac:dyDescent="0.25">
      <c r="A2903">
        <v>1</v>
      </c>
      <c r="B2903">
        <v>11</v>
      </c>
      <c r="C2903"/>
      <c r="D2903" t="s">
        <v>31</v>
      </c>
      <c r="E2903" t="s">
        <v>32</v>
      </c>
      <c r="F2903" t="s">
        <v>47</v>
      </c>
      <c r="G2903" s="118">
        <v>0.60792824074074081</v>
      </c>
      <c r="H2903" s="118">
        <v>5.2083333333333333E-4</v>
      </c>
      <c r="I2903" s="118">
        <v>8.7962962962962962E-4</v>
      </c>
      <c r="J2903" s="118">
        <v>7.0717592592592594E-3</v>
      </c>
      <c r="K2903" s="118">
        <v>7.0717592592592594E-3</v>
      </c>
    </row>
    <row r="2904" spans="1:11" x14ac:dyDescent="0.25">
      <c r="A2904">
        <v>3</v>
      </c>
      <c r="B2904">
        <v>11</v>
      </c>
      <c r="C2904"/>
      <c r="D2904" t="s">
        <v>31</v>
      </c>
      <c r="E2904" t="s">
        <v>35</v>
      </c>
      <c r="F2904" t="s">
        <v>36</v>
      </c>
      <c r="G2904" s="118">
        <v>0.60802083333333334</v>
      </c>
      <c r="H2904" s="118">
        <v>9.6064814814814808E-4</v>
      </c>
      <c r="I2904" s="118">
        <v>3.4722222222222224E-4</v>
      </c>
      <c r="J2904"/>
      <c r="K2904"/>
    </row>
    <row r="2905" spans="1:11" x14ac:dyDescent="0.25">
      <c r="A2905">
        <v>2</v>
      </c>
      <c r="B2905">
        <v>11</v>
      </c>
      <c r="C2905"/>
      <c r="D2905" t="s">
        <v>31</v>
      </c>
      <c r="E2905" t="s">
        <v>35</v>
      </c>
      <c r="F2905" t="s">
        <v>42</v>
      </c>
      <c r="G2905" s="118">
        <v>0.60805555555555557</v>
      </c>
      <c r="H2905" s="118">
        <v>9.0277777777777784E-4</v>
      </c>
      <c r="I2905" s="118">
        <v>3.4722222222222224E-4</v>
      </c>
      <c r="J2905"/>
      <c r="K2905"/>
    </row>
    <row r="2906" spans="1:11" x14ac:dyDescent="0.25">
      <c r="A2906">
        <v>4</v>
      </c>
      <c r="B2906">
        <v>11</v>
      </c>
      <c r="C2906"/>
      <c r="D2906" t="s">
        <v>31</v>
      </c>
      <c r="E2906" t="s">
        <v>32</v>
      </c>
      <c r="F2906" t="s">
        <v>55</v>
      </c>
      <c r="G2906" s="118">
        <v>0.60818287037037033</v>
      </c>
      <c r="H2906" s="118">
        <v>4.6296296296296293E-4</v>
      </c>
      <c r="I2906" s="118">
        <v>4.3981481481481481E-4</v>
      </c>
      <c r="J2906" s="118">
        <v>7.0717592592592594E-3</v>
      </c>
      <c r="K2906" s="118">
        <v>7.0717592592592594E-3</v>
      </c>
    </row>
    <row r="2907" spans="1:11" x14ac:dyDescent="0.25">
      <c r="A2907">
        <v>3</v>
      </c>
      <c r="B2907">
        <v>11</v>
      </c>
      <c r="C2907"/>
      <c r="D2907" t="s">
        <v>31</v>
      </c>
      <c r="E2907" t="s">
        <v>32</v>
      </c>
      <c r="F2907" t="s">
        <v>36</v>
      </c>
      <c r="G2907" s="118">
        <v>0.60836805555555562</v>
      </c>
      <c r="H2907" s="118">
        <v>3.4722222222222224E-4</v>
      </c>
      <c r="I2907" s="118">
        <v>1.0995370370370371E-3</v>
      </c>
      <c r="J2907" s="118">
        <v>7.0717592592592594E-3</v>
      </c>
      <c r="K2907" s="118">
        <v>7.0717592592592594E-3</v>
      </c>
    </row>
    <row r="2908" spans="1:11" x14ac:dyDescent="0.25">
      <c r="A2908">
        <v>2</v>
      </c>
      <c r="B2908">
        <v>11</v>
      </c>
      <c r="C2908"/>
      <c r="D2908" t="s">
        <v>31</v>
      </c>
      <c r="E2908" t="s">
        <v>32</v>
      </c>
      <c r="F2908" t="s">
        <v>42</v>
      </c>
      <c r="G2908" s="118">
        <v>0.60840277777777774</v>
      </c>
      <c r="H2908" s="118">
        <v>3.4722222222222224E-4</v>
      </c>
      <c r="I2908" s="118">
        <v>9.1435185185185185E-4</v>
      </c>
      <c r="J2908" s="118">
        <v>7.0717592592592594E-3</v>
      </c>
      <c r="K2908" s="118">
        <v>7.0717592592592594E-3</v>
      </c>
    </row>
    <row r="2909" spans="1:11" x14ac:dyDescent="0.25">
      <c r="A2909">
        <v>5</v>
      </c>
      <c r="B2909">
        <v>12</v>
      </c>
      <c r="C2909"/>
      <c r="D2909" t="s">
        <v>31</v>
      </c>
      <c r="E2909" t="s">
        <v>35</v>
      </c>
      <c r="F2909" t="s">
        <v>57</v>
      </c>
      <c r="G2909" s="118">
        <v>0.60856481481481484</v>
      </c>
      <c r="H2909" s="118">
        <v>1.0532407407407407E-3</v>
      </c>
      <c r="I2909" s="118">
        <v>3.4722222222222224E-4</v>
      </c>
      <c r="J2909"/>
      <c r="K2909"/>
    </row>
    <row r="2910" spans="1:11" x14ac:dyDescent="0.25">
      <c r="A2910">
        <v>4</v>
      </c>
      <c r="B2910">
        <v>11</v>
      </c>
      <c r="C2910"/>
      <c r="D2910" t="s">
        <v>31</v>
      </c>
      <c r="E2910" t="s">
        <v>35</v>
      </c>
      <c r="F2910" t="s">
        <v>58</v>
      </c>
      <c r="G2910" s="118">
        <v>0.60862268518518514</v>
      </c>
      <c r="H2910" s="118">
        <v>4.3981481481481481E-4</v>
      </c>
      <c r="I2910" s="118">
        <v>5.7870370370370366E-5</v>
      </c>
      <c r="J2910"/>
      <c r="K2910"/>
    </row>
    <row r="2911" spans="1:11" x14ac:dyDescent="0.25">
      <c r="A2911">
        <v>4</v>
      </c>
      <c r="B2911">
        <v>11</v>
      </c>
      <c r="C2911"/>
      <c r="D2911" t="s">
        <v>31</v>
      </c>
      <c r="E2911" t="s">
        <v>32</v>
      </c>
      <c r="F2911" t="s">
        <v>58</v>
      </c>
      <c r="G2911" s="118">
        <v>0.60868055555555556</v>
      </c>
      <c r="H2911" s="118">
        <v>5.7870370370370366E-5</v>
      </c>
      <c r="I2911" s="118">
        <v>4.8611111111111104E-4</v>
      </c>
      <c r="J2911" s="118">
        <v>7.0717592592592594E-3</v>
      </c>
      <c r="K2911" s="118">
        <v>7.0717592592592594E-3</v>
      </c>
    </row>
    <row r="2912" spans="1:11" x14ac:dyDescent="0.25">
      <c r="A2912">
        <v>1</v>
      </c>
      <c r="B2912">
        <v>11</v>
      </c>
      <c r="C2912"/>
      <c r="D2912" t="s">
        <v>31</v>
      </c>
      <c r="E2912" t="s">
        <v>35</v>
      </c>
      <c r="F2912" t="s">
        <v>53</v>
      </c>
      <c r="G2912" s="118">
        <v>0.60880787037037043</v>
      </c>
      <c r="H2912" s="118">
        <v>8.7962962962962962E-4</v>
      </c>
      <c r="I2912" s="118">
        <v>3.4722222222222224E-4</v>
      </c>
      <c r="J2912"/>
      <c r="K2912"/>
    </row>
    <row r="2913" spans="1:11" x14ac:dyDescent="0.25">
      <c r="A2913">
        <v>5</v>
      </c>
      <c r="B2913">
        <v>12</v>
      </c>
      <c r="C2913"/>
      <c r="D2913" t="s">
        <v>31</v>
      </c>
      <c r="E2913" t="s">
        <v>32</v>
      </c>
      <c r="F2913" t="s">
        <v>57</v>
      </c>
      <c r="G2913" s="118">
        <v>0.608912037037037</v>
      </c>
      <c r="H2913" s="118">
        <v>3.4722222222222224E-4</v>
      </c>
      <c r="I2913" s="118">
        <v>9.3750000000000007E-4</v>
      </c>
      <c r="J2913" s="118">
        <v>7.0717592592592594E-3</v>
      </c>
      <c r="K2913" s="118">
        <v>7.0717592592592594E-3</v>
      </c>
    </row>
    <row r="2914" spans="1:11" x14ac:dyDescent="0.25">
      <c r="A2914">
        <v>1</v>
      </c>
      <c r="B2914">
        <v>11</v>
      </c>
      <c r="C2914"/>
      <c r="D2914" t="s">
        <v>31</v>
      </c>
      <c r="E2914" t="s">
        <v>32</v>
      </c>
      <c r="F2914" t="s">
        <v>53</v>
      </c>
      <c r="G2914" s="118">
        <v>0.6091550925925926</v>
      </c>
      <c r="H2914" s="118">
        <v>3.4722222222222224E-4</v>
      </c>
      <c r="I2914" s="118">
        <v>8.449074074074075E-4</v>
      </c>
      <c r="J2914" s="118">
        <v>7.0717592592592594E-3</v>
      </c>
      <c r="K2914" s="118">
        <v>7.0717592592592594E-3</v>
      </c>
    </row>
    <row r="2915" spans="1:11" x14ac:dyDescent="0.25">
      <c r="A2915">
        <v>4</v>
      </c>
      <c r="B2915">
        <v>11</v>
      </c>
      <c r="C2915"/>
      <c r="D2915" t="s">
        <v>31</v>
      </c>
      <c r="E2915" t="s">
        <v>35</v>
      </c>
      <c r="F2915" t="s">
        <v>40</v>
      </c>
      <c r="G2915" s="118">
        <v>0.60916666666666663</v>
      </c>
      <c r="H2915" s="118">
        <v>4.8611111111111104E-4</v>
      </c>
      <c r="I2915" s="118">
        <v>4.6296296296296293E-4</v>
      </c>
      <c r="J2915"/>
      <c r="K2915"/>
    </row>
    <row r="2916" spans="1:11" x14ac:dyDescent="0.25">
      <c r="A2916">
        <v>2</v>
      </c>
      <c r="B2916">
        <v>11</v>
      </c>
      <c r="C2916"/>
      <c r="D2916" t="s">
        <v>31</v>
      </c>
      <c r="E2916" t="s">
        <v>35</v>
      </c>
      <c r="F2916" t="s">
        <v>48</v>
      </c>
      <c r="G2916" s="118">
        <v>0.60931712962962969</v>
      </c>
      <c r="H2916" s="118">
        <v>9.1435185185185185E-4</v>
      </c>
      <c r="I2916" s="118">
        <v>5.2083333333333333E-4</v>
      </c>
      <c r="J2916"/>
      <c r="K2916"/>
    </row>
    <row r="2917" spans="1:11" x14ac:dyDescent="0.25">
      <c r="A2917">
        <v>3</v>
      </c>
      <c r="B2917">
        <v>11</v>
      </c>
      <c r="C2917"/>
      <c r="D2917" t="s">
        <v>31</v>
      </c>
      <c r="E2917" t="s">
        <v>35</v>
      </c>
      <c r="F2917" t="s">
        <v>43</v>
      </c>
      <c r="G2917" s="118">
        <v>0.60946759259259264</v>
      </c>
      <c r="H2917" s="118">
        <v>1.0995370370370371E-3</v>
      </c>
      <c r="I2917" s="118">
        <v>3.4722222222222224E-4</v>
      </c>
      <c r="J2917"/>
      <c r="K2917"/>
    </row>
    <row r="2918" spans="1:11" x14ac:dyDescent="0.25">
      <c r="A2918">
        <v>4</v>
      </c>
      <c r="B2918">
        <v>11</v>
      </c>
      <c r="C2918"/>
      <c r="D2918" t="s">
        <v>31</v>
      </c>
      <c r="E2918" t="s">
        <v>32</v>
      </c>
      <c r="F2918" t="s">
        <v>40</v>
      </c>
      <c r="G2918" s="118">
        <v>0.60962962962962963</v>
      </c>
      <c r="H2918" s="118">
        <v>4.6296296296296293E-4</v>
      </c>
      <c r="I2918" s="118">
        <v>1.0069444444444444E-3</v>
      </c>
      <c r="J2918" s="118">
        <v>7.0717592592592594E-3</v>
      </c>
      <c r="K2918" s="118">
        <v>7.0717592592592594E-3</v>
      </c>
    </row>
    <row r="2919" spans="1:11" x14ac:dyDescent="0.25">
      <c r="A2919">
        <v>3</v>
      </c>
      <c r="B2919">
        <v>11</v>
      </c>
      <c r="C2919"/>
      <c r="D2919" t="s">
        <v>31</v>
      </c>
      <c r="E2919" t="s">
        <v>32</v>
      </c>
      <c r="F2919" t="s">
        <v>43</v>
      </c>
      <c r="G2919" s="118">
        <v>0.60981481481481481</v>
      </c>
      <c r="H2919" s="118">
        <v>3.4722222222222224E-4</v>
      </c>
      <c r="I2919" s="118">
        <v>1.1458333333333333E-3</v>
      </c>
      <c r="J2919" s="118">
        <v>7.0717592592592594E-3</v>
      </c>
      <c r="K2919" s="118">
        <v>7.0717592592592594E-3</v>
      </c>
    </row>
    <row r="2920" spans="1:11" x14ac:dyDescent="0.25">
      <c r="A2920">
        <v>2</v>
      </c>
      <c r="B2920">
        <v>11</v>
      </c>
      <c r="C2920"/>
      <c r="D2920" t="s">
        <v>31</v>
      </c>
      <c r="E2920" t="s">
        <v>32</v>
      </c>
      <c r="F2920" t="s">
        <v>48</v>
      </c>
      <c r="G2920" s="118">
        <v>0.609837962962963</v>
      </c>
      <c r="H2920" s="118">
        <v>5.2083333333333333E-4</v>
      </c>
      <c r="I2920" s="118">
        <v>8.6805555555555551E-4</v>
      </c>
      <c r="J2920" s="118">
        <v>7.0717592592592594E-3</v>
      </c>
      <c r="K2920" s="118">
        <v>7.0717592592592594E-3</v>
      </c>
    </row>
    <row r="2921" spans="1:11" x14ac:dyDescent="0.25">
      <c r="A2921">
        <v>5</v>
      </c>
      <c r="B2921">
        <v>12</v>
      </c>
      <c r="C2921"/>
      <c r="D2921" t="s">
        <v>31</v>
      </c>
      <c r="E2921" t="s">
        <v>35</v>
      </c>
      <c r="F2921" t="s">
        <v>39</v>
      </c>
      <c r="G2921" s="118">
        <v>0.60984953703703704</v>
      </c>
      <c r="H2921" s="118">
        <v>9.3750000000000007E-4</v>
      </c>
      <c r="I2921" s="118">
        <v>5.2083333333333333E-4</v>
      </c>
      <c r="J2921"/>
      <c r="K2921"/>
    </row>
    <row r="2922" spans="1:11" x14ac:dyDescent="0.25">
      <c r="A2922">
        <v>1</v>
      </c>
      <c r="B2922">
        <v>11</v>
      </c>
      <c r="C2922"/>
      <c r="D2922" t="s">
        <v>31</v>
      </c>
      <c r="E2922" t="s">
        <v>35</v>
      </c>
      <c r="F2922" t="s">
        <v>34</v>
      </c>
      <c r="G2922" s="118">
        <v>0.61</v>
      </c>
      <c r="H2922" s="118">
        <v>8.449074074074075E-4</v>
      </c>
      <c r="I2922" s="118">
        <v>3.4722222222222224E-4</v>
      </c>
      <c r="J2922"/>
      <c r="K2922"/>
    </row>
    <row r="2923" spans="1:11" x14ac:dyDescent="0.25">
      <c r="A2923">
        <v>1</v>
      </c>
      <c r="B2923">
        <v>11</v>
      </c>
      <c r="C2923"/>
      <c r="D2923" t="s">
        <v>31</v>
      </c>
      <c r="E2923" t="s">
        <v>32</v>
      </c>
      <c r="F2923" t="s">
        <v>34</v>
      </c>
      <c r="G2923" s="118">
        <v>0.61034722222222226</v>
      </c>
      <c r="H2923" s="118">
        <v>3.4722222222222224E-4</v>
      </c>
      <c r="I2923" s="118">
        <v>9.1435185185185185E-4</v>
      </c>
      <c r="J2923" s="118">
        <v>7.0717592592592594E-3</v>
      </c>
      <c r="K2923" s="118">
        <v>7.0717592592592594E-3</v>
      </c>
    </row>
    <row r="2924" spans="1:11" x14ac:dyDescent="0.25">
      <c r="A2924">
        <v>5</v>
      </c>
      <c r="B2924">
        <v>12</v>
      </c>
      <c r="C2924"/>
      <c r="D2924" t="s">
        <v>31</v>
      </c>
      <c r="E2924" t="s">
        <v>32</v>
      </c>
      <c r="F2924" t="s">
        <v>39</v>
      </c>
      <c r="G2924" s="118">
        <v>0.61037037037037034</v>
      </c>
      <c r="H2924" s="118">
        <v>5.2083333333333333E-4</v>
      </c>
      <c r="I2924" s="118">
        <v>1.8055555555555557E-3</v>
      </c>
      <c r="J2924" s="118">
        <v>7.0717592592592594E-3</v>
      </c>
      <c r="K2924" s="118">
        <v>7.0717592592592594E-3</v>
      </c>
    </row>
    <row r="2925" spans="1:11" x14ac:dyDescent="0.25">
      <c r="A2925">
        <v>4</v>
      </c>
      <c r="B2925">
        <v>11</v>
      </c>
      <c r="C2925"/>
      <c r="D2925" t="s">
        <v>31</v>
      </c>
      <c r="E2925" t="s">
        <v>35</v>
      </c>
      <c r="F2925" t="s">
        <v>44</v>
      </c>
      <c r="G2925" s="118">
        <v>0.61063657407407412</v>
      </c>
      <c r="H2925" s="118">
        <v>1.0069444444444444E-3</v>
      </c>
      <c r="I2925" s="118">
        <v>3.4722222222222224E-4</v>
      </c>
      <c r="J2925"/>
      <c r="K2925"/>
    </row>
    <row r="2926" spans="1:11" x14ac:dyDescent="0.25">
      <c r="A2926">
        <v>2</v>
      </c>
      <c r="B2926">
        <v>11</v>
      </c>
      <c r="C2926"/>
      <c r="D2926" t="s">
        <v>31</v>
      </c>
      <c r="E2926" t="s">
        <v>35</v>
      </c>
      <c r="F2926" t="s">
        <v>54</v>
      </c>
      <c r="G2926" s="118">
        <v>0.61070601851851858</v>
      </c>
      <c r="H2926" s="118">
        <v>8.6805555555555551E-4</v>
      </c>
      <c r="I2926" s="118">
        <v>3.4722222222222224E-4</v>
      </c>
      <c r="J2926"/>
      <c r="K2926"/>
    </row>
    <row r="2927" spans="1:11" x14ac:dyDescent="0.25">
      <c r="A2927">
        <v>3</v>
      </c>
      <c r="B2927">
        <v>11</v>
      </c>
      <c r="C2927"/>
      <c r="D2927" t="s">
        <v>31</v>
      </c>
      <c r="E2927" t="s">
        <v>35</v>
      </c>
      <c r="F2927" t="s">
        <v>50</v>
      </c>
      <c r="G2927" s="118">
        <v>0.6109606481481481</v>
      </c>
      <c r="H2927" s="118">
        <v>1.1458333333333333E-3</v>
      </c>
      <c r="I2927" s="118">
        <v>3.4722222222222224E-4</v>
      </c>
      <c r="J2927"/>
      <c r="K2927"/>
    </row>
    <row r="2928" spans="1:11" x14ac:dyDescent="0.25">
      <c r="A2928">
        <v>4</v>
      </c>
      <c r="B2928">
        <v>11</v>
      </c>
      <c r="C2928"/>
      <c r="D2928" t="s">
        <v>31</v>
      </c>
      <c r="E2928" t="s">
        <v>32</v>
      </c>
      <c r="F2928" t="s">
        <v>44</v>
      </c>
      <c r="G2928" s="118">
        <v>0.61098379629629629</v>
      </c>
      <c r="H2928" s="118">
        <v>3.4722222222222224E-4</v>
      </c>
      <c r="I2928" s="118">
        <v>9.2592592592592585E-4</v>
      </c>
      <c r="J2928" s="118">
        <v>7.0717592592592594E-3</v>
      </c>
      <c r="K2928" s="118">
        <v>7.0717592592592594E-3</v>
      </c>
    </row>
    <row r="2929" spans="1:11" x14ac:dyDescent="0.25">
      <c r="A2929">
        <v>2</v>
      </c>
      <c r="B2929">
        <v>11</v>
      </c>
      <c r="C2929"/>
      <c r="D2929" t="s">
        <v>31</v>
      </c>
      <c r="E2929" t="s">
        <v>32</v>
      </c>
      <c r="F2929" t="s">
        <v>54</v>
      </c>
      <c r="G2929" s="118">
        <v>0.61105324074074074</v>
      </c>
      <c r="H2929" s="118">
        <v>3.4722222222222224E-4</v>
      </c>
      <c r="I2929" s="118">
        <v>6.9444444444444447E-4</v>
      </c>
      <c r="J2929" s="118">
        <v>7.0717592592592594E-3</v>
      </c>
      <c r="K2929" s="118">
        <v>7.0717592592592594E-3</v>
      </c>
    </row>
    <row r="2930" spans="1:11" x14ac:dyDescent="0.25">
      <c r="A2930">
        <v>1</v>
      </c>
      <c r="B2930">
        <v>11</v>
      </c>
      <c r="C2930"/>
      <c r="D2930" t="s">
        <v>31</v>
      </c>
      <c r="E2930" t="s">
        <v>35</v>
      </c>
      <c r="F2930" t="s">
        <v>38</v>
      </c>
      <c r="G2930" s="118">
        <v>0.61126157407407411</v>
      </c>
      <c r="H2930" s="118">
        <v>9.1435185185185185E-4</v>
      </c>
      <c r="I2930" s="118">
        <v>3.4722222222222224E-4</v>
      </c>
      <c r="J2930"/>
      <c r="K2930"/>
    </row>
    <row r="2931" spans="1:11" x14ac:dyDescent="0.25">
      <c r="A2931">
        <v>3</v>
      </c>
      <c r="B2931">
        <v>11</v>
      </c>
      <c r="C2931"/>
      <c r="D2931" t="s">
        <v>31</v>
      </c>
      <c r="E2931" t="s">
        <v>32</v>
      </c>
      <c r="F2931" t="s">
        <v>50</v>
      </c>
      <c r="G2931" s="118">
        <v>0.61130787037037038</v>
      </c>
      <c r="H2931" s="118">
        <v>3.4722222222222224E-4</v>
      </c>
      <c r="I2931" s="118">
        <v>1.261574074074074E-3</v>
      </c>
      <c r="J2931" s="118">
        <v>7.0717592592592594E-3</v>
      </c>
      <c r="K2931" s="118">
        <v>7.0717592592592594E-3</v>
      </c>
    </row>
    <row r="2932" spans="1:11" x14ac:dyDescent="0.25">
      <c r="A2932">
        <v>1</v>
      </c>
      <c r="B2932">
        <v>11</v>
      </c>
      <c r="C2932"/>
      <c r="D2932" t="s">
        <v>31</v>
      </c>
      <c r="E2932" t="s">
        <v>32</v>
      </c>
      <c r="F2932" t="s">
        <v>38</v>
      </c>
      <c r="G2932" s="118">
        <v>0.61160879629629628</v>
      </c>
      <c r="H2932" s="118">
        <v>3.4722222222222224E-4</v>
      </c>
      <c r="I2932" s="118">
        <v>1.2384259259259258E-3</v>
      </c>
      <c r="J2932" s="118">
        <v>7.0717592592592594E-3</v>
      </c>
      <c r="K2932" s="118">
        <v>7.0717592592592594E-3</v>
      </c>
    </row>
    <row r="2933" spans="1:11" x14ac:dyDescent="0.25">
      <c r="A2933">
        <v>2</v>
      </c>
      <c r="B2933">
        <v>11</v>
      </c>
      <c r="C2933"/>
      <c r="D2933" t="s">
        <v>31</v>
      </c>
      <c r="E2933" t="s">
        <v>35</v>
      </c>
      <c r="F2933" t="s">
        <v>92</v>
      </c>
      <c r="G2933" s="118">
        <v>0.61174768518518519</v>
      </c>
      <c r="H2933" s="118">
        <v>6.9444444444444447E-4</v>
      </c>
      <c r="I2933" s="118">
        <v>5.2083333333333333E-4</v>
      </c>
      <c r="J2933"/>
      <c r="K2933"/>
    </row>
    <row r="2934" spans="1:11" x14ac:dyDescent="0.25">
      <c r="A2934">
        <v>4</v>
      </c>
      <c r="B2934">
        <v>11</v>
      </c>
      <c r="C2934"/>
      <c r="D2934" t="s">
        <v>31</v>
      </c>
      <c r="E2934" t="s">
        <v>35</v>
      </c>
      <c r="F2934" t="s">
        <v>49</v>
      </c>
      <c r="G2934" s="118">
        <v>0.61190972222222217</v>
      </c>
      <c r="H2934" s="118">
        <v>9.2592592592592585E-4</v>
      </c>
      <c r="I2934" s="118">
        <v>3.4722222222222224E-4</v>
      </c>
      <c r="J2934"/>
      <c r="K2934"/>
    </row>
    <row r="2935" spans="1:11" x14ac:dyDescent="0.25">
      <c r="A2935">
        <v>5</v>
      </c>
      <c r="B2935">
        <v>12</v>
      </c>
      <c r="C2935"/>
      <c r="D2935" t="s">
        <v>31</v>
      </c>
      <c r="E2935" t="s">
        <v>35</v>
      </c>
      <c r="F2935" t="s">
        <v>46</v>
      </c>
      <c r="G2935" s="118">
        <v>0.61217592592592596</v>
      </c>
      <c r="H2935" s="118">
        <v>1.8055555555555557E-3</v>
      </c>
      <c r="I2935" s="118">
        <v>3.4722222222222224E-4</v>
      </c>
      <c r="J2935"/>
      <c r="K2935"/>
    </row>
    <row r="2936" spans="1:11" x14ac:dyDescent="0.25">
      <c r="A2936">
        <v>4</v>
      </c>
      <c r="B2936">
        <v>11</v>
      </c>
      <c r="C2936"/>
      <c r="D2936" t="s">
        <v>31</v>
      </c>
      <c r="E2936" t="s">
        <v>32</v>
      </c>
      <c r="F2936" t="s">
        <v>49</v>
      </c>
      <c r="G2936" s="118">
        <v>0.61225694444444445</v>
      </c>
      <c r="H2936" s="118">
        <v>3.4722222222222224E-4</v>
      </c>
      <c r="I2936" s="118">
        <v>1.3541666666666667E-3</v>
      </c>
      <c r="J2936" s="118">
        <v>7.0717592592592594E-3</v>
      </c>
      <c r="K2936" s="118">
        <v>7.0717592592592594E-3</v>
      </c>
    </row>
    <row r="2937" spans="1:11" x14ac:dyDescent="0.25">
      <c r="A2937">
        <v>2</v>
      </c>
      <c r="B2937">
        <v>12</v>
      </c>
      <c r="C2937"/>
      <c r="D2937" t="s">
        <v>31</v>
      </c>
      <c r="E2937" t="s">
        <v>32</v>
      </c>
      <c r="F2937" t="s">
        <v>92</v>
      </c>
      <c r="G2937" s="118">
        <v>0.61226851851851849</v>
      </c>
      <c r="H2937" s="118">
        <v>5.2083333333333333E-4</v>
      </c>
      <c r="I2937" s="118">
        <v>1.0069444444444444E-3</v>
      </c>
      <c r="J2937" s="118">
        <v>7.0717592592592594E-3</v>
      </c>
      <c r="K2937" s="118">
        <v>7.0717592592592594E-3</v>
      </c>
    </row>
    <row r="2938" spans="1:11" x14ac:dyDescent="0.25">
      <c r="A2938">
        <v>5</v>
      </c>
      <c r="B2938">
        <v>12</v>
      </c>
      <c r="C2938"/>
      <c r="D2938" t="s">
        <v>31</v>
      </c>
      <c r="E2938" t="s">
        <v>32</v>
      </c>
      <c r="F2938" t="s">
        <v>46</v>
      </c>
      <c r="G2938" s="118">
        <v>0.61252314814814812</v>
      </c>
      <c r="H2938" s="118">
        <v>3.4722222222222224E-4</v>
      </c>
      <c r="I2938" s="118">
        <v>9.1435185185185185E-4</v>
      </c>
      <c r="J2938" s="118">
        <v>7.0717592592592594E-3</v>
      </c>
      <c r="K2938" s="118">
        <v>7.0717592592592594E-3</v>
      </c>
    </row>
    <row r="2939" spans="1:11" x14ac:dyDescent="0.25">
      <c r="A2939">
        <v>3</v>
      </c>
      <c r="B2939">
        <v>11</v>
      </c>
      <c r="C2939"/>
      <c r="D2939" t="s">
        <v>31</v>
      </c>
      <c r="E2939" t="s">
        <v>35</v>
      </c>
      <c r="F2939" t="s">
        <v>56</v>
      </c>
      <c r="G2939" s="118">
        <v>0.61256944444444439</v>
      </c>
      <c r="H2939" s="118">
        <v>1.261574074074074E-3</v>
      </c>
      <c r="I2939" s="118">
        <v>3.4722222222222224E-4</v>
      </c>
      <c r="J2939"/>
      <c r="K2939"/>
    </row>
    <row r="2940" spans="1:11" x14ac:dyDescent="0.25">
      <c r="A2940">
        <v>1</v>
      </c>
      <c r="B2940">
        <v>11</v>
      </c>
      <c r="C2940"/>
      <c r="D2940" t="s">
        <v>31</v>
      </c>
      <c r="E2940" t="s">
        <v>35</v>
      </c>
      <c r="F2940" t="s">
        <v>45</v>
      </c>
      <c r="G2940" s="118">
        <v>0.61284722222222221</v>
      </c>
      <c r="H2940" s="118">
        <v>1.2384259259259258E-3</v>
      </c>
      <c r="I2940" s="118">
        <v>3.4722222222222224E-4</v>
      </c>
      <c r="J2940"/>
      <c r="K2940"/>
    </row>
    <row r="2941" spans="1:11" x14ac:dyDescent="0.25">
      <c r="A2941">
        <v>3</v>
      </c>
      <c r="B2941">
        <v>11</v>
      </c>
      <c r="C2941"/>
      <c r="D2941" t="s">
        <v>31</v>
      </c>
      <c r="E2941" t="s">
        <v>32</v>
      </c>
      <c r="F2941" t="s">
        <v>56</v>
      </c>
      <c r="G2941" s="118">
        <v>0.61291666666666667</v>
      </c>
      <c r="H2941" s="118">
        <v>3.4722222222222224E-4</v>
      </c>
      <c r="I2941" s="118">
        <v>9.6064814814814808E-4</v>
      </c>
      <c r="J2941" s="118">
        <v>7.0717592592592594E-3</v>
      </c>
      <c r="K2941" s="118">
        <v>7.0717592592592594E-3</v>
      </c>
    </row>
    <row r="2942" spans="1:11" x14ac:dyDescent="0.25">
      <c r="A2942">
        <v>1</v>
      </c>
      <c r="B2942">
        <v>11</v>
      </c>
      <c r="C2942"/>
      <c r="D2942" t="s">
        <v>31</v>
      </c>
      <c r="E2942" t="s">
        <v>32</v>
      </c>
      <c r="F2942" t="s">
        <v>45</v>
      </c>
      <c r="G2942" s="118">
        <v>0.61319444444444449</v>
      </c>
      <c r="H2942" s="118">
        <v>3.4722222222222224E-4</v>
      </c>
      <c r="I2942" s="118">
        <v>1.0416666666666667E-3</v>
      </c>
      <c r="J2942" s="118">
        <v>7.0717592592592594E-3</v>
      </c>
      <c r="K2942" s="118">
        <v>7.0717592592592594E-3</v>
      </c>
    </row>
    <row r="2943" spans="1:11" x14ac:dyDescent="0.25">
      <c r="A2943">
        <v>2</v>
      </c>
      <c r="B2943">
        <v>12</v>
      </c>
      <c r="C2943"/>
      <c r="D2943" t="s">
        <v>31</v>
      </c>
      <c r="E2943" t="s">
        <v>35</v>
      </c>
      <c r="F2943" t="s">
        <v>41</v>
      </c>
      <c r="G2943" s="118">
        <v>0.61327546296296298</v>
      </c>
      <c r="H2943" s="118">
        <v>1.0069444444444444E-3</v>
      </c>
      <c r="I2943" s="118">
        <v>3.4722222222222224E-4</v>
      </c>
      <c r="J2943"/>
      <c r="K2943"/>
    </row>
    <row r="2944" spans="1:11" x14ac:dyDescent="0.25">
      <c r="A2944">
        <v>5</v>
      </c>
      <c r="B2944">
        <v>12</v>
      </c>
      <c r="C2944"/>
      <c r="D2944" t="s">
        <v>31</v>
      </c>
      <c r="E2944" t="s">
        <v>35</v>
      </c>
      <c r="F2944" t="s">
        <v>51</v>
      </c>
      <c r="G2944" s="118">
        <v>0.61343749999999997</v>
      </c>
      <c r="H2944" s="118">
        <v>9.1435185185185185E-4</v>
      </c>
      <c r="I2944" s="118">
        <v>3.4722222222222224E-4</v>
      </c>
      <c r="J2944"/>
      <c r="K2944"/>
    </row>
    <row r="2945" spans="1:11" x14ac:dyDescent="0.25">
      <c r="A2945">
        <v>4</v>
      </c>
      <c r="B2945">
        <v>11</v>
      </c>
      <c r="C2945"/>
      <c r="D2945" t="s">
        <v>31</v>
      </c>
      <c r="E2945" t="s">
        <v>35</v>
      </c>
      <c r="F2945" t="s">
        <v>33</v>
      </c>
      <c r="G2945" s="118">
        <v>0.61361111111111111</v>
      </c>
      <c r="H2945" s="118">
        <v>1.3541666666666667E-3</v>
      </c>
      <c r="I2945" s="118">
        <v>5.2083333333333333E-4</v>
      </c>
      <c r="J2945"/>
      <c r="K2945"/>
    </row>
    <row r="2946" spans="1:11" x14ac:dyDescent="0.25">
      <c r="A2946">
        <v>2</v>
      </c>
      <c r="B2946">
        <v>12</v>
      </c>
      <c r="C2946"/>
      <c r="D2946" t="s">
        <v>31</v>
      </c>
      <c r="E2946" t="s">
        <v>32</v>
      </c>
      <c r="F2946" t="s">
        <v>41</v>
      </c>
      <c r="G2946" s="118">
        <v>0.61362268518518526</v>
      </c>
      <c r="H2946" s="118">
        <v>3.4722222222222224E-4</v>
      </c>
      <c r="I2946" s="118">
        <v>8.564814814814815E-4</v>
      </c>
      <c r="J2946" s="118">
        <v>7.0717592592592594E-3</v>
      </c>
      <c r="K2946" s="118">
        <v>7.0717592592592594E-3</v>
      </c>
    </row>
    <row r="2947" spans="1:11" x14ac:dyDescent="0.25">
      <c r="A2947">
        <v>5</v>
      </c>
      <c r="B2947">
        <v>12</v>
      </c>
      <c r="C2947"/>
      <c r="D2947" t="s">
        <v>31</v>
      </c>
      <c r="E2947" t="s">
        <v>32</v>
      </c>
      <c r="F2947" t="s">
        <v>51</v>
      </c>
      <c r="G2947" s="118">
        <v>0.61378472222222225</v>
      </c>
      <c r="H2947" s="118">
        <v>3.4722222222222224E-4</v>
      </c>
      <c r="I2947" s="118">
        <v>1.0069444444444444E-3</v>
      </c>
      <c r="J2947" s="118">
        <v>7.0717592592592594E-3</v>
      </c>
      <c r="K2947" s="118">
        <v>7.0717592592592594E-3</v>
      </c>
    </row>
    <row r="2948" spans="1:11" x14ac:dyDescent="0.25">
      <c r="A2948">
        <v>3</v>
      </c>
      <c r="B2948">
        <v>11</v>
      </c>
      <c r="C2948"/>
      <c r="D2948" t="s">
        <v>31</v>
      </c>
      <c r="E2948" t="s">
        <v>35</v>
      </c>
      <c r="F2948" t="s">
        <v>37</v>
      </c>
      <c r="G2948" s="118">
        <v>0.61387731481481478</v>
      </c>
      <c r="H2948" s="118">
        <v>9.6064814814814808E-4</v>
      </c>
      <c r="I2948" s="118">
        <v>3.4722222222222224E-4</v>
      </c>
      <c r="J2948"/>
      <c r="K2948"/>
    </row>
    <row r="2949" spans="1:11" x14ac:dyDescent="0.25">
      <c r="A2949">
        <v>4</v>
      </c>
      <c r="B2949">
        <v>11</v>
      </c>
      <c r="C2949"/>
      <c r="D2949" t="s">
        <v>31</v>
      </c>
      <c r="E2949" t="s">
        <v>32</v>
      </c>
      <c r="F2949" t="s">
        <v>33</v>
      </c>
      <c r="G2949" s="118">
        <v>0.61413194444444441</v>
      </c>
      <c r="H2949" s="118">
        <v>5.2083333333333333E-4</v>
      </c>
      <c r="I2949" s="118">
        <v>9.6064814814814808E-4</v>
      </c>
      <c r="J2949" s="118">
        <v>7.0717592592592594E-3</v>
      </c>
      <c r="K2949" s="118">
        <v>7.0717592592592594E-3</v>
      </c>
    </row>
    <row r="2950" spans="1:11" x14ac:dyDescent="0.25">
      <c r="A2950">
        <v>3</v>
      </c>
      <c r="B2950">
        <v>11</v>
      </c>
      <c r="C2950"/>
      <c r="D2950" t="s">
        <v>31</v>
      </c>
      <c r="E2950" t="s">
        <v>32</v>
      </c>
      <c r="F2950" t="s">
        <v>37</v>
      </c>
      <c r="G2950" s="118">
        <v>0.61422453703703705</v>
      </c>
      <c r="H2950" s="118">
        <v>3.4722222222222224E-4</v>
      </c>
      <c r="I2950" s="118">
        <v>9.0277777777777784E-4</v>
      </c>
      <c r="J2950" s="118">
        <v>7.0717592592592594E-3</v>
      </c>
      <c r="K2950" s="118">
        <v>7.0717592592592594E-3</v>
      </c>
    </row>
    <row r="2951" spans="1:11" x14ac:dyDescent="0.25">
      <c r="A2951">
        <v>1</v>
      </c>
      <c r="B2951">
        <v>11</v>
      </c>
      <c r="C2951"/>
      <c r="D2951" t="s">
        <v>31</v>
      </c>
      <c r="E2951" t="s">
        <v>35</v>
      </c>
      <c r="F2951" t="s">
        <v>52</v>
      </c>
      <c r="G2951" s="118">
        <v>0.61423611111111109</v>
      </c>
      <c r="H2951" s="118">
        <v>1.0416666666666667E-3</v>
      </c>
      <c r="I2951" s="118">
        <v>3.4722222222222224E-4</v>
      </c>
      <c r="J2951"/>
      <c r="K2951"/>
    </row>
    <row r="2952" spans="1:11" x14ac:dyDescent="0.25">
      <c r="A2952">
        <v>2</v>
      </c>
      <c r="B2952">
        <v>12</v>
      </c>
      <c r="C2952"/>
      <c r="D2952" t="s">
        <v>31</v>
      </c>
      <c r="E2952" t="s">
        <v>35</v>
      </c>
      <c r="F2952" t="s">
        <v>47</v>
      </c>
      <c r="G2952" s="118">
        <v>0.61447916666666669</v>
      </c>
      <c r="H2952" s="118">
        <v>8.564814814814815E-4</v>
      </c>
      <c r="I2952" s="118">
        <v>5.2083333333333333E-4</v>
      </c>
      <c r="J2952"/>
      <c r="K2952"/>
    </row>
    <row r="2953" spans="1:11" x14ac:dyDescent="0.25">
      <c r="A2953">
        <v>1</v>
      </c>
      <c r="B2953">
        <v>11</v>
      </c>
      <c r="C2953"/>
      <c r="D2953" t="s">
        <v>31</v>
      </c>
      <c r="E2953" t="s">
        <v>32</v>
      </c>
      <c r="F2953" t="s">
        <v>52</v>
      </c>
      <c r="G2953" s="118">
        <v>0.61458333333333337</v>
      </c>
      <c r="H2953" s="118">
        <v>3.4722222222222224E-4</v>
      </c>
      <c r="I2953" s="118">
        <v>1.0532407407407407E-3</v>
      </c>
      <c r="J2953" s="118">
        <v>7.0717592592592594E-3</v>
      </c>
      <c r="K2953" s="118">
        <v>7.0717592592592594E-3</v>
      </c>
    </row>
    <row r="2954" spans="1:11" x14ac:dyDescent="0.25">
      <c r="A2954">
        <v>5</v>
      </c>
      <c r="B2954">
        <v>12</v>
      </c>
      <c r="C2954"/>
      <c r="D2954" t="s">
        <v>31</v>
      </c>
      <c r="E2954" t="s">
        <v>35</v>
      </c>
      <c r="F2954" t="s">
        <v>55</v>
      </c>
      <c r="G2954" s="118">
        <v>0.61479166666666674</v>
      </c>
      <c r="H2954" s="118">
        <v>1.0069444444444444E-3</v>
      </c>
      <c r="I2954" s="118">
        <v>4.6296296296296293E-4</v>
      </c>
      <c r="J2954"/>
      <c r="K2954"/>
    </row>
    <row r="2955" spans="1:11" x14ac:dyDescent="0.25">
      <c r="A2955">
        <v>2</v>
      </c>
      <c r="B2955">
        <v>12</v>
      </c>
      <c r="C2955"/>
      <c r="D2955" t="s">
        <v>31</v>
      </c>
      <c r="E2955" t="s">
        <v>32</v>
      </c>
      <c r="F2955" t="s">
        <v>47</v>
      </c>
      <c r="G2955" s="118">
        <v>0.61499999999999999</v>
      </c>
      <c r="H2955" s="118">
        <v>5.2083333333333333E-4</v>
      </c>
      <c r="I2955" s="118">
        <v>8.7962962962962962E-4</v>
      </c>
      <c r="J2955" s="118">
        <v>7.0717592592592594E-3</v>
      </c>
      <c r="K2955" s="118">
        <v>7.0717592592592594E-3</v>
      </c>
    </row>
    <row r="2956" spans="1:11" x14ac:dyDescent="0.25">
      <c r="A2956">
        <v>4</v>
      </c>
      <c r="B2956">
        <v>11</v>
      </c>
      <c r="C2956"/>
      <c r="D2956" t="s">
        <v>31</v>
      </c>
      <c r="E2956" t="s">
        <v>35</v>
      </c>
      <c r="F2956" t="s">
        <v>36</v>
      </c>
      <c r="G2956" s="118">
        <v>0.61509259259259264</v>
      </c>
      <c r="H2956" s="118">
        <v>9.6064814814814808E-4</v>
      </c>
      <c r="I2956" s="118">
        <v>3.4722222222222224E-4</v>
      </c>
      <c r="J2956"/>
      <c r="K2956"/>
    </row>
    <row r="2957" spans="1:11" x14ac:dyDescent="0.25">
      <c r="A2957">
        <v>3</v>
      </c>
      <c r="B2957">
        <v>11</v>
      </c>
      <c r="C2957"/>
      <c r="D2957" t="s">
        <v>31</v>
      </c>
      <c r="E2957" t="s">
        <v>35</v>
      </c>
      <c r="F2957" t="s">
        <v>42</v>
      </c>
      <c r="G2957" s="118">
        <v>0.61512731481481475</v>
      </c>
      <c r="H2957" s="118">
        <v>9.0277777777777784E-4</v>
      </c>
      <c r="I2957" s="118">
        <v>3.4722222222222224E-4</v>
      </c>
      <c r="J2957"/>
      <c r="K2957"/>
    </row>
    <row r="2958" spans="1:11" x14ac:dyDescent="0.25">
      <c r="A2958">
        <v>5</v>
      </c>
      <c r="B2958">
        <v>12</v>
      </c>
      <c r="C2958"/>
      <c r="D2958" t="s">
        <v>31</v>
      </c>
      <c r="E2958" t="s">
        <v>32</v>
      </c>
      <c r="F2958" t="s">
        <v>55</v>
      </c>
      <c r="G2958" s="118">
        <v>0.61525462962962962</v>
      </c>
      <c r="H2958" s="118">
        <v>4.6296296296296293E-4</v>
      </c>
      <c r="I2958" s="118">
        <v>4.3981481481481481E-4</v>
      </c>
      <c r="J2958" s="118">
        <v>7.0717592592592594E-3</v>
      </c>
      <c r="K2958" s="118">
        <v>7.0717592592592594E-3</v>
      </c>
    </row>
    <row r="2959" spans="1:11" x14ac:dyDescent="0.25">
      <c r="A2959">
        <v>4</v>
      </c>
      <c r="B2959">
        <v>11</v>
      </c>
      <c r="C2959"/>
      <c r="D2959" t="s">
        <v>31</v>
      </c>
      <c r="E2959" t="s">
        <v>32</v>
      </c>
      <c r="F2959" t="s">
        <v>36</v>
      </c>
      <c r="G2959" s="118">
        <v>0.6154398148148148</v>
      </c>
      <c r="H2959" s="118">
        <v>3.4722222222222224E-4</v>
      </c>
      <c r="I2959" s="118">
        <v>1.0995370370370371E-3</v>
      </c>
      <c r="J2959" s="118">
        <v>7.0717592592592594E-3</v>
      </c>
      <c r="K2959" s="118">
        <v>7.0717592592592594E-3</v>
      </c>
    </row>
    <row r="2960" spans="1:11" x14ac:dyDescent="0.25">
      <c r="A2960">
        <v>3</v>
      </c>
      <c r="B2960">
        <v>11</v>
      </c>
      <c r="C2960"/>
      <c r="D2960" t="s">
        <v>31</v>
      </c>
      <c r="E2960" t="s">
        <v>32</v>
      </c>
      <c r="F2960" t="s">
        <v>42</v>
      </c>
      <c r="G2960" s="118">
        <v>0.61547453703703703</v>
      </c>
      <c r="H2960" s="118">
        <v>3.4722222222222224E-4</v>
      </c>
      <c r="I2960" s="118">
        <v>9.1435185185185185E-4</v>
      </c>
      <c r="J2960" s="118">
        <v>7.0717592592592594E-3</v>
      </c>
      <c r="K2960" s="118">
        <v>7.0717592592592594E-3</v>
      </c>
    </row>
    <row r="2961" spans="1:11" x14ac:dyDescent="0.25">
      <c r="A2961">
        <v>1</v>
      </c>
      <c r="B2961">
        <v>11</v>
      </c>
      <c r="C2961"/>
      <c r="D2961" t="s">
        <v>31</v>
      </c>
      <c r="E2961" t="s">
        <v>35</v>
      </c>
      <c r="F2961" t="s">
        <v>57</v>
      </c>
      <c r="G2961" s="118">
        <v>0.61563657407407402</v>
      </c>
      <c r="H2961" s="118">
        <v>1.0532407407407407E-3</v>
      </c>
      <c r="I2961" s="118">
        <v>3.4722222222222224E-4</v>
      </c>
      <c r="J2961"/>
      <c r="K2961"/>
    </row>
    <row r="2962" spans="1:11" x14ac:dyDescent="0.25">
      <c r="A2962">
        <v>5</v>
      </c>
      <c r="B2962">
        <v>12</v>
      </c>
      <c r="C2962"/>
      <c r="D2962" t="s">
        <v>31</v>
      </c>
      <c r="E2962" t="s">
        <v>35</v>
      </c>
      <c r="F2962" t="s">
        <v>58</v>
      </c>
      <c r="G2962" s="118">
        <v>0.61569444444444443</v>
      </c>
      <c r="H2962" s="118">
        <v>4.3981481481481481E-4</v>
      </c>
      <c r="I2962" s="118">
        <v>5.7870370370370366E-5</v>
      </c>
      <c r="J2962"/>
      <c r="K2962"/>
    </row>
    <row r="2963" spans="1:11" x14ac:dyDescent="0.25">
      <c r="A2963">
        <v>5</v>
      </c>
      <c r="B2963">
        <v>12</v>
      </c>
      <c r="C2963"/>
      <c r="D2963" t="s">
        <v>31</v>
      </c>
      <c r="E2963" t="s">
        <v>32</v>
      </c>
      <c r="F2963" t="s">
        <v>58</v>
      </c>
      <c r="G2963" s="118">
        <v>0.61575231481481485</v>
      </c>
      <c r="H2963" s="118">
        <v>5.7870370370370366E-5</v>
      </c>
      <c r="I2963" s="118">
        <v>4.8611111111111104E-4</v>
      </c>
      <c r="J2963" s="118">
        <v>7.0717592592592594E-3</v>
      </c>
      <c r="K2963" s="118">
        <v>7.0717592592592594E-3</v>
      </c>
    </row>
    <row r="2964" spans="1:11" x14ac:dyDescent="0.25">
      <c r="A2964">
        <v>2</v>
      </c>
      <c r="B2964">
        <v>12</v>
      </c>
      <c r="C2964"/>
      <c r="D2964" t="s">
        <v>31</v>
      </c>
      <c r="E2964" t="s">
        <v>35</v>
      </c>
      <c r="F2964" t="s">
        <v>53</v>
      </c>
      <c r="G2964" s="118">
        <v>0.61587962962962961</v>
      </c>
      <c r="H2964" s="118">
        <v>8.7962962962962962E-4</v>
      </c>
      <c r="I2964" s="118">
        <v>3.4722222222222224E-4</v>
      </c>
      <c r="J2964"/>
      <c r="K2964"/>
    </row>
    <row r="2965" spans="1:11" x14ac:dyDescent="0.25">
      <c r="A2965">
        <v>1</v>
      </c>
      <c r="B2965">
        <v>11</v>
      </c>
      <c r="C2965"/>
      <c r="D2965" t="s">
        <v>31</v>
      </c>
      <c r="E2965" t="s">
        <v>32</v>
      </c>
      <c r="F2965" t="s">
        <v>57</v>
      </c>
      <c r="G2965" s="118">
        <v>0.61598379629629629</v>
      </c>
      <c r="H2965" s="118">
        <v>3.4722222222222224E-4</v>
      </c>
      <c r="I2965" s="118">
        <v>9.3750000000000007E-4</v>
      </c>
      <c r="J2965" s="118">
        <v>7.0717592592592594E-3</v>
      </c>
      <c r="K2965" s="118">
        <v>7.0717592592592594E-3</v>
      </c>
    </row>
    <row r="2966" spans="1:11" x14ac:dyDescent="0.25">
      <c r="A2966">
        <v>2</v>
      </c>
      <c r="B2966">
        <v>12</v>
      </c>
      <c r="C2966"/>
      <c r="D2966" t="s">
        <v>31</v>
      </c>
      <c r="E2966" t="s">
        <v>32</v>
      </c>
      <c r="F2966" t="s">
        <v>53</v>
      </c>
      <c r="G2966" s="118">
        <v>0.61622685185185189</v>
      </c>
      <c r="H2966" s="118">
        <v>3.4722222222222224E-4</v>
      </c>
      <c r="I2966" s="118">
        <v>8.449074074074075E-4</v>
      </c>
      <c r="J2966" s="118">
        <v>7.0717592592592594E-3</v>
      </c>
      <c r="K2966" s="118">
        <v>7.0717592592592594E-3</v>
      </c>
    </row>
    <row r="2967" spans="1:11" x14ac:dyDescent="0.25">
      <c r="A2967">
        <v>5</v>
      </c>
      <c r="B2967">
        <v>12</v>
      </c>
      <c r="C2967"/>
      <c r="D2967" t="s">
        <v>31</v>
      </c>
      <c r="E2967" t="s">
        <v>35</v>
      </c>
      <c r="F2967" t="s">
        <v>40</v>
      </c>
      <c r="G2967" s="118">
        <v>0.61623842592592593</v>
      </c>
      <c r="H2967" s="118">
        <v>4.8611111111111104E-4</v>
      </c>
      <c r="I2967" s="118">
        <v>4.6296296296296293E-4</v>
      </c>
      <c r="J2967"/>
      <c r="K2967"/>
    </row>
    <row r="2968" spans="1:11" x14ac:dyDescent="0.25">
      <c r="A2968">
        <v>3</v>
      </c>
      <c r="B2968">
        <v>11</v>
      </c>
      <c r="C2968"/>
      <c r="D2968" t="s">
        <v>31</v>
      </c>
      <c r="E2968" t="s">
        <v>35</v>
      </c>
      <c r="F2968" t="s">
        <v>48</v>
      </c>
      <c r="G2968" s="118">
        <v>0.61638888888888888</v>
      </c>
      <c r="H2968" s="118">
        <v>9.1435185185185185E-4</v>
      </c>
      <c r="I2968" s="118">
        <v>5.2083333333333333E-4</v>
      </c>
      <c r="J2968"/>
      <c r="K2968"/>
    </row>
    <row r="2969" spans="1:11" x14ac:dyDescent="0.25">
      <c r="A2969">
        <v>4</v>
      </c>
      <c r="B2969">
        <v>11</v>
      </c>
      <c r="C2969"/>
      <c r="D2969" t="s">
        <v>31</v>
      </c>
      <c r="E2969" t="s">
        <v>35</v>
      </c>
      <c r="F2969" t="s">
        <v>43</v>
      </c>
      <c r="G2969" s="118">
        <v>0.61653935185185182</v>
      </c>
      <c r="H2969" s="118">
        <v>1.0995370370370371E-3</v>
      </c>
      <c r="I2969" s="118">
        <v>3.4722222222222224E-4</v>
      </c>
      <c r="J2969"/>
      <c r="K2969"/>
    </row>
    <row r="2970" spans="1:11" x14ac:dyDescent="0.25">
      <c r="A2970">
        <v>5</v>
      </c>
      <c r="B2970">
        <v>12</v>
      </c>
      <c r="C2970"/>
      <c r="D2970" t="s">
        <v>31</v>
      </c>
      <c r="E2970" t="s">
        <v>32</v>
      </c>
      <c r="F2970" t="s">
        <v>40</v>
      </c>
      <c r="G2970" s="118">
        <v>0.61670138888888892</v>
      </c>
      <c r="H2970" s="118">
        <v>4.6296296296296293E-4</v>
      </c>
      <c r="I2970" s="118">
        <v>1.0069444444444444E-3</v>
      </c>
      <c r="J2970" s="118">
        <v>7.0717592592592594E-3</v>
      </c>
      <c r="K2970" s="118">
        <v>7.0717592592592594E-3</v>
      </c>
    </row>
    <row r="2971" spans="1:11" x14ac:dyDescent="0.25">
      <c r="A2971">
        <v>4</v>
      </c>
      <c r="B2971">
        <v>11</v>
      </c>
      <c r="C2971"/>
      <c r="D2971" t="s">
        <v>31</v>
      </c>
      <c r="E2971" t="s">
        <v>32</v>
      </c>
      <c r="F2971" t="s">
        <v>43</v>
      </c>
      <c r="G2971" s="118">
        <v>0.6168865740740741</v>
      </c>
      <c r="H2971" s="118">
        <v>3.4722222222222224E-4</v>
      </c>
      <c r="I2971" s="118">
        <v>1.1458333333333333E-3</v>
      </c>
      <c r="J2971" s="118">
        <v>7.0717592592592594E-3</v>
      </c>
      <c r="K2971" s="118">
        <v>7.0717592592592594E-3</v>
      </c>
    </row>
    <row r="2972" spans="1:11" x14ac:dyDescent="0.25">
      <c r="A2972">
        <v>3</v>
      </c>
      <c r="B2972">
        <v>11</v>
      </c>
      <c r="C2972"/>
      <c r="D2972" t="s">
        <v>31</v>
      </c>
      <c r="E2972" t="s">
        <v>32</v>
      </c>
      <c r="F2972" t="s">
        <v>48</v>
      </c>
      <c r="G2972" s="118">
        <v>0.61690972222222229</v>
      </c>
      <c r="H2972" s="118">
        <v>5.2083333333333333E-4</v>
      </c>
      <c r="I2972" s="118">
        <v>8.6805555555555551E-4</v>
      </c>
      <c r="J2972" s="118">
        <v>7.0717592592592594E-3</v>
      </c>
      <c r="K2972" s="118">
        <v>7.0717592592592594E-3</v>
      </c>
    </row>
    <row r="2973" spans="1:11" x14ac:dyDescent="0.25">
      <c r="A2973">
        <v>1</v>
      </c>
      <c r="B2973">
        <v>11</v>
      </c>
      <c r="C2973"/>
      <c r="D2973" t="s">
        <v>31</v>
      </c>
      <c r="E2973" t="s">
        <v>35</v>
      </c>
      <c r="F2973" t="s">
        <v>39</v>
      </c>
      <c r="G2973" s="118">
        <v>0.61692129629629633</v>
      </c>
      <c r="H2973" s="118">
        <v>9.3750000000000007E-4</v>
      </c>
      <c r="I2973" s="118">
        <v>5.2083333333333333E-4</v>
      </c>
      <c r="J2973"/>
      <c r="K2973"/>
    </row>
    <row r="2974" spans="1:11" x14ac:dyDescent="0.25">
      <c r="A2974">
        <v>2</v>
      </c>
      <c r="B2974">
        <v>12</v>
      </c>
      <c r="C2974"/>
      <c r="D2974" t="s">
        <v>31</v>
      </c>
      <c r="E2974" t="s">
        <v>35</v>
      </c>
      <c r="F2974" t="s">
        <v>34</v>
      </c>
      <c r="G2974" s="118">
        <v>0.61707175925925928</v>
      </c>
      <c r="H2974" s="118">
        <v>8.449074074074075E-4</v>
      </c>
      <c r="I2974" s="118">
        <v>3.4722222222222224E-4</v>
      </c>
      <c r="J2974"/>
      <c r="K2974"/>
    </row>
    <row r="2975" spans="1:11" x14ac:dyDescent="0.25">
      <c r="A2975">
        <v>2</v>
      </c>
      <c r="B2975">
        <v>12</v>
      </c>
      <c r="C2975"/>
      <c r="D2975" t="s">
        <v>31</v>
      </c>
      <c r="E2975" t="s">
        <v>32</v>
      </c>
      <c r="F2975" t="s">
        <v>34</v>
      </c>
      <c r="G2975" s="118">
        <v>0.61741898148148155</v>
      </c>
      <c r="H2975" s="118">
        <v>3.4722222222222224E-4</v>
      </c>
      <c r="I2975" s="118">
        <v>9.1435185185185185E-4</v>
      </c>
      <c r="J2975" s="118">
        <v>7.0717592592592594E-3</v>
      </c>
      <c r="K2975" s="118">
        <v>7.0717592592592594E-3</v>
      </c>
    </row>
    <row r="2976" spans="1:11" x14ac:dyDescent="0.25">
      <c r="A2976">
        <v>1</v>
      </c>
      <c r="B2976">
        <v>11</v>
      </c>
      <c r="C2976"/>
      <c r="D2976" t="s">
        <v>31</v>
      </c>
      <c r="E2976" t="s">
        <v>32</v>
      </c>
      <c r="F2976" t="s">
        <v>39</v>
      </c>
      <c r="G2976" s="118">
        <v>0.61744212962962963</v>
      </c>
      <c r="H2976" s="118">
        <v>5.2083333333333333E-4</v>
      </c>
      <c r="I2976" s="118">
        <v>1.8055555555555557E-3</v>
      </c>
      <c r="J2976" s="118">
        <v>7.0717592592592594E-3</v>
      </c>
      <c r="K2976" s="118">
        <v>7.0717592592592594E-3</v>
      </c>
    </row>
    <row r="2977" spans="1:11" x14ac:dyDescent="0.25">
      <c r="A2977">
        <v>5</v>
      </c>
      <c r="B2977">
        <v>12</v>
      </c>
      <c r="C2977"/>
      <c r="D2977" t="s">
        <v>31</v>
      </c>
      <c r="E2977" t="s">
        <v>35</v>
      </c>
      <c r="F2977" t="s">
        <v>44</v>
      </c>
      <c r="G2977" s="118">
        <v>0.6177083333333333</v>
      </c>
      <c r="H2977" s="118">
        <v>1.0069444444444444E-3</v>
      </c>
      <c r="I2977" s="118">
        <v>3.4722222222222224E-4</v>
      </c>
      <c r="J2977"/>
      <c r="K2977"/>
    </row>
    <row r="2978" spans="1:11" x14ac:dyDescent="0.25">
      <c r="A2978">
        <v>3</v>
      </c>
      <c r="B2978">
        <v>11</v>
      </c>
      <c r="C2978"/>
      <c r="D2978" t="s">
        <v>31</v>
      </c>
      <c r="E2978" t="s">
        <v>35</v>
      </c>
      <c r="F2978" t="s">
        <v>54</v>
      </c>
      <c r="G2978" s="118">
        <v>0.61777777777777776</v>
      </c>
      <c r="H2978" s="118">
        <v>8.6805555555555551E-4</v>
      </c>
      <c r="I2978" s="118">
        <v>3.4722222222222224E-4</v>
      </c>
      <c r="J2978"/>
      <c r="K2978"/>
    </row>
    <row r="2979" spans="1:11" x14ac:dyDescent="0.25">
      <c r="A2979">
        <v>4</v>
      </c>
      <c r="B2979">
        <v>11</v>
      </c>
      <c r="C2979"/>
      <c r="D2979" t="s">
        <v>31</v>
      </c>
      <c r="E2979" t="s">
        <v>35</v>
      </c>
      <c r="F2979" t="s">
        <v>50</v>
      </c>
      <c r="G2979" s="118">
        <v>0.61803240740740739</v>
      </c>
      <c r="H2979" s="118">
        <v>1.1458333333333333E-3</v>
      </c>
      <c r="I2979" s="118">
        <v>3.4722222222222224E-4</v>
      </c>
      <c r="J2979"/>
      <c r="K2979"/>
    </row>
    <row r="2980" spans="1:11" x14ac:dyDescent="0.25">
      <c r="A2980">
        <v>5</v>
      </c>
      <c r="B2980">
        <v>12</v>
      </c>
      <c r="C2980"/>
      <c r="D2980" t="s">
        <v>31</v>
      </c>
      <c r="E2980" t="s">
        <v>32</v>
      </c>
      <c r="F2980" t="s">
        <v>44</v>
      </c>
      <c r="G2980" s="118">
        <v>0.61805555555555558</v>
      </c>
      <c r="H2980" s="118">
        <v>3.4722222222222224E-4</v>
      </c>
      <c r="I2980" s="118">
        <v>9.2592592592592585E-4</v>
      </c>
      <c r="J2980" s="118">
        <v>7.0717592592592594E-3</v>
      </c>
      <c r="K2980" s="118">
        <v>7.0717592592592594E-3</v>
      </c>
    </row>
    <row r="2981" spans="1:11" x14ac:dyDescent="0.25">
      <c r="A2981">
        <v>3</v>
      </c>
      <c r="B2981">
        <v>11</v>
      </c>
      <c r="C2981"/>
      <c r="D2981" t="s">
        <v>31</v>
      </c>
      <c r="E2981" t="s">
        <v>32</v>
      </c>
      <c r="F2981" t="s">
        <v>54</v>
      </c>
      <c r="G2981" s="118">
        <v>0.61812500000000004</v>
      </c>
      <c r="H2981" s="118">
        <v>3.4722222222222224E-4</v>
      </c>
      <c r="I2981" s="118">
        <v>6.9444444444444447E-4</v>
      </c>
      <c r="J2981" s="118">
        <v>7.0717592592592594E-3</v>
      </c>
      <c r="K2981" s="118">
        <v>7.0717592592592594E-3</v>
      </c>
    </row>
    <row r="2982" spans="1:11" x14ac:dyDescent="0.25">
      <c r="A2982">
        <v>2</v>
      </c>
      <c r="B2982">
        <v>12</v>
      </c>
      <c r="C2982"/>
      <c r="D2982" t="s">
        <v>31</v>
      </c>
      <c r="E2982" t="s">
        <v>35</v>
      </c>
      <c r="F2982" t="s">
        <v>38</v>
      </c>
      <c r="G2982" s="118">
        <v>0.61833333333333329</v>
      </c>
      <c r="H2982" s="118">
        <v>9.1435185185185185E-4</v>
      </c>
      <c r="I2982" s="118">
        <v>3.4722222222222224E-4</v>
      </c>
      <c r="J2982"/>
      <c r="K2982"/>
    </row>
    <row r="2983" spans="1:11" x14ac:dyDescent="0.25">
      <c r="A2983">
        <v>4</v>
      </c>
      <c r="B2983">
        <v>11</v>
      </c>
      <c r="C2983"/>
      <c r="D2983" t="s">
        <v>31</v>
      </c>
      <c r="E2983" t="s">
        <v>32</v>
      </c>
      <c r="F2983" t="s">
        <v>50</v>
      </c>
      <c r="G2983" s="118">
        <v>0.61837962962962967</v>
      </c>
      <c r="H2983" s="118">
        <v>3.4722222222222224E-4</v>
      </c>
      <c r="I2983" s="118">
        <v>1.261574074074074E-3</v>
      </c>
      <c r="J2983" s="118">
        <v>7.0717592592592594E-3</v>
      </c>
      <c r="K2983" s="118">
        <v>7.0717592592592594E-3</v>
      </c>
    </row>
    <row r="2984" spans="1:11" x14ac:dyDescent="0.25">
      <c r="A2984">
        <v>2</v>
      </c>
      <c r="B2984">
        <v>12</v>
      </c>
      <c r="C2984"/>
      <c r="D2984" t="s">
        <v>31</v>
      </c>
      <c r="E2984" t="s">
        <v>32</v>
      </c>
      <c r="F2984" t="s">
        <v>38</v>
      </c>
      <c r="G2984" s="118">
        <v>0.61868055555555557</v>
      </c>
      <c r="H2984" s="118">
        <v>3.4722222222222224E-4</v>
      </c>
      <c r="I2984" s="118">
        <v>1.2384259259259258E-3</v>
      </c>
      <c r="J2984" s="118">
        <v>7.0717592592592594E-3</v>
      </c>
      <c r="K2984" s="118">
        <v>7.0717592592592594E-3</v>
      </c>
    </row>
    <row r="2985" spans="1:11" x14ac:dyDescent="0.25">
      <c r="A2985">
        <v>3</v>
      </c>
      <c r="B2985">
        <v>11</v>
      </c>
      <c r="C2985"/>
      <c r="D2985" t="s">
        <v>31</v>
      </c>
      <c r="E2985" t="s">
        <v>35</v>
      </c>
      <c r="F2985" t="s">
        <v>92</v>
      </c>
      <c r="G2985" s="118">
        <v>0.61881944444444448</v>
      </c>
      <c r="H2985" s="118">
        <v>6.9444444444444447E-4</v>
      </c>
      <c r="I2985" s="118">
        <v>5.2083333333333333E-4</v>
      </c>
      <c r="J2985"/>
      <c r="K2985"/>
    </row>
    <row r="2986" spans="1:11" x14ac:dyDescent="0.25">
      <c r="A2986">
        <v>5</v>
      </c>
      <c r="B2986">
        <v>12</v>
      </c>
      <c r="C2986"/>
      <c r="D2986" t="s">
        <v>31</v>
      </c>
      <c r="E2986" t="s">
        <v>35</v>
      </c>
      <c r="F2986" t="s">
        <v>49</v>
      </c>
      <c r="G2986" s="118">
        <v>0.61898148148148147</v>
      </c>
      <c r="H2986" s="118">
        <v>9.2592592592592585E-4</v>
      </c>
      <c r="I2986" s="118">
        <v>3.4722222222222224E-4</v>
      </c>
      <c r="J2986"/>
      <c r="K2986"/>
    </row>
    <row r="2987" spans="1:11" x14ac:dyDescent="0.25">
      <c r="A2987">
        <v>1</v>
      </c>
      <c r="B2987">
        <v>11</v>
      </c>
      <c r="C2987"/>
      <c r="D2987" t="s">
        <v>31</v>
      </c>
      <c r="E2987" t="s">
        <v>35</v>
      </c>
      <c r="F2987" t="s">
        <v>46</v>
      </c>
      <c r="G2987" s="118">
        <v>0.61924768518518525</v>
      </c>
      <c r="H2987" s="118">
        <v>1.8055555555555557E-3</v>
      </c>
      <c r="I2987" s="118">
        <v>3.4722222222222224E-4</v>
      </c>
      <c r="J2987"/>
      <c r="K2987"/>
    </row>
    <row r="2988" spans="1:11" x14ac:dyDescent="0.25">
      <c r="A2988">
        <v>5</v>
      </c>
      <c r="B2988">
        <v>12</v>
      </c>
      <c r="C2988"/>
      <c r="D2988" t="s">
        <v>31</v>
      </c>
      <c r="E2988" t="s">
        <v>32</v>
      </c>
      <c r="F2988" t="s">
        <v>49</v>
      </c>
      <c r="G2988" s="118">
        <v>0.61932870370370374</v>
      </c>
      <c r="H2988" s="118">
        <v>3.4722222222222224E-4</v>
      </c>
      <c r="I2988" s="118">
        <v>1.3541666666666667E-3</v>
      </c>
      <c r="J2988" s="118">
        <v>7.0717592592592594E-3</v>
      </c>
      <c r="K2988" s="118">
        <v>7.0717592592592594E-3</v>
      </c>
    </row>
    <row r="2989" spans="1:11" x14ac:dyDescent="0.25">
      <c r="A2989">
        <v>3</v>
      </c>
      <c r="B2989">
        <v>12</v>
      </c>
      <c r="C2989"/>
      <c r="D2989" t="s">
        <v>31</v>
      </c>
      <c r="E2989" t="s">
        <v>32</v>
      </c>
      <c r="F2989" t="s">
        <v>92</v>
      </c>
      <c r="G2989" s="118">
        <v>0.61934027777777778</v>
      </c>
      <c r="H2989" s="118">
        <v>5.2083333333333333E-4</v>
      </c>
      <c r="I2989" s="118">
        <v>1.0069444444444444E-3</v>
      </c>
      <c r="J2989" s="118">
        <v>7.0717592592592594E-3</v>
      </c>
      <c r="K2989" s="118">
        <v>7.0717592592592594E-3</v>
      </c>
    </row>
    <row r="2990" spans="1:11" x14ac:dyDescent="0.25">
      <c r="A2990">
        <v>1</v>
      </c>
      <c r="B2990">
        <v>11</v>
      </c>
      <c r="C2990"/>
      <c r="D2990" t="s">
        <v>31</v>
      </c>
      <c r="E2990" t="s">
        <v>32</v>
      </c>
      <c r="F2990" t="s">
        <v>46</v>
      </c>
      <c r="G2990" s="118">
        <v>0.61959490740740741</v>
      </c>
      <c r="H2990" s="118">
        <v>3.4722222222222224E-4</v>
      </c>
      <c r="I2990" s="118">
        <v>9.1435185185185185E-4</v>
      </c>
      <c r="J2990" s="118">
        <v>7.0717592592592594E-3</v>
      </c>
      <c r="K2990" s="118">
        <v>7.0717592592592594E-3</v>
      </c>
    </row>
    <row r="2991" spans="1:11" x14ac:dyDescent="0.25">
      <c r="A2991">
        <v>4</v>
      </c>
      <c r="B2991">
        <v>11</v>
      </c>
      <c r="C2991"/>
      <c r="D2991" t="s">
        <v>31</v>
      </c>
      <c r="E2991" t="s">
        <v>35</v>
      </c>
      <c r="F2991" t="s">
        <v>56</v>
      </c>
      <c r="G2991" s="118">
        <v>0.61964120370370368</v>
      </c>
      <c r="H2991" s="118">
        <v>1.261574074074074E-3</v>
      </c>
      <c r="I2991" s="118">
        <v>3.4722222222222224E-4</v>
      </c>
      <c r="J2991"/>
      <c r="K2991"/>
    </row>
    <row r="2992" spans="1:11" x14ac:dyDescent="0.25">
      <c r="A2992">
        <v>2</v>
      </c>
      <c r="B2992">
        <v>12</v>
      </c>
      <c r="C2992"/>
      <c r="D2992" t="s">
        <v>31</v>
      </c>
      <c r="E2992" t="s">
        <v>35</v>
      </c>
      <c r="F2992" t="s">
        <v>45</v>
      </c>
      <c r="G2992" s="118">
        <v>0.6199189814814815</v>
      </c>
      <c r="H2992" s="118">
        <v>1.2384259259259258E-3</v>
      </c>
      <c r="I2992" s="118">
        <v>3.4722222222222224E-4</v>
      </c>
      <c r="J2992"/>
      <c r="K2992"/>
    </row>
    <row r="2993" spans="1:11" x14ac:dyDescent="0.25">
      <c r="A2993">
        <v>4</v>
      </c>
      <c r="B2993">
        <v>11</v>
      </c>
      <c r="C2993"/>
      <c r="D2993" t="s">
        <v>31</v>
      </c>
      <c r="E2993" t="s">
        <v>32</v>
      </c>
      <c r="F2993" t="s">
        <v>56</v>
      </c>
      <c r="G2993" s="118">
        <v>0.61998842592592596</v>
      </c>
      <c r="H2993" s="118">
        <v>3.4722222222222224E-4</v>
      </c>
      <c r="I2993" s="118">
        <v>9.6064814814814808E-4</v>
      </c>
      <c r="J2993" s="118">
        <v>7.0717592592592594E-3</v>
      </c>
      <c r="K2993" s="118">
        <v>7.0717592592592594E-3</v>
      </c>
    </row>
    <row r="2994" spans="1:11" x14ac:dyDescent="0.25">
      <c r="A2994">
        <v>2</v>
      </c>
      <c r="B2994">
        <v>12</v>
      </c>
      <c r="C2994"/>
      <c r="D2994" t="s">
        <v>31</v>
      </c>
      <c r="E2994" t="s">
        <v>32</v>
      </c>
      <c r="F2994" t="s">
        <v>45</v>
      </c>
      <c r="G2994" s="118">
        <v>0.62026620370370367</v>
      </c>
      <c r="H2994" s="118">
        <v>3.4722222222222224E-4</v>
      </c>
      <c r="I2994" s="118">
        <v>1.0416666666666667E-3</v>
      </c>
      <c r="J2994" s="118">
        <v>7.0717592592592594E-3</v>
      </c>
      <c r="K2994" s="118">
        <v>7.0717592592592594E-3</v>
      </c>
    </row>
    <row r="2995" spans="1:11" x14ac:dyDescent="0.25">
      <c r="A2995">
        <v>3</v>
      </c>
      <c r="B2995">
        <v>12</v>
      </c>
      <c r="C2995"/>
      <c r="D2995" t="s">
        <v>31</v>
      </c>
      <c r="E2995" t="s">
        <v>35</v>
      </c>
      <c r="F2995" t="s">
        <v>41</v>
      </c>
      <c r="G2995" s="118">
        <v>0.62034722222222227</v>
      </c>
      <c r="H2995" s="118">
        <v>1.0069444444444444E-3</v>
      </c>
      <c r="I2995" s="118">
        <v>3.4722222222222224E-4</v>
      </c>
      <c r="J2995"/>
      <c r="K2995"/>
    </row>
    <row r="2996" spans="1:11" x14ac:dyDescent="0.25">
      <c r="A2996">
        <v>1</v>
      </c>
      <c r="B2996">
        <v>11</v>
      </c>
      <c r="C2996"/>
      <c r="D2996" t="s">
        <v>31</v>
      </c>
      <c r="E2996" t="s">
        <v>35</v>
      </c>
      <c r="F2996" t="s">
        <v>51</v>
      </c>
      <c r="G2996" s="118">
        <v>0.62050925925925926</v>
      </c>
      <c r="H2996" s="118">
        <v>9.1435185185185185E-4</v>
      </c>
      <c r="I2996" s="118">
        <v>3.4722222222222224E-4</v>
      </c>
      <c r="J2996"/>
      <c r="K2996"/>
    </row>
    <row r="2997" spans="1:11" x14ac:dyDescent="0.25">
      <c r="A2997">
        <v>5</v>
      </c>
      <c r="B2997">
        <v>12</v>
      </c>
      <c r="C2997"/>
      <c r="D2997" t="s">
        <v>31</v>
      </c>
      <c r="E2997" t="s">
        <v>35</v>
      </c>
      <c r="F2997" t="s">
        <v>33</v>
      </c>
      <c r="G2997" s="118">
        <v>0.6206828703703704</v>
      </c>
      <c r="H2997" s="118">
        <v>1.3541666666666667E-3</v>
      </c>
      <c r="I2997" s="118">
        <v>5.2083333333333333E-4</v>
      </c>
      <c r="J2997"/>
      <c r="K2997"/>
    </row>
    <row r="2998" spans="1:11" x14ac:dyDescent="0.25">
      <c r="A2998">
        <v>3</v>
      </c>
      <c r="B2998">
        <v>12</v>
      </c>
      <c r="C2998"/>
      <c r="D2998" t="s">
        <v>31</v>
      </c>
      <c r="E2998" t="s">
        <v>32</v>
      </c>
      <c r="F2998" t="s">
        <v>41</v>
      </c>
      <c r="G2998" s="118">
        <v>0.62069444444444444</v>
      </c>
      <c r="H2998" s="118">
        <v>3.4722222222222224E-4</v>
      </c>
      <c r="I2998" s="118">
        <v>8.564814814814815E-4</v>
      </c>
      <c r="J2998" s="118">
        <v>7.0717592592592594E-3</v>
      </c>
      <c r="K2998" s="118">
        <v>7.0717592592592594E-3</v>
      </c>
    </row>
    <row r="2999" spans="1:11" x14ac:dyDescent="0.25">
      <c r="A2999">
        <v>1</v>
      </c>
      <c r="B2999">
        <v>11</v>
      </c>
      <c r="C2999"/>
      <c r="D2999" t="s">
        <v>31</v>
      </c>
      <c r="E2999" t="s">
        <v>32</v>
      </c>
      <c r="F2999" t="s">
        <v>51</v>
      </c>
      <c r="G2999" s="118">
        <v>0.62085648148148154</v>
      </c>
      <c r="H2999" s="118">
        <v>3.4722222222222224E-4</v>
      </c>
      <c r="I2999" s="118">
        <v>1.0069444444444444E-3</v>
      </c>
      <c r="J2999" s="118">
        <v>7.0717592592592594E-3</v>
      </c>
      <c r="K2999" s="118">
        <v>7.0717592592592594E-3</v>
      </c>
    </row>
    <row r="3000" spans="1:11" x14ac:dyDescent="0.25">
      <c r="A3000">
        <v>4</v>
      </c>
      <c r="B3000">
        <v>11</v>
      </c>
      <c r="C3000"/>
      <c r="D3000" t="s">
        <v>31</v>
      </c>
      <c r="E3000" t="s">
        <v>35</v>
      </c>
      <c r="F3000" t="s">
        <v>37</v>
      </c>
      <c r="G3000" s="118">
        <v>0.62094907407407407</v>
      </c>
      <c r="H3000" s="118">
        <v>9.6064814814814808E-4</v>
      </c>
      <c r="I3000" s="118">
        <v>3.4722222222222224E-4</v>
      </c>
      <c r="J3000"/>
      <c r="K3000"/>
    </row>
    <row r="3001" spans="1:11" x14ac:dyDescent="0.25">
      <c r="A3001">
        <v>5</v>
      </c>
      <c r="B3001">
        <v>12</v>
      </c>
      <c r="C3001"/>
      <c r="D3001" t="s">
        <v>31</v>
      </c>
      <c r="E3001" t="s">
        <v>32</v>
      </c>
      <c r="F3001" t="s">
        <v>33</v>
      </c>
      <c r="G3001" s="118">
        <v>0.6212037037037037</v>
      </c>
      <c r="H3001" s="118">
        <v>5.2083333333333333E-4</v>
      </c>
      <c r="I3001" s="118">
        <v>9.6064814814814808E-4</v>
      </c>
      <c r="J3001" s="118">
        <v>7.0717592592592594E-3</v>
      </c>
      <c r="K3001" s="118">
        <v>7.0717592592592594E-3</v>
      </c>
    </row>
    <row r="3002" spans="1:11" x14ac:dyDescent="0.25">
      <c r="A3002">
        <v>4</v>
      </c>
      <c r="B3002">
        <v>11</v>
      </c>
      <c r="C3002"/>
      <c r="D3002" t="s">
        <v>31</v>
      </c>
      <c r="E3002" t="s">
        <v>32</v>
      </c>
      <c r="F3002" t="s">
        <v>37</v>
      </c>
      <c r="G3002" s="118">
        <v>0.62129629629629635</v>
      </c>
      <c r="H3002" s="118">
        <v>3.4722222222222224E-4</v>
      </c>
      <c r="I3002" s="118">
        <v>9.0277777777777784E-4</v>
      </c>
      <c r="J3002" s="118">
        <v>7.0717592592592594E-3</v>
      </c>
      <c r="K3002" s="118">
        <v>7.0717592592592594E-3</v>
      </c>
    </row>
    <row r="3003" spans="1:11" x14ac:dyDescent="0.25">
      <c r="A3003">
        <v>2</v>
      </c>
      <c r="B3003">
        <v>12</v>
      </c>
      <c r="C3003"/>
      <c r="D3003" t="s">
        <v>31</v>
      </c>
      <c r="E3003" t="s">
        <v>35</v>
      </c>
      <c r="F3003" t="s">
        <v>52</v>
      </c>
      <c r="G3003" s="118">
        <v>0.62130787037037039</v>
      </c>
      <c r="H3003" s="118">
        <v>1.0416666666666667E-3</v>
      </c>
      <c r="I3003" s="118">
        <v>3.4722222222222224E-4</v>
      </c>
      <c r="J3003"/>
      <c r="K3003"/>
    </row>
    <row r="3004" spans="1:11" x14ac:dyDescent="0.25">
      <c r="A3004">
        <v>3</v>
      </c>
      <c r="B3004">
        <v>12</v>
      </c>
      <c r="C3004"/>
      <c r="D3004" t="s">
        <v>31</v>
      </c>
      <c r="E3004" t="s">
        <v>35</v>
      </c>
      <c r="F3004" t="s">
        <v>47</v>
      </c>
      <c r="G3004" s="118">
        <v>0.62155092592592587</v>
      </c>
      <c r="H3004" s="118">
        <v>8.564814814814815E-4</v>
      </c>
      <c r="I3004" s="118">
        <v>5.2083333333333333E-4</v>
      </c>
      <c r="J3004"/>
      <c r="K3004"/>
    </row>
    <row r="3005" spans="1:11" x14ac:dyDescent="0.25">
      <c r="A3005">
        <v>2</v>
      </c>
      <c r="B3005">
        <v>12</v>
      </c>
      <c r="C3005"/>
      <c r="D3005" t="s">
        <v>31</v>
      </c>
      <c r="E3005" t="s">
        <v>32</v>
      </c>
      <c r="F3005" t="s">
        <v>52</v>
      </c>
      <c r="G3005" s="118">
        <v>0.62165509259259266</v>
      </c>
      <c r="H3005" s="118">
        <v>3.4722222222222224E-4</v>
      </c>
      <c r="I3005" s="118">
        <v>1.0532407407407407E-3</v>
      </c>
      <c r="J3005" s="118">
        <v>7.0717592592592594E-3</v>
      </c>
      <c r="K3005" s="118">
        <v>7.0717592592592594E-3</v>
      </c>
    </row>
    <row r="3006" spans="1:11" x14ac:dyDescent="0.25">
      <c r="A3006">
        <v>1</v>
      </c>
      <c r="B3006">
        <v>11</v>
      </c>
      <c r="C3006"/>
      <c r="D3006" t="s">
        <v>31</v>
      </c>
      <c r="E3006" t="s">
        <v>35</v>
      </c>
      <c r="F3006" t="s">
        <v>55</v>
      </c>
      <c r="G3006" s="118">
        <v>0.62186342592592592</v>
      </c>
      <c r="H3006" s="118">
        <v>1.0069444444444444E-3</v>
      </c>
      <c r="I3006" s="118">
        <v>4.6296296296296293E-4</v>
      </c>
      <c r="J3006"/>
      <c r="K3006"/>
    </row>
    <row r="3007" spans="1:11" x14ac:dyDescent="0.25">
      <c r="A3007">
        <v>3</v>
      </c>
      <c r="B3007">
        <v>12</v>
      </c>
      <c r="C3007"/>
      <c r="D3007" t="s">
        <v>31</v>
      </c>
      <c r="E3007" t="s">
        <v>32</v>
      </c>
      <c r="F3007" t="s">
        <v>47</v>
      </c>
      <c r="G3007" s="118">
        <v>0.62207175925925928</v>
      </c>
      <c r="H3007" s="118">
        <v>5.2083333333333333E-4</v>
      </c>
      <c r="I3007" s="118">
        <v>8.7962962962962962E-4</v>
      </c>
      <c r="J3007" s="118">
        <v>7.0717592592592594E-3</v>
      </c>
      <c r="K3007" s="118">
        <v>7.0717592592592594E-3</v>
      </c>
    </row>
    <row r="3008" spans="1:11" x14ac:dyDescent="0.25">
      <c r="A3008">
        <v>5</v>
      </c>
      <c r="B3008">
        <v>12</v>
      </c>
      <c r="C3008"/>
      <c r="D3008" t="s">
        <v>31</v>
      </c>
      <c r="E3008" t="s">
        <v>35</v>
      </c>
      <c r="F3008" t="s">
        <v>36</v>
      </c>
      <c r="G3008" s="118">
        <v>0.62216435185185182</v>
      </c>
      <c r="H3008" s="118">
        <v>9.6064814814814808E-4</v>
      </c>
      <c r="I3008" s="118">
        <v>3.4722222222222224E-4</v>
      </c>
      <c r="J3008"/>
      <c r="K3008"/>
    </row>
    <row r="3009" spans="1:11" x14ac:dyDescent="0.25">
      <c r="A3009">
        <v>4</v>
      </c>
      <c r="B3009">
        <v>11</v>
      </c>
      <c r="C3009"/>
      <c r="D3009" t="s">
        <v>31</v>
      </c>
      <c r="E3009" t="s">
        <v>35</v>
      </c>
      <c r="F3009" t="s">
        <v>42</v>
      </c>
      <c r="G3009" s="118">
        <v>0.62219907407407404</v>
      </c>
      <c r="H3009" s="118">
        <v>9.0277777777777784E-4</v>
      </c>
      <c r="I3009" s="118">
        <v>3.4722222222222224E-4</v>
      </c>
      <c r="J3009"/>
      <c r="K3009"/>
    </row>
    <row r="3010" spans="1:11" x14ac:dyDescent="0.25">
      <c r="A3010">
        <v>1</v>
      </c>
      <c r="B3010">
        <v>11</v>
      </c>
      <c r="C3010"/>
      <c r="D3010" t="s">
        <v>31</v>
      </c>
      <c r="E3010" t="s">
        <v>32</v>
      </c>
      <c r="F3010" t="s">
        <v>55</v>
      </c>
      <c r="G3010" s="118">
        <v>0.62232638888888892</v>
      </c>
      <c r="H3010" s="118">
        <v>4.6296296296296293E-4</v>
      </c>
      <c r="I3010" s="118">
        <v>4.3981481481481481E-4</v>
      </c>
      <c r="J3010" s="118">
        <v>7.0717592592592594E-3</v>
      </c>
      <c r="K3010" s="118">
        <v>7.0717592592592594E-3</v>
      </c>
    </row>
    <row r="3011" spans="1:11" x14ac:dyDescent="0.25">
      <c r="A3011">
        <v>5</v>
      </c>
      <c r="B3011">
        <v>12</v>
      </c>
      <c r="C3011"/>
      <c r="D3011" t="s">
        <v>31</v>
      </c>
      <c r="E3011" t="s">
        <v>32</v>
      </c>
      <c r="F3011" t="s">
        <v>36</v>
      </c>
      <c r="G3011" s="118">
        <v>0.62251157407407409</v>
      </c>
      <c r="H3011" s="118">
        <v>3.4722222222222224E-4</v>
      </c>
      <c r="I3011" s="118">
        <v>1.0995370370370371E-3</v>
      </c>
      <c r="J3011" s="118">
        <v>7.0717592592592594E-3</v>
      </c>
      <c r="K3011" s="118">
        <v>7.0717592592592594E-3</v>
      </c>
    </row>
    <row r="3012" spans="1:11" x14ac:dyDescent="0.25">
      <c r="A3012">
        <v>4</v>
      </c>
      <c r="B3012">
        <v>11</v>
      </c>
      <c r="C3012"/>
      <c r="D3012" t="s">
        <v>31</v>
      </c>
      <c r="E3012" t="s">
        <v>32</v>
      </c>
      <c r="F3012" t="s">
        <v>42</v>
      </c>
      <c r="G3012" s="118">
        <v>0.62254629629629632</v>
      </c>
      <c r="H3012" s="118">
        <v>3.4722222222222224E-4</v>
      </c>
      <c r="I3012" s="118">
        <v>9.1435185185185185E-4</v>
      </c>
      <c r="J3012" s="118">
        <v>7.0717592592592594E-3</v>
      </c>
      <c r="K3012" s="118">
        <v>7.0717592592592594E-3</v>
      </c>
    </row>
    <row r="3013" spans="1:11" x14ac:dyDescent="0.25">
      <c r="A3013">
        <v>2</v>
      </c>
      <c r="B3013">
        <v>12</v>
      </c>
      <c r="C3013"/>
      <c r="D3013" t="s">
        <v>31</v>
      </c>
      <c r="E3013" t="s">
        <v>35</v>
      </c>
      <c r="F3013" t="s">
        <v>57</v>
      </c>
      <c r="G3013" s="118">
        <v>0.62270833333333331</v>
      </c>
      <c r="H3013" s="118">
        <v>1.0532407407407407E-3</v>
      </c>
      <c r="I3013" s="118">
        <v>3.4722222222222224E-4</v>
      </c>
      <c r="J3013"/>
      <c r="K3013"/>
    </row>
    <row r="3014" spans="1:11" x14ac:dyDescent="0.25">
      <c r="A3014">
        <v>1</v>
      </c>
      <c r="B3014">
        <v>11</v>
      </c>
      <c r="C3014"/>
      <c r="D3014" t="s">
        <v>31</v>
      </c>
      <c r="E3014" t="s">
        <v>35</v>
      </c>
      <c r="F3014" t="s">
        <v>58</v>
      </c>
      <c r="G3014" s="118">
        <v>0.62276620370370372</v>
      </c>
      <c r="H3014" s="118">
        <v>4.3981481481481481E-4</v>
      </c>
      <c r="I3014" s="118">
        <v>5.7870370370370366E-5</v>
      </c>
      <c r="J3014"/>
      <c r="K3014"/>
    </row>
    <row r="3015" spans="1:11" x14ac:dyDescent="0.25">
      <c r="A3015">
        <v>1</v>
      </c>
      <c r="B3015">
        <v>11</v>
      </c>
      <c r="C3015"/>
      <c r="D3015" t="s">
        <v>31</v>
      </c>
      <c r="E3015" t="s">
        <v>32</v>
      </c>
      <c r="F3015" t="s">
        <v>58</v>
      </c>
      <c r="G3015" s="118">
        <v>0.62282407407407414</v>
      </c>
      <c r="H3015" s="118">
        <v>5.7870370370370366E-5</v>
      </c>
      <c r="I3015" s="118">
        <v>4.8611111111111104E-4</v>
      </c>
      <c r="J3015" s="118">
        <v>7.0717592592592594E-3</v>
      </c>
      <c r="K3015" s="118">
        <v>7.0717592592592594E-3</v>
      </c>
    </row>
    <row r="3016" spans="1:11" x14ac:dyDescent="0.25">
      <c r="A3016">
        <v>3</v>
      </c>
      <c r="B3016">
        <v>12</v>
      </c>
      <c r="C3016"/>
      <c r="D3016" t="s">
        <v>31</v>
      </c>
      <c r="E3016" t="s">
        <v>35</v>
      </c>
      <c r="F3016" t="s">
        <v>53</v>
      </c>
      <c r="G3016" s="118">
        <v>0.6229513888888889</v>
      </c>
      <c r="H3016" s="118">
        <v>8.7962962962962962E-4</v>
      </c>
      <c r="I3016" s="118">
        <v>3.4722222222222224E-4</v>
      </c>
      <c r="J3016"/>
      <c r="K3016"/>
    </row>
    <row r="3017" spans="1:11" x14ac:dyDescent="0.25">
      <c r="A3017">
        <v>2</v>
      </c>
      <c r="B3017">
        <v>12</v>
      </c>
      <c r="C3017"/>
      <c r="D3017" t="s">
        <v>31</v>
      </c>
      <c r="E3017" t="s">
        <v>32</v>
      </c>
      <c r="F3017" t="s">
        <v>57</v>
      </c>
      <c r="G3017" s="118">
        <v>0.62305555555555558</v>
      </c>
      <c r="H3017" s="118">
        <v>3.4722222222222224E-4</v>
      </c>
      <c r="I3017" s="118">
        <v>9.3750000000000007E-4</v>
      </c>
      <c r="J3017" s="118">
        <v>7.0717592592592594E-3</v>
      </c>
      <c r="K3017" s="118">
        <v>7.0717592592592594E-3</v>
      </c>
    </row>
    <row r="3018" spans="1:11" x14ac:dyDescent="0.25">
      <c r="A3018">
        <v>3</v>
      </c>
      <c r="B3018">
        <v>12</v>
      </c>
      <c r="C3018"/>
      <c r="D3018" t="s">
        <v>31</v>
      </c>
      <c r="E3018" t="s">
        <v>32</v>
      </c>
      <c r="F3018" t="s">
        <v>53</v>
      </c>
      <c r="G3018" s="118">
        <v>0.62329861111111107</v>
      </c>
      <c r="H3018" s="118">
        <v>3.4722222222222224E-4</v>
      </c>
      <c r="I3018" s="118">
        <v>8.449074074074075E-4</v>
      </c>
      <c r="J3018" s="118">
        <v>7.0717592592592594E-3</v>
      </c>
      <c r="K3018" s="118">
        <v>7.0717592592592594E-3</v>
      </c>
    </row>
    <row r="3019" spans="1:11" x14ac:dyDescent="0.25">
      <c r="A3019">
        <v>1</v>
      </c>
      <c r="B3019">
        <v>11</v>
      </c>
      <c r="C3019"/>
      <c r="D3019" t="s">
        <v>31</v>
      </c>
      <c r="E3019" t="s">
        <v>35</v>
      </c>
      <c r="F3019" t="s">
        <v>40</v>
      </c>
      <c r="G3019" s="118">
        <v>0.62331018518518522</v>
      </c>
      <c r="H3019" s="118">
        <v>4.8611111111111104E-4</v>
      </c>
      <c r="I3019" s="118">
        <v>4.6296296296296293E-4</v>
      </c>
      <c r="J3019"/>
      <c r="K3019"/>
    </row>
    <row r="3020" spans="1:11" x14ac:dyDescent="0.25">
      <c r="A3020">
        <v>4</v>
      </c>
      <c r="B3020">
        <v>11</v>
      </c>
      <c r="C3020"/>
      <c r="D3020" t="s">
        <v>31</v>
      </c>
      <c r="E3020" t="s">
        <v>35</v>
      </c>
      <c r="F3020" t="s">
        <v>48</v>
      </c>
      <c r="G3020" s="118">
        <v>0.62346064814814817</v>
      </c>
      <c r="H3020" s="118">
        <v>9.1435185185185185E-4</v>
      </c>
      <c r="I3020" s="118">
        <v>5.2083333333333333E-4</v>
      </c>
      <c r="J3020"/>
      <c r="K3020"/>
    </row>
    <row r="3021" spans="1:11" x14ac:dyDescent="0.25">
      <c r="A3021">
        <v>5</v>
      </c>
      <c r="B3021">
        <v>12</v>
      </c>
      <c r="C3021"/>
      <c r="D3021" t="s">
        <v>31</v>
      </c>
      <c r="E3021" t="s">
        <v>35</v>
      </c>
      <c r="F3021" t="s">
        <v>43</v>
      </c>
      <c r="G3021" s="118">
        <v>0.62361111111111112</v>
      </c>
      <c r="H3021" s="118">
        <v>1.0995370370370371E-3</v>
      </c>
      <c r="I3021" s="118">
        <v>3.4722222222222224E-4</v>
      </c>
      <c r="J3021"/>
      <c r="K3021"/>
    </row>
    <row r="3022" spans="1:11" x14ac:dyDescent="0.25">
      <c r="A3022">
        <v>1</v>
      </c>
      <c r="B3022">
        <v>11</v>
      </c>
      <c r="C3022"/>
      <c r="D3022" t="s">
        <v>31</v>
      </c>
      <c r="E3022" t="s">
        <v>32</v>
      </c>
      <c r="F3022" t="s">
        <v>40</v>
      </c>
      <c r="G3022" s="118">
        <v>0.62377314814814822</v>
      </c>
      <c r="H3022" s="118">
        <v>4.6296296296296293E-4</v>
      </c>
      <c r="I3022" s="118">
        <v>1.0069444444444444E-3</v>
      </c>
      <c r="J3022" s="118">
        <v>7.0717592592592594E-3</v>
      </c>
      <c r="K3022" s="118">
        <v>7.0717592592592594E-3</v>
      </c>
    </row>
    <row r="3023" spans="1:11" x14ac:dyDescent="0.25">
      <c r="A3023">
        <v>5</v>
      </c>
      <c r="B3023">
        <v>12</v>
      </c>
      <c r="C3023"/>
      <c r="D3023" t="s">
        <v>31</v>
      </c>
      <c r="E3023" t="s">
        <v>32</v>
      </c>
      <c r="F3023" t="s">
        <v>43</v>
      </c>
      <c r="G3023" s="118">
        <v>0.62395833333333328</v>
      </c>
      <c r="H3023" s="118">
        <v>3.4722222222222224E-4</v>
      </c>
      <c r="I3023" s="118">
        <v>1.1458333333333333E-3</v>
      </c>
      <c r="J3023" s="118">
        <v>7.0717592592592594E-3</v>
      </c>
      <c r="K3023" s="118">
        <v>7.0717592592592594E-3</v>
      </c>
    </row>
    <row r="3024" spans="1:11" x14ac:dyDescent="0.25">
      <c r="A3024">
        <v>4</v>
      </c>
      <c r="B3024">
        <v>11</v>
      </c>
      <c r="C3024"/>
      <c r="D3024" t="s">
        <v>31</v>
      </c>
      <c r="E3024" t="s">
        <v>32</v>
      </c>
      <c r="F3024" t="s">
        <v>48</v>
      </c>
      <c r="G3024" s="118">
        <v>0.62398148148148147</v>
      </c>
      <c r="H3024" s="118">
        <v>5.2083333333333333E-4</v>
      </c>
      <c r="I3024" s="118">
        <v>8.6805555555555551E-4</v>
      </c>
      <c r="J3024" s="118">
        <v>7.0717592592592594E-3</v>
      </c>
      <c r="K3024" s="118">
        <v>7.0717592592592594E-3</v>
      </c>
    </row>
    <row r="3025" spans="1:11" x14ac:dyDescent="0.25">
      <c r="A3025">
        <v>2</v>
      </c>
      <c r="B3025">
        <v>12</v>
      </c>
      <c r="C3025"/>
      <c r="D3025" t="s">
        <v>31</v>
      </c>
      <c r="E3025" t="s">
        <v>35</v>
      </c>
      <c r="F3025" t="s">
        <v>39</v>
      </c>
      <c r="G3025" s="118">
        <v>0.62399305555555562</v>
      </c>
      <c r="H3025" s="118">
        <v>9.3750000000000007E-4</v>
      </c>
      <c r="I3025" s="118">
        <v>5.2083333333333333E-4</v>
      </c>
      <c r="J3025"/>
      <c r="K3025"/>
    </row>
    <row r="3026" spans="1:11" x14ac:dyDescent="0.25">
      <c r="A3026">
        <v>3</v>
      </c>
      <c r="B3026">
        <v>12</v>
      </c>
      <c r="C3026"/>
      <c r="D3026" t="s">
        <v>31</v>
      </c>
      <c r="E3026" t="s">
        <v>35</v>
      </c>
      <c r="F3026" t="s">
        <v>34</v>
      </c>
      <c r="G3026" s="118">
        <v>0.62414351851851857</v>
      </c>
      <c r="H3026" s="118">
        <v>8.449074074074075E-4</v>
      </c>
      <c r="I3026" s="118">
        <v>3.4722222222222224E-4</v>
      </c>
      <c r="J3026"/>
      <c r="K3026"/>
    </row>
    <row r="3027" spans="1:11" x14ac:dyDescent="0.25">
      <c r="A3027">
        <v>3</v>
      </c>
      <c r="B3027">
        <v>12</v>
      </c>
      <c r="C3027"/>
      <c r="D3027" t="s">
        <v>31</v>
      </c>
      <c r="E3027" t="s">
        <v>32</v>
      </c>
      <c r="F3027" t="s">
        <v>34</v>
      </c>
      <c r="G3027" s="118">
        <v>0.62449074074074074</v>
      </c>
      <c r="H3027" s="118">
        <v>3.4722222222222224E-4</v>
      </c>
      <c r="I3027" s="118">
        <v>9.1435185185185185E-4</v>
      </c>
      <c r="J3027" s="118">
        <v>7.0717592592592594E-3</v>
      </c>
      <c r="K3027" s="118">
        <v>7.0717592592592594E-3</v>
      </c>
    </row>
    <row r="3028" spans="1:11" x14ac:dyDescent="0.25">
      <c r="A3028">
        <v>2</v>
      </c>
      <c r="B3028">
        <v>12</v>
      </c>
      <c r="C3028"/>
      <c r="D3028" t="s">
        <v>31</v>
      </c>
      <c r="E3028" t="s">
        <v>32</v>
      </c>
      <c r="F3028" t="s">
        <v>39</v>
      </c>
      <c r="G3028" s="118">
        <v>0.62451388888888892</v>
      </c>
      <c r="H3028" s="118">
        <v>5.2083333333333333E-4</v>
      </c>
      <c r="I3028" s="118">
        <v>1.8055555555555557E-3</v>
      </c>
      <c r="J3028" s="118">
        <v>7.0717592592592594E-3</v>
      </c>
      <c r="K3028" s="118">
        <v>7.0717592592592594E-3</v>
      </c>
    </row>
    <row r="3029" spans="1:11" x14ac:dyDescent="0.25">
      <c r="A3029">
        <v>1</v>
      </c>
      <c r="B3029">
        <v>11</v>
      </c>
      <c r="C3029"/>
      <c r="D3029" t="s">
        <v>31</v>
      </c>
      <c r="E3029" t="s">
        <v>35</v>
      </c>
      <c r="F3029" t="s">
        <v>44</v>
      </c>
      <c r="G3029" s="118">
        <v>0.6247800925925926</v>
      </c>
      <c r="H3029" s="118">
        <v>1.0069444444444444E-3</v>
      </c>
      <c r="I3029" s="118">
        <v>3.4722222222222224E-4</v>
      </c>
      <c r="J3029"/>
      <c r="K3029"/>
    </row>
    <row r="3030" spans="1:11" x14ac:dyDescent="0.25">
      <c r="A3030">
        <v>4</v>
      </c>
      <c r="B3030">
        <v>11</v>
      </c>
      <c r="C3030"/>
      <c r="D3030" t="s">
        <v>31</v>
      </c>
      <c r="E3030" t="s">
        <v>35</v>
      </c>
      <c r="F3030" t="s">
        <v>54</v>
      </c>
      <c r="G3030" s="118">
        <v>0.62484953703703705</v>
      </c>
      <c r="H3030" s="118">
        <v>8.6805555555555551E-4</v>
      </c>
      <c r="I3030" s="118">
        <v>3.4722222222222224E-4</v>
      </c>
      <c r="J3030"/>
      <c r="K3030"/>
    </row>
    <row r="3031" spans="1:11" x14ac:dyDescent="0.25">
      <c r="A3031">
        <v>5</v>
      </c>
      <c r="B3031">
        <v>12</v>
      </c>
      <c r="C3031"/>
      <c r="D3031" t="s">
        <v>31</v>
      </c>
      <c r="E3031" t="s">
        <v>35</v>
      </c>
      <c r="F3031" t="s">
        <v>50</v>
      </c>
      <c r="G3031" s="118">
        <v>0.62510416666666668</v>
      </c>
      <c r="H3031" s="118">
        <v>1.1458333333333333E-3</v>
      </c>
      <c r="I3031" s="118">
        <v>3.4722222222222224E-4</v>
      </c>
      <c r="J3031"/>
      <c r="K3031"/>
    </row>
    <row r="3032" spans="1:11" x14ac:dyDescent="0.25">
      <c r="A3032">
        <v>1</v>
      </c>
      <c r="B3032">
        <v>11</v>
      </c>
      <c r="C3032"/>
      <c r="D3032" t="s">
        <v>31</v>
      </c>
      <c r="E3032" t="s">
        <v>32</v>
      </c>
      <c r="F3032" t="s">
        <v>44</v>
      </c>
      <c r="G3032" s="118">
        <v>0.62512731481481476</v>
      </c>
      <c r="H3032" s="118">
        <v>3.4722222222222224E-4</v>
      </c>
      <c r="I3032" s="118">
        <v>9.2592592592592585E-4</v>
      </c>
      <c r="J3032" s="118">
        <v>7.0717592592592594E-3</v>
      </c>
      <c r="K3032" s="118">
        <v>7.0717592592592594E-3</v>
      </c>
    </row>
    <row r="3033" spans="1:11" x14ac:dyDescent="0.25">
      <c r="A3033">
        <v>4</v>
      </c>
      <c r="B3033">
        <v>11</v>
      </c>
      <c r="C3033"/>
      <c r="D3033" t="s">
        <v>31</v>
      </c>
      <c r="E3033" t="s">
        <v>32</v>
      </c>
      <c r="F3033" t="s">
        <v>54</v>
      </c>
      <c r="G3033" s="118">
        <v>0.62519675925925922</v>
      </c>
      <c r="H3033" s="118">
        <v>3.4722222222222224E-4</v>
      </c>
      <c r="I3033" s="118">
        <v>6.9444444444444447E-4</v>
      </c>
      <c r="J3033" s="118">
        <v>7.0717592592592594E-3</v>
      </c>
      <c r="K3033" s="118">
        <v>7.0717592592592594E-3</v>
      </c>
    </row>
    <row r="3034" spans="1:11" x14ac:dyDescent="0.25">
      <c r="A3034">
        <v>3</v>
      </c>
      <c r="B3034">
        <v>12</v>
      </c>
      <c r="C3034"/>
      <c r="D3034" t="s">
        <v>31</v>
      </c>
      <c r="E3034" t="s">
        <v>35</v>
      </c>
      <c r="F3034" t="s">
        <v>38</v>
      </c>
      <c r="G3034" s="118">
        <v>0.62540509259259258</v>
      </c>
      <c r="H3034" s="118">
        <v>9.1435185185185185E-4</v>
      </c>
      <c r="I3034" s="118">
        <v>3.4722222222222224E-4</v>
      </c>
      <c r="J3034"/>
      <c r="K3034"/>
    </row>
    <row r="3035" spans="1:11" x14ac:dyDescent="0.25">
      <c r="A3035">
        <v>5</v>
      </c>
      <c r="B3035">
        <v>12</v>
      </c>
      <c r="C3035"/>
      <c r="D3035" t="s">
        <v>31</v>
      </c>
      <c r="E3035" t="s">
        <v>32</v>
      </c>
      <c r="F3035" t="s">
        <v>50</v>
      </c>
      <c r="G3035" s="118">
        <v>0.62545138888888896</v>
      </c>
      <c r="H3035" s="118">
        <v>3.4722222222222224E-4</v>
      </c>
      <c r="I3035" s="118">
        <v>1.261574074074074E-3</v>
      </c>
      <c r="J3035" s="118">
        <v>7.0717592592592594E-3</v>
      </c>
      <c r="K3035" s="118">
        <v>7.0717592592592594E-3</v>
      </c>
    </row>
    <row r="3036" spans="1:11" x14ac:dyDescent="0.25">
      <c r="A3036">
        <v>3</v>
      </c>
      <c r="B3036">
        <v>12</v>
      </c>
      <c r="C3036"/>
      <c r="D3036" t="s">
        <v>31</v>
      </c>
      <c r="E3036" t="s">
        <v>32</v>
      </c>
      <c r="F3036" t="s">
        <v>38</v>
      </c>
      <c r="G3036" s="118">
        <v>0.62575231481481486</v>
      </c>
      <c r="H3036" s="118">
        <v>3.4722222222222224E-4</v>
      </c>
      <c r="I3036" s="118">
        <v>1.2384259259259258E-3</v>
      </c>
      <c r="J3036" s="118">
        <v>7.0717592592592594E-3</v>
      </c>
      <c r="K3036" s="118">
        <v>7.0717592592592594E-3</v>
      </c>
    </row>
    <row r="3037" spans="1:11" x14ac:dyDescent="0.25">
      <c r="A3037">
        <v>4</v>
      </c>
      <c r="B3037">
        <v>11</v>
      </c>
      <c r="C3037"/>
      <c r="D3037" t="s">
        <v>31</v>
      </c>
      <c r="E3037" t="s">
        <v>35</v>
      </c>
      <c r="F3037" t="s">
        <v>92</v>
      </c>
      <c r="G3037" s="118">
        <v>0.62589120370370377</v>
      </c>
      <c r="H3037" s="118">
        <v>6.9444444444444447E-4</v>
      </c>
      <c r="I3037" s="118">
        <v>5.2083333333333333E-4</v>
      </c>
      <c r="J3037"/>
      <c r="K3037"/>
    </row>
    <row r="3038" spans="1:11" x14ac:dyDescent="0.25">
      <c r="A3038">
        <v>1</v>
      </c>
      <c r="B3038">
        <v>11</v>
      </c>
      <c r="C3038"/>
      <c r="D3038" t="s">
        <v>31</v>
      </c>
      <c r="E3038" t="s">
        <v>35</v>
      </c>
      <c r="F3038" t="s">
        <v>49</v>
      </c>
      <c r="G3038" s="118">
        <v>0.62605324074074076</v>
      </c>
      <c r="H3038" s="118">
        <v>9.2592592592592585E-4</v>
      </c>
      <c r="I3038" s="118">
        <v>3.4722222222222224E-4</v>
      </c>
      <c r="J3038"/>
      <c r="K3038"/>
    </row>
    <row r="3039" spans="1:11" x14ac:dyDescent="0.25">
      <c r="A3039">
        <v>2</v>
      </c>
      <c r="B3039">
        <v>12</v>
      </c>
      <c r="C3039"/>
      <c r="D3039" t="s">
        <v>31</v>
      </c>
      <c r="E3039" t="s">
        <v>35</v>
      </c>
      <c r="F3039" t="s">
        <v>46</v>
      </c>
      <c r="G3039" s="118">
        <v>0.62631944444444443</v>
      </c>
      <c r="H3039" s="118">
        <v>1.8055555555555557E-3</v>
      </c>
      <c r="I3039" s="118">
        <v>3.4722222222222224E-4</v>
      </c>
      <c r="J3039"/>
      <c r="K3039"/>
    </row>
    <row r="3040" spans="1:11" x14ac:dyDescent="0.25">
      <c r="A3040">
        <v>1</v>
      </c>
      <c r="B3040">
        <v>11</v>
      </c>
      <c r="C3040"/>
      <c r="D3040" t="s">
        <v>31</v>
      </c>
      <c r="E3040" t="s">
        <v>32</v>
      </c>
      <c r="F3040" t="s">
        <v>49</v>
      </c>
      <c r="G3040" s="118">
        <v>0.62640046296296303</v>
      </c>
      <c r="H3040" s="118">
        <v>3.4722222222222224E-4</v>
      </c>
      <c r="I3040" s="118">
        <v>1.3541666666666667E-3</v>
      </c>
      <c r="J3040" s="118">
        <v>7.0717592592592594E-3</v>
      </c>
      <c r="K3040" s="118">
        <v>7.0717592592592594E-3</v>
      </c>
    </row>
    <row r="3041" spans="1:11" x14ac:dyDescent="0.25">
      <c r="A3041">
        <v>4</v>
      </c>
      <c r="B3041">
        <v>12</v>
      </c>
      <c r="C3041"/>
      <c r="D3041" t="s">
        <v>31</v>
      </c>
      <c r="E3041" t="s">
        <v>32</v>
      </c>
      <c r="F3041" t="s">
        <v>92</v>
      </c>
      <c r="G3041" s="118">
        <v>0.62641203703703707</v>
      </c>
      <c r="H3041" s="118">
        <v>5.2083333333333333E-4</v>
      </c>
      <c r="I3041" s="118">
        <v>1.0069444444444444E-3</v>
      </c>
      <c r="J3041" s="118">
        <v>7.0717592592592594E-3</v>
      </c>
      <c r="K3041" s="118">
        <v>7.0717592592592594E-3</v>
      </c>
    </row>
    <row r="3042" spans="1:11" x14ac:dyDescent="0.25">
      <c r="A3042">
        <v>2</v>
      </c>
      <c r="B3042">
        <v>12</v>
      </c>
      <c r="C3042"/>
      <c r="D3042" t="s">
        <v>31</v>
      </c>
      <c r="E3042" t="s">
        <v>32</v>
      </c>
      <c r="F3042" t="s">
        <v>46</v>
      </c>
      <c r="G3042" s="118">
        <v>0.62666666666666659</v>
      </c>
      <c r="H3042" s="118">
        <v>3.4722222222222224E-4</v>
      </c>
      <c r="I3042" s="118">
        <v>9.1435185185185185E-4</v>
      </c>
      <c r="J3042" s="118">
        <v>7.0717592592592594E-3</v>
      </c>
      <c r="K3042" s="118">
        <v>7.0717592592592594E-3</v>
      </c>
    </row>
    <row r="3043" spans="1:11" x14ac:dyDescent="0.25">
      <c r="A3043">
        <v>5</v>
      </c>
      <c r="B3043">
        <v>12</v>
      </c>
      <c r="C3043"/>
      <c r="D3043" t="s">
        <v>31</v>
      </c>
      <c r="E3043" t="s">
        <v>35</v>
      </c>
      <c r="F3043" t="s">
        <v>56</v>
      </c>
      <c r="G3043" s="118">
        <v>0.62671296296296297</v>
      </c>
      <c r="H3043" s="118">
        <v>1.261574074074074E-3</v>
      </c>
      <c r="I3043" s="118">
        <v>3.4722222222222224E-4</v>
      </c>
      <c r="J3043"/>
      <c r="K3043"/>
    </row>
    <row r="3044" spans="1:11" x14ac:dyDescent="0.25">
      <c r="A3044">
        <v>3</v>
      </c>
      <c r="B3044">
        <v>12</v>
      </c>
      <c r="C3044"/>
      <c r="D3044" t="s">
        <v>31</v>
      </c>
      <c r="E3044" t="s">
        <v>35</v>
      </c>
      <c r="F3044" t="s">
        <v>45</v>
      </c>
      <c r="G3044" s="118">
        <v>0.62699074074074079</v>
      </c>
      <c r="H3044" s="118">
        <v>1.2384259259259258E-3</v>
      </c>
      <c r="I3044" s="118">
        <v>3.4722222222222224E-4</v>
      </c>
      <c r="J3044"/>
      <c r="K3044"/>
    </row>
    <row r="3045" spans="1:11" x14ac:dyDescent="0.25">
      <c r="A3045">
        <v>5</v>
      </c>
      <c r="B3045">
        <v>12</v>
      </c>
      <c r="C3045"/>
      <c r="D3045" t="s">
        <v>31</v>
      </c>
      <c r="E3045" t="s">
        <v>32</v>
      </c>
      <c r="F3045" t="s">
        <v>56</v>
      </c>
      <c r="G3045" s="118">
        <v>0.62706018518518525</v>
      </c>
      <c r="H3045" s="118">
        <v>3.4722222222222224E-4</v>
      </c>
      <c r="I3045" s="118">
        <v>9.6064814814814808E-4</v>
      </c>
      <c r="J3045" s="118">
        <v>7.0717592592592594E-3</v>
      </c>
      <c r="K3045" s="118">
        <v>7.0717592592592594E-3</v>
      </c>
    </row>
    <row r="3046" spans="1:11" x14ac:dyDescent="0.25">
      <c r="A3046">
        <v>3</v>
      </c>
      <c r="B3046">
        <v>12</v>
      </c>
      <c r="C3046"/>
      <c r="D3046" t="s">
        <v>31</v>
      </c>
      <c r="E3046" t="s">
        <v>32</v>
      </c>
      <c r="F3046" t="s">
        <v>45</v>
      </c>
      <c r="G3046" s="118">
        <v>0.62733796296296296</v>
      </c>
      <c r="H3046" s="118">
        <v>3.4722222222222224E-4</v>
      </c>
      <c r="I3046" s="118">
        <v>1.0416666666666667E-3</v>
      </c>
      <c r="J3046" s="118">
        <v>7.0717592592592594E-3</v>
      </c>
      <c r="K3046" s="118">
        <v>7.0717592592592594E-3</v>
      </c>
    </row>
    <row r="3047" spans="1:11" x14ac:dyDescent="0.25">
      <c r="A3047">
        <v>4</v>
      </c>
      <c r="B3047">
        <v>12</v>
      </c>
      <c r="C3047"/>
      <c r="D3047" t="s">
        <v>31</v>
      </c>
      <c r="E3047" t="s">
        <v>35</v>
      </c>
      <c r="F3047" t="s">
        <v>41</v>
      </c>
      <c r="G3047" s="118">
        <v>0.62741898148148145</v>
      </c>
      <c r="H3047" s="118">
        <v>1.0069444444444444E-3</v>
      </c>
      <c r="I3047" s="118">
        <v>3.4722222222222224E-4</v>
      </c>
      <c r="J3047"/>
      <c r="K3047"/>
    </row>
    <row r="3048" spans="1:11" x14ac:dyDescent="0.25">
      <c r="A3048">
        <v>2</v>
      </c>
      <c r="B3048">
        <v>12</v>
      </c>
      <c r="C3048"/>
      <c r="D3048" t="s">
        <v>31</v>
      </c>
      <c r="E3048" t="s">
        <v>35</v>
      </c>
      <c r="F3048" t="s">
        <v>51</v>
      </c>
      <c r="G3048" s="118">
        <v>0.62758101851851855</v>
      </c>
      <c r="H3048" s="118">
        <v>9.1435185185185185E-4</v>
      </c>
      <c r="I3048" s="118">
        <v>3.4722222222222224E-4</v>
      </c>
      <c r="J3048"/>
      <c r="K3048"/>
    </row>
    <row r="3049" spans="1:11" x14ac:dyDescent="0.25">
      <c r="A3049">
        <v>1</v>
      </c>
      <c r="B3049">
        <v>11</v>
      </c>
      <c r="C3049"/>
      <c r="D3049" t="s">
        <v>31</v>
      </c>
      <c r="E3049" t="s">
        <v>35</v>
      </c>
      <c r="F3049" t="s">
        <v>33</v>
      </c>
      <c r="G3049" s="118">
        <v>0.62775462962962958</v>
      </c>
      <c r="H3049" s="118">
        <v>1.3541666666666667E-3</v>
      </c>
      <c r="I3049" s="118">
        <v>5.2083333333333333E-4</v>
      </c>
      <c r="J3049"/>
      <c r="K3049"/>
    </row>
    <row r="3050" spans="1:11" x14ac:dyDescent="0.25">
      <c r="A3050">
        <v>4</v>
      </c>
      <c r="B3050">
        <v>12</v>
      </c>
      <c r="C3050"/>
      <c r="D3050" t="s">
        <v>31</v>
      </c>
      <c r="E3050" t="s">
        <v>32</v>
      </c>
      <c r="F3050" t="s">
        <v>41</v>
      </c>
      <c r="G3050" s="118">
        <v>0.62776620370370373</v>
      </c>
      <c r="H3050" s="118">
        <v>3.4722222222222224E-4</v>
      </c>
      <c r="I3050" s="118">
        <v>8.564814814814815E-4</v>
      </c>
      <c r="J3050" s="118">
        <v>7.0717592592592594E-3</v>
      </c>
      <c r="K3050" s="118">
        <v>7.0717592592592594E-3</v>
      </c>
    </row>
    <row r="3051" spans="1:11" x14ac:dyDescent="0.25">
      <c r="A3051">
        <v>2</v>
      </c>
      <c r="B3051">
        <v>12</v>
      </c>
      <c r="C3051"/>
      <c r="D3051" t="s">
        <v>31</v>
      </c>
      <c r="E3051" t="s">
        <v>32</v>
      </c>
      <c r="F3051" t="s">
        <v>51</v>
      </c>
      <c r="G3051" s="118">
        <v>0.62792824074074072</v>
      </c>
      <c r="H3051" s="118">
        <v>3.4722222222222224E-4</v>
      </c>
      <c r="I3051" s="118">
        <v>1.0069444444444444E-3</v>
      </c>
      <c r="J3051" s="118">
        <v>7.0717592592592594E-3</v>
      </c>
      <c r="K3051" s="118">
        <v>7.0717592592592594E-3</v>
      </c>
    </row>
    <row r="3052" spans="1:11" x14ac:dyDescent="0.25">
      <c r="A3052">
        <v>5</v>
      </c>
      <c r="B3052">
        <v>12</v>
      </c>
      <c r="C3052"/>
      <c r="D3052" t="s">
        <v>31</v>
      </c>
      <c r="E3052" t="s">
        <v>35</v>
      </c>
      <c r="F3052" t="s">
        <v>37</v>
      </c>
      <c r="G3052" s="118">
        <v>0.62802083333333336</v>
      </c>
      <c r="H3052" s="118">
        <v>9.6064814814814808E-4</v>
      </c>
      <c r="I3052" s="118">
        <v>3.4722222222222224E-4</v>
      </c>
      <c r="J3052"/>
      <c r="K3052"/>
    </row>
    <row r="3053" spans="1:11" x14ac:dyDescent="0.25">
      <c r="A3053">
        <v>1</v>
      </c>
      <c r="B3053">
        <v>11</v>
      </c>
      <c r="C3053"/>
      <c r="D3053" t="s">
        <v>31</v>
      </c>
      <c r="E3053" t="s">
        <v>32</v>
      </c>
      <c r="F3053" t="s">
        <v>33</v>
      </c>
      <c r="G3053" s="118">
        <v>0.62827546296296299</v>
      </c>
      <c r="H3053" s="118">
        <v>5.2083333333333333E-4</v>
      </c>
      <c r="I3053" s="118">
        <v>9.6064814814814808E-4</v>
      </c>
      <c r="J3053" s="118">
        <v>7.0717592592592594E-3</v>
      </c>
      <c r="K3053" s="118">
        <v>7.0717592592592594E-3</v>
      </c>
    </row>
    <row r="3054" spans="1:11" x14ac:dyDescent="0.25">
      <c r="A3054">
        <v>5</v>
      </c>
      <c r="B3054">
        <v>12</v>
      </c>
      <c r="C3054"/>
      <c r="D3054" t="s">
        <v>31</v>
      </c>
      <c r="E3054" t="s">
        <v>32</v>
      </c>
      <c r="F3054" t="s">
        <v>37</v>
      </c>
      <c r="G3054" s="118">
        <v>0.62836805555555553</v>
      </c>
      <c r="H3054" s="118">
        <v>3.4722222222222224E-4</v>
      </c>
      <c r="I3054" s="118">
        <v>9.0277777777777784E-4</v>
      </c>
      <c r="J3054" s="118">
        <v>7.0717592592592594E-3</v>
      </c>
      <c r="K3054" s="118">
        <v>7.0717592592592594E-3</v>
      </c>
    </row>
    <row r="3055" spans="1:11" x14ac:dyDescent="0.25">
      <c r="A3055">
        <v>3</v>
      </c>
      <c r="B3055">
        <v>12</v>
      </c>
      <c r="C3055"/>
      <c r="D3055" t="s">
        <v>31</v>
      </c>
      <c r="E3055" t="s">
        <v>35</v>
      </c>
      <c r="F3055" t="s">
        <v>52</v>
      </c>
      <c r="G3055" s="118">
        <v>0.62837962962962968</v>
      </c>
      <c r="H3055" s="118">
        <v>1.0416666666666667E-3</v>
      </c>
      <c r="I3055" s="118">
        <v>3.4722222222222224E-4</v>
      </c>
      <c r="J3055"/>
      <c r="K3055"/>
    </row>
    <row r="3056" spans="1:11" x14ac:dyDescent="0.25">
      <c r="A3056">
        <v>4</v>
      </c>
      <c r="B3056">
        <v>12</v>
      </c>
      <c r="C3056"/>
      <c r="D3056" t="s">
        <v>31</v>
      </c>
      <c r="E3056" t="s">
        <v>35</v>
      </c>
      <c r="F3056" t="s">
        <v>47</v>
      </c>
      <c r="G3056" s="118">
        <v>0.62862268518518516</v>
      </c>
      <c r="H3056" s="118">
        <v>8.564814814814815E-4</v>
      </c>
      <c r="I3056" s="118">
        <v>5.2083333333333333E-4</v>
      </c>
      <c r="J3056"/>
      <c r="K3056"/>
    </row>
    <row r="3057" spans="1:11" x14ac:dyDescent="0.25">
      <c r="A3057">
        <v>3</v>
      </c>
      <c r="B3057">
        <v>12</v>
      </c>
      <c r="C3057"/>
      <c r="D3057" t="s">
        <v>31</v>
      </c>
      <c r="E3057" t="s">
        <v>32</v>
      </c>
      <c r="F3057" t="s">
        <v>52</v>
      </c>
      <c r="G3057" s="118">
        <v>0.62872685185185184</v>
      </c>
      <c r="H3057" s="118">
        <v>3.4722222222222224E-4</v>
      </c>
      <c r="I3057" s="118">
        <v>1.0532407407407407E-3</v>
      </c>
      <c r="J3057" s="118">
        <v>7.0717592592592594E-3</v>
      </c>
      <c r="K3057" s="118">
        <v>7.0717592592592594E-3</v>
      </c>
    </row>
    <row r="3058" spans="1:11" x14ac:dyDescent="0.25">
      <c r="A3058">
        <v>2</v>
      </c>
      <c r="B3058">
        <v>12</v>
      </c>
      <c r="C3058"/>
      <c r="D3058" t="s">
        <v>31</v>
      </c>
      <c r="E3058" t="s">
        <v>35</v>
      </c>
      <c r="F3058" t="s">
        <v>55</v>
      </c>
      <c r="G3058" s="118">
        <v>0.62893518518518521</v>
      </c>
      <c r="H3058" s="118">
        <v>1.0069444444444444E-3</v>
      </c>
      <c r="I3058" s="118">
        <v>4.6296296296296293E-4</v>
      </c>
      <c r="J3058"/>
      <c r="K3058"/>
    </row>
    <row r="3059" spans="1:11" x14ac:dyDescent="0.25">
      <c r="A3059">
        <v>4</v>
      </c>
      <c r="B3059">
        <v>12</v>
      </c>
      <c r="C3059"/>
      <c r="D3059" t="s">
        <v>31</v>
      </c>
      <c r="E3059" t="s">
        <v>32</v>
      </c>
      <c r="F3059" t="s">
        <v>47</v>
      </c>
      <c r="G3059" s="118">
        <v>0.62914351851851846</v>
      </c>
      <c r="H3059" s="118">
        <v>5.2083333333333333E-4</v>
      </c>
      <c r="I3059" s="118">
        <v>8.7962962962962962E-4</v>
      </c>
      <c r="J3059" s="118">
        <v>7.0717592592592594E-3</v>
      </c>
      <c r="K3059" s="118">
        <v>7.0717592592592594E-3</v>
      </c>
    </row>
    <row r="3060" spans="1:11" x14ac:dyDescent="0.25">
      <c r="A3060">
        <v>1</v>
      </c>
      <c r="B3060">
        <v>11</v>
      </c>
      <c r="C3060"/>
      <c r="D3060" t="s">
        <v>31</v>
      </c>
      <c r="E3060" t="s">
        <v>35</v>
      </c>
      <c r="F3060" t="s">
        <v>36</v>
      </c>
      <c r="G3060" s="118">
        <v>0.62923611111111111</v>
      </c>
      <c r="H3060" s="118">
        <v>9.6064814814814808E-4</v>
      </c>
      <c r="I3060" s="118">
        <v>3.4722222222222224E-4</v>
      </c>
      <c r="J3060"/>
      <c r="K3060"/>
    </row>
    <row r="3061" spans="1:11" x14ac:dyDescent="0.25">
      <c r="A3061">
        <v>5</v>
      </c>
      <c r="B3061">
        <v>12</v>
      </c>
      <c r="C3061"/>
      <c r="D3061" t="s">
        <v>31</v>
      </c>
      <c r="E3061" t="s">
        <v>35</v>
      </c>
      <c r="F3061" t="s">
        <v>42</v>
      </c>
      <c r="G3061" s="118">
        <v>0.62927083333333333</v>
      </c>
      <c r="H3061" s="118">
        <v>9.0277777777777784E-4</v>
      </c>
      <c r="I3061" s="118">
        <v>3.4722222222222224E-4</v>
      </c>
      <c r="J3061"/>
      <c r="K3061"/>
    </row>
    <row r="3062" spans="1:11" x14ac:dyDescent="0.25">
      <c r="A3062">
        <v>2</v>
      </c>
      <c r="B3062">
        <v>12</v>
      </c>
      <c r="C3062"/>
      <c r="D3062" t="s">
        <v>31</v>
      </c>
      <c r="E3062" t="s">
        <v>32</v>
      </c>
      <c r="F3062" t="s">
        <v>55</v>
      </c>
      <c r="G3062" s="118">
        <v>0.62939814814814821</v>
      </c>
      <c r="H3062" s="118">
        <v>4.6296296296296293E-4</v>
      </c>
      <c r="I3062" s="118">
        <v>4.3981481481481481E-4</v>
      </c>
      <c r="J3062" s="118">
        <v>7.0717592592592594E-3</v>
      </c>
      <c r="K3062" s="118">
        <v>7.0717592592592594E-3</v>
      </c>
    </row>
    <row r="3063" spans="1:11" x14ac:dyDescent="0.25">
      <c r="A3063">
        <v>1</v>
      </c>
      <c r="B3063">
        <v>11</v>
      </c>
      <c r="C3063"/>
      <c r="D3063" t="s">
        <v>31</v>
      </c>
      <c r="E3063" t="s">
        <v>32</v>
      </c>
      <c r="F3063" t="s">
        <v>36</v>
      </c>
      <c r="G3063" s="118">
        <v>0.62958333333333327</v>
      </c>
      <c r="H3063" s="118">
        <v>3.4722222222222224E-4</v>
      </c>
      <c r="I3063" s="118">
        <v>1.0995370370370371E-3</v>
      </c>
      <c r="J3063" s="118">
        <v>7.0717592592592594E-3</v>
      </c>
      <c r="K3063" s="118">
        <v>7.0717592592592594E-3</v>
      </c>
    </row>
    <row r="3064" spans="1:11" x14ac:dyDescent="0.25">
      <c r="A3064">
        <v>5</v>
      </c>
      <c r="B3064">
        <v>12</v>
      </c>
      <c r="C3064"/>
      <c r="D3064" t="s">
        <v>31</v>
      </c>
      <c r="E3064" t="s">
        <v>32</v>
      </c>
      <c r="F3064" t="s">
        <v>42</v>
      </c>
      <c r="G3064" s="118">
        <v>0.62961805555555561</v>
      </c>
      <c r="H3064" s="118">
        <v>3.4722222222222224E-4</v>
      </c>
      <c r="I3064" s="118">
        <v>9.1435185185185185E-4</v>
      </c>
      <c r="J3064" s="118">
        <v>7.0717592592592594E-3</v>
      </c>
      <c r="K3064" s="118">
        <v>7.0717592592592594E-3</v>
      </c>
    </row>
    <row r="3065" spans="1:11" x14ac:dyDescent="0.25">
      <c r="A3065">
        <v>3</v>
      </c>
      <c r="B3065">
        <v>12</v>
      </c>
      <c r="C3065"/>
      <c r="D3065" t="s">
        <v>31</v>
      </c>
      <c r="E3065" t="s">
        <v>35</v>
      </c>
      <c r="F3065" t="s">
        <v>57</v>
      </c>
      <c r="G3065" s="118">
        <v>0.6297800925925926</v>
      </c>
      <c r="H3065" s="118">
        <v>1.0532407407407407E-3</v>
      </c>
      <c r="I3065" s="118">
        <v>3.4722222222222224E-4</v>
      </c>
      <c r="J3065"/>
      <c r="K3065"/>
    </row>
    <row r="3066" spans="1:11" x14ac:dyDescent="0.25">
      <c r="A3066">
        <v>2</v>
      </c>
      <c r="B3066">
        <v>12</v>
      </c>
      <c r="C3066"/>
      <c r="D3066" t="s">
        <v>31</v>
      </c>
      <c r="E3066" t="s">
        <v>35</v>
      </c>
      <c r="F3066" t="s">
        <v>58</v>
      </c>
      <c r="G3066" s="118">
        <v>0.62983796296296302</v>
      </c>
      <c r="H3066" s="118">
        <v>4.3981481481481481E-4</v>
      </c>
      <c r="I3066" s="118">
        <v>5.7870370370370366E-5</v>
      </c>
      <c r="J3066"/>
      <c r="K3066"/>
    </row>
    <row r="3067" spans="1:11" x14ac:dyDescent="0.25">
      <c r="A3067">
        <v>2</v>
      </c>
      <c r="B3067">
        <v>12</v>
      </c>
      <c r="C3067"/>
      <c r="D3067" t="s">
        <v>31</v>
      </c>
      <c r="E3067" t="s">
        <v>32</v>
      </c>
      <c r="F3067" t="s">
        <v>58</v>
      </c>
      <c r="G3067" s="118">
        <v>0.62989583333333332</v>
      </c>
      <c r="H3067" s="118">
        <v>5.7870370370370366E-5</v>
      </c>
      <c r="I3067" s="118">
        <v>4.8611111111111104E-4</v>
      </c>
      <c r="J3067" s="118">
        <v>7.0717592592592594E-3</v>
      </c>
      <c r="K3067" s="118">
        <v>7.0717592592592594E-3</v>
      </c>
    </row>
    <row r="3068" spans="1:11" x14ac:dyDescent="0.25">
      <c r="A3068">
        <v>4</v>
      </c>
      <c r="B3068">
        <v>12</v>
      </c>
      <c r="C3068"/>
      <c r="D3068" t="s">
        <v>31</v>
      </c>
      <c r="E3068" t="s">
        <v>35</v>
      </c>
      <c r="F3068" t="s">
        <v>53</v>
      </c>
      <c r="G3068" s="118">
        <v>0.63002314814814808</v>
      </c>
      <c r="H3068" s="118">
        <v>8.7962962962962962E-4</v>
      </c>
      <c r="I3068" s="118">
        <v>3.4722222222222224E-4</v>
      </c>
      <c r="J3068"/>
      <c r="K3068"/>
    </row>
    <row r="3069" spans="1:11" x14ac:dyDescent="0.25">
      <c r="A3069">
        <v>3</v>
      </c>
      <c r="B3069">
        <v>12</v>
      </c>
      <c r="C3069"/>
      <c r="D3069" t="s">
        <v>31</v>
      </c>
      <c r="E3069" t="s">
        <v>32</v>
      </c>
      <c r="F3069" t="s">
        <v>57</v>
      </c>
      <c r="G3069" s="118">
        <v>0.63012731481481488</v>
      </c>
      <c r="H3069" s="118">
        <v>3.4722222222222224E-4</v>
      </c>
      <c r="I3069" s="118">
        <v>9.3750000000000007E-4</v>
      </c>
      <c r="J3069" s="118">
        <v>7.0717592592592594E-3</v>
      </c>
      <c r="K3069" s="118">
        <v>7.0717592592592594E-3</v>
      </c>
    </row>
    <row r="3070" spans="1:11" x14ac:dyDescent="0.25">
      <c r="A3070">
        <v>4</v>
      </c>
      <c r="B3070">
        <v>12</v>
      </c>
      <c r="C3070"/>
      <c r="D3070" t="s">
        <v>31</v>
      </c>
      <c r="E3070" t="s">
        <v>32</v>
      </c>
      <c r="F3070" t="s">
        <v>53</v>
      </c>
      <c r="G3070" s="118">
        <v>0.63037037037037036</v>
      </c>
      <c r="H3070" s="118">
        <v>3.4722222222222224E-4</v>
      </c>
      <c r="I3070" s="118">
        <v>8.449074074074075E-4</v>
      </c>
      <c r="J3070" s="118">
        <v>7.0717592592592594E-3</v>
      </c>
      <c r="K3070" s="118">
        <v>7.0717592592592594E-3</v>
      </c>
    </row>
    <row r="3071" spans="1:11" x14ac:dyDescent="0.25">
      <c r="A3071">
        <v>2</v>
      </c>
      <c r="B3071">
        <v>12</v>
      </c>
      <c r="C3071"/>
      <c r="D3071" t="s">
        <v>31</v>
      </c>
      <c r="E3071" t="s">
        <v>35</v>
      </c>
      <c r="F3071" t="s">
        <v>40</v>
      </c>
      <c r="G3071" s="118">
        <v>0.6303819444444444</v>
      </c>
      <c r="H3071" s="118">
        <v>4.8611111111111104E-4</v>
      </c>
      <c r="I3071" s="118">
        <v>4.6296296296296293E-4</v>
      </c>
      <c r="J3071"/>
      <c r="K3071"/>
    </row>
    <row r="3072" spans="1:11" x14ac:dyDescent="0.25">
      <c r="A3072">
        <v>5</v>
      </c>
      <c r="B3072">
        <v>12</v>
      </c>
      <c r="C3072"/>
      <c r="D3072" t="s">
        <v>31</v>
      </c>
      <c r="E3072" t="s">
        <v>35</v>
      </c>
      <c r="F3072" t="s">
        <v>48</v>
      </c>
      <c r="G3072" s="118">
        <v>0.63053240740740735</v>
      </c>
      <c r="H3072" s="118">
        <v>9.1435185185185185E-4</v>
      </c>
      <c r="I3072" s="118">
        <v>5.2083333333333333E-4</v>
      </c>
      <c r="J3072"/>
      <c r="K3072"/>
    </row>
    <row r="3073" spans="1:11" x14ac:dyDescent="0.25">
      <c r="A3073">
        <v>1</v>
      </c>
      <c r="B3073">
        <v>11</v>
      </c>
      <c r="C3073"/>
      <c r="D3073" t="s">
        <v>31</v>
      </c>
      <c r="E3073" t="s">
        <v>35</v>
      </c>
      <c r="F3073" t="s">
        <v>43</v>
      </c>
      <c r="G3073" s="118">
        <v>0.6306828703703703</v>
      </c>
      <c r="H3073" s="118">
        <v>1.0995370370370371E-3</v>
      </c>
      <c r="I3073" s="118">
        <v>3.4722222222222224E-4</v>
      </c>
      <c r="J3073"/>
      <c r="K3073"/>
    </row>
    <row r="3074" spans="1:11" x14ac:dyDescent="0.25">
      <c r="A3074">
        <v>2</v>
      </c>
      <c r="B3074">
        <v>12</v>
      </c>
      <c r="C3074"/>
      <c r="D3074" t="s">
        <v>31</v>
      </c>
      <c r="E3074" t="s">
        <v>32</v>
      </c>
      <c r="F3074" t="s">
        <v>40</v>
      </c>
      <c r="G3074" s="118">
        <v>0.6308449074074074</v>
      </c>
      <c r="H3074" s="118">
        <v>4.6296296296296293E-4</v>
      </c>
      <c r="I3074" s="118">
        <v>1.0069444444444444E-3</v>
      </c>
      <c r="J3074" s="118">
        <v>7.0717592592592594E-3</v>
      </c>
      <c r="K3074" s="118">
        <v>7.0717592592592594E-3</v>
      </c>
    </row>
    <row r="3075" spans="1:11" x14ac:dyDescent="0.25">
      <c r="A3075">
        <v>1</v>
      </c>
      <c r="B3075">
        <v>11</v>
      </c>
      <c r="C3075"/>
      <c r="D3075" t="s">
        <v>31</v>
      </c>
      <c r="E3075" t="s">
        <v>32</v>
      </c>
      <c r="F3075" t="s">
        <v>43</v>
      </c>
      <c r="G3075" s="118">
        <v>0.63103009259259257</v>
      </c>
      <c r="H3075" s="118">
        <v>3.4722222222222224E-4</v>
      </c>
      <c r="I3075" s="118">
        <v>1.1458333333333333E-3</v>
      </c>
      <c r="J3075" s="118">
        <v>7.0717592592592594E-3</v>
      </c>
      <c r="K3075" s="118">
        <v>7.0717592592592594E-3</v>
      </c>
    </row>
    <row r="3076" spans="1:11" x14ac:dyDescent="0.25">
      <c r="A3076">
        <v>5</v>
      </c>
      <c r="B3076">
        <v>12</v>
      </c>
      <c r="C3076"/>
      <c r="D3076" t="s">
        <v>31</v>
      </c>
      <c r="E3076" t="s">
        <v>32</v>
      </c>
      <c r="F3076" t="s">
        <v>48</v>
      </c>
      <c r="G3076" s="118">
        <v>0.63105324074074076</v>
      </c>
      <c r="H3076" s="118">
        <v>5.2083333333333333E-4</v>
      </c>
      <c r="I3076" s="118">
        <v>8.6805555555555551E-4</v>
      </c>
      <c r="J3076" s="118">
        <v>7.0717592592592594E-3</v>
      </c>
      <c r="K3076" s="118">
        <v>7.0717592592592594E-3</v>
      </c>
    </row>
    <row r="3077" spans="1:11" x14ac:dyDescent="0.25">
      <c r="A3077">
        <v>3</v>
      </c>
      <c r="B3077">
        <v>12</v>
      </c>
      <c r="C3077"/>
      <c r="D3077" t="s">
        <v>31</v>
      </c>
      <c r="E3077" t="s">
        <v>35</v>
      </c>
      <c r="F3077" t="s">
        <v>39</v>
      </c>
      <c r="G3077" s="118">
        <v>0.6310648148148148</v>
      </c>
      <c r="H3077" s="118">
        <v>9.3750000000000007E-4</v>
      </c>
      <c r="I3077" s="118">
        <v>5.2083333333333333E-4</v>
      </c>
      <c r="J3077"/>
      <c r="K3077"/>
    </row>
    <row r="3078" spans="1:11" x14ac:dyDescent="0.25">
      <c r="A3078">
        <v>4</v>
      </c>
      <c r="B3078">
        <v>12</v>
      </c>
      <c r="C3078"/>
      <c r="D3078" t="s">
        <v>31</v>
      </c>
      <c r="E3078" t="s">
        <v>35</v>
      </c>
      <c r="F3078" t="s">
        <v>34</v>
      </c>
      <c r="G3078" s="118">
        <v>0.63121527777777775</v>
      </c>
      <c r="H3078" s="118">
        <v>8.449074074074075E-4</v>
      </c>
      <c r="I3078" s="118">
        <v>3.4722222222222224E-4</v>
      </c>
      <c r="J3078"/>
      <c r="K3078"/>
    </row>
    <row r="3079" spans="1:11" x14ac:dyDescent="0.25">
      <c r="A3079">
        <v>4</v>
      </c>
      <c r="B3079">
        <v>12</v>
      </c>
      <c r="C3079"/>
      <c r="D3079" t="s">
        <v>31</v>
      </c>
      <c r="E3079" t="s">
        <v>32</v>
      </c>
      <c r="F3079" t="s">
        <v>34</v>
      </c>
      <c r="G3079" s="118">
        <v>0.63156250000000003</v>
      </c>
      <c r="H3079" s="118">
        <v>3.4722222222222224E-4</v>
      </c>
      <c r="I3079" s="118">
        <v>9.1435185185185185E-4</v>
      </c>
      <c r="J3079" s="118">
        <v>7.0717592592592594E-3</v>
      </c>
      <c r="K3079" s="118">
        <v>7.0717592592592594E-3</v>
      </c>
    </row>
    <row r="3080" spans="1:11" x14ac:dyDescent="0.25">
      <c r="A3080">
        <v>3</v>
      </c>
      <c r="B3080">
        <v>12</v>
      </c>
      <c r="C3080"/>
      <c r="D3080" t="s">
        <v>31</v>
      </c>
      <c r="E3080" t="s">
        <v>32</v>
      </c>
      <c r="F3080" t="s">
        <v>39</v>
      </c>
      <c r="G3080" s="118">
        <v>0.63158564814814822</v>
      </c>
      <c r="H3080" s="118">
        <v>5.2083333333333333E-4</v>
      </c>
      <c r="I3080" s="118">
        <v>1.8055555555555557E-3</v>
      </c>
      <c r="J3080" s="118">
        <v>7.0717592592592594E-3</v>
      </c>
      <c r="K3080" s="118">
        <v>7.0717592592592594E-3</v>
      </c>
    </row>
    <row r="3081" spans="1:11" x14ac:dyDescent="0.25">
      <c r="A3081">
        <v>2</v>
      </c>
      <c r="B3081">
        <v>12</v>
      </c>
      <c r="C3081"/>
      <c r="D3081" t="s">
        <v>31</v>
      </c>
      <c r="E3081" t="s">
        <v>35</v>
      </c>
      <c r="F3081" t="s">
        <v>44</v>
      </c>
      <c r="G3081" s="118">
        <v>0.63185185185185189</v>
      </c>
      <c r="H3081" s="118">
        <v>1.0069444444444444E-3</v>
      </c>
      <c r="I3081" s="118">
        <v>3.4722222222222224E-4</v>
      </c>
      <c r="J3081"/>
      <c r="K3081"/>
    </row>
    <row r="3082" spans="1:11" x14ac:dyDescent="0.25">
      <c r="A3082">
        <v>5</v>
      </c>
      <c r="B3082">
        <v>12</v>
      </c>
      <c r="C3082"/>
      <c r="D3082" t="s">
        <v>31</v>
      </c>
      <c r="E3082" t="s">
        <v>35</v>
      </c>
      <c r="F3082" t="s">
        <v>54</v>
      </c>
      <c r="G3082" s="118">
        <v>0.63192129629629623</v>
      </c>
      <c r="H3082" s="118">
        <v>8.6805555555555551E-4</v>
      </c>
      <c r="I3082" s="118">
        <v>3.4722222222222224E-4</v>
      </c>
      <c r="J3082"/>
      <c r="K3082"/>
    </row>
    <row r="3083" spans="1:11" x14ac:dyDescent="0.25">
      <c r="A3083">
        <v>1</v>
      </c>
      <c r="B3083">
        <v>11</v>
      </c>
      <c r="C3083"/>
      <c r="D3083" t="s">
        <v>31</v>
      </c>
      <c r="E3083" t="s">
        <v>35</v>
      </c>
      <c r="F3083" t="s">
        <v>50</v>
      </c>
      <c r="G3083" s="118">
        <v>0.63217592592592597</v>
      </c>
      <c r="H3083" s="118">
        <v>1.1458333333333333E-3</v>
      </c>
      <c r="I3083" s="118">
        <v>3.4722222222222224E-4</v>
      </c>
      <c r="J3083"/>
      <c r="K3083"/>
    </row>
    <row r="3084" spans="1:11" x14ac:dyDescent="0.25">
      <c r="A3084">
        <v>2</v>
      </c>
      <c r="B3084">
        <v>12</v>
      </c>
      <c r="C3084"/>
      <c r="D3084" t="s">
        <v>31</v>
      </c>
      <c r="E3084" t="s">
        <v>32</v>
      </c>
      <c r="F3084" t="s">
        <v>44</v>
      </c>
      <c r="G3084" s="118">
        <v>0.63219907407407405</v>
      </c>
      <c r="H3084" s="118">
        <v>3.4722222222222224E-4</v>
      </c>
      <c r="I3084" s="118">
        <v>9.2592592592592585E-4</v>
      </c>
      <c r="J3084" s="118">
        <v>7.0717592592592594E-3</v>
      </c>
      <c r="K3084" s="118">
        <v>7.0717592592592594E-3</v>
      </c>
    </row>
    <row r="3085" spans="1:11" x14ac:dyDescent="0.25">
      <c r="A3085">
        <v>5</v>
      </c>
      <c r="B3085">
        <v>12</v>
      </c>
      <c r="C3085"/>
      <c r="D3085" t="s">
        <v>31</v>
      </c>
      <c r="E3085" t="s">
        <v>32</v>
      </c>
      <c r="F3085" t="s">
        <v>54</v>
      </c>
      <c r="G3085" s="118">
        <v>0.63226851851851851</v>
      </c>
      <c r="H3085" s="118">
        <v>3.4722222222222224E-4</v>
      </c>
      <c r="I3085" s="118">
        <v>6.9444444444444447E-4</v>
      </c>
      <c r="J3085" s="118">
        <v>7.0717592592592594E-3</v>
      </c>
      <c r="K3085" s="118">
        <v>7.0717592592592594E-3</v>
      </c>
    </row>
    <row r="3086" spans="1:11" x14ac:dyDescent="0.25">
      <c r="A3086">
        <v>4</v>
      </c>
      <c r="B3086">
        <v>12</v>
      </c>
      <c r="C3086"/>
      <c r="D3086" t="s">
        <v>31</v>
      </c>
      <c r="E3086" t="s">
        <v>35</v>
      </c>
      <c r="F3086" t="s">
        <v>38</v>
      </c>
      <c r="G3086" s="118">
        <v>0.63247685185185187</v>
      </c>
      <c r="H3086" s="118">
        <v>9.1435185185185185E-4</v>
      </c>
      <c r="I3086" s="118">
        <v>3.4722222222222224E-4</v>
      </c>
      <c r="J3086"/>
      <c r="K3086"/>
    </row>
    <row r="3087" spans="1:11" x14ac:dyDescent="0.25">
      <c r="A3087">
        <v>1</v>
      </c>
      <c r="B3087">
        <v>11</v>
      </c>
      <c r="C3087"/>
      <c r="D3087" t="s">
        <v>31</v>
      </c>
      <c r="E3087" t="s">
        <v>32</v>
      </c>
      <c r="F3087" t="s">
        <v>50</v>
      </c>
      <c r="G3087" s="118">
        <v>0.63252314814814814</v>
      </c>
      <c r="H3087" s="118">
        <v>3.4722222222222224E-4</v>
      </c>
      <c r="I3087" s="118">
        <v>1.261574074074074E-3</v>
      </c>
      <c r="J3087" s="118">
        <v>7.0717592592592594E-3</v>
      </c>
      <c r="K3087" s="118">
        <v>7.0717592592592594E-3</v>
      </c>
    </row>
    <row r="3088" spans="1:11" x14ac:dyDescent="0.25">
      <c r="A3088">
        <v>4</v>
      </c>
      <c r="B3088">
        <v>12</v>
      </c>
      <c r="C3088"/>
      <c r="D3088" t="s">
        <v>31</v>
      </c>
      <c r="E3088" t="s">
        <v>32</v>
      </c>
      <c r="F3088" t="s">
        <v>38</v>
      </c>
      <c r="G3088" s="118">
        <v>0.63282407407407404</v>
      </c>
      <c r="H3088" s="118">
        <v>3.4722222222222224E-4</v>
      </c>
      <c r="I3088" s="118">
        <v>1.2384259259259258E-3</v>
      </c>
      <c r="J3088" s="118">
        <v>7.0717592592592594E-3</v>
      </c>
      <c r="K3088" s="118">
        <v>7.0717592592592594E-3</v>
      </c>
    </row>
    <row r="3089" spans="1:11" x14ac:dyDescent="0.25">
      <c r="A3089">
        <v>5</v>
      </c>
      <c r="B3089">
        <v>12</v>
      </c>
      <c r="C3089"/>
      <c r="D3089" t="s">
        <v>31</v>
      </c>
      <c r="E3089" t="s">
        <v>35</v>
      </c>
      <c r="F3089" t="s">
        <v>92</v>
      </c>
      <c r="G3089" s="118">
        <v>0.63296296296296295</v>
      </c>
      <c r="H3089" s="118">
        <v>6.9444444444444447E-4</v>
      </c>
      <c r="I3089" s="118">
        <v>5.2083333333333333E-4</v>
      </c>
      <c r="J3089"/>
      <c r="K3089"/>
    </row>
    <row r="3090" spans="1:11" x14ac:dyDescent="0.25">
      <c r="A3090">
        <v>2</v>
      </c>
      <c r="B3090">
        <v>12</v>
      </c>
      <c r="C3090"/>
      <c r="D3090" t="s">
        <v>31</v>
      </c>
      <c r="E3090" t="s">
        <v>35</v>
      </c>
      <c r="F3090" t="s">
        <v>49</v>
      </c>
      <c r="G3090" s="118">
        <v>0.63312500000000005</v>
      </c>
      <c r="H3090" s="118">
        <v>9.2592592592592585E-4</v>
      </c>
      <c r="I3090" s="118">
        <v>3.4722222222222224E-4</v>
      </c>
      <c r="J3090"/>
      <c r="K3090"/>
    </row>
    <row r="3091" spans="1:11" x14ac:dyDescent="0.25">
      <c r="A3091">
        <v>3</v>
      </c>
      <c r="B3091">
        <v>12</v>
      </c>
      <c r="C3091"/>
      <c r="D3091" t="s">
        <v>31</v>
      </c>
      <c r="E3091" t="s">
        <v>35</v>
      </c>
      <c r="F3091" t="s">
        <v>46</v>
      </c>
      <c r="G3091" s="118">
        <v>0.63339120370370372</v>
      </c>
      <c r="H3091" s="118">
        <v>1.8055555555555557E-3</v>
      </c>
      <c r="I3091" s="118">
        <v>3.4722222222222224E-4</v>
      </c>
      <c r="J3091"/>
      <c r="K3091"/>
    </row>
    <row r="3092" spans="1:11" x14ac:dyDescent="0.25">
      <c r="A3092">
        <v>2</v>
      </c>
      <c r="B3092">
        <v>12</v>
      </c>
      <c r="C3092"/>
      <c r="D3092" t="s">
        <v>31</v>
      </c>
      <c r="E3092" t="s">
        <v>32</v>
      </c>
      <c r="F3092" t="s">
        <v>49</v>
      </c>
      <c r="G3092" s="118">
        <v>0.63347222222222221</v>
      </c>
      <c r="H3092" s="118">
        <v>3.4722222222222224E-4</v>
      </c>
      <c r="I3092" s="118">
        <v>1.3541666666666667E-3</v>
      </c>
      <c r="J3092" s="118">
        <v>7.0717592592592594E-3</v>
      </c>
      <c r="K3092" s="118">
        <v>7.0717592592592594E-3</v>
      </c>
    </row>
    <row r="3093" spans="1:11" x14ac:dyDescent="0.25">
      <c r="A3093">
        <v>5</v>
      </c>
      <c r="B3093">
        <v>13</v>
      </c>
      <c r="C3093"/>
      <c r="D3093" t="s">
        <v>31</v>
      </c>
      <c r="E3093" t="s">
        <v>32</v>
      </c>
      <c r="F3093" t="s">
        <v>92</v>
      </c>
      <c r="G3093" s="118">
        <v>0.63348379629629636</v>
      </c>
      <c r="H3093" s="118">
        <v>5.2083333333333333E-4</v>
      </c>
      <c r="I3093" s="118">
        <v>1.0069444444444444E-3</v>
      </c>
      <c r="J3093" s="118">
        <v>7.0717592592592594E-3</v>
      </c>
      <c r="K3093" s="118">
        <v>7.0717592592592594E-3</v>
      </c>
    </row>
    <row r="3094" spans="1:11" x14ac:dyDescent="0.25">
      <c r="A3094">
        <v>3</v>
      </c>
      <c r="B3094">
        <v>12</v>
      </c>
      <c r="C3094"/>
      <c r="D3094" t="s">
        <v>31</v>
      </c>
      <c r="E3094" t="s">
        <v>32</v>
      </c>
      <c r="F3094" t="s">
        <v>46</v>
      </c>
      <c r="G3094" s="118">
        <v>0.63373842592592589</v>
      </c>
      <c r="H3094" s="118">
        <v>3.4722222222222224E-4</v>
      </c>
      <c r="I3094" s="118">
        <v>9.1435185185185185E-4</v>
      </c>
      <c r="J3094" s="118">
        <v>7.0717592592592594E-3</v>
      </c>
      <c r="K3094" s="118">
        <v>7.0717592592592594E-3</v>
      </c>
    </row>
    <row r="3095" spans="1:11" x14ac:dyDescent="0.25">
      <c r="A3095">
        <v>1</v>
      </c>
      <c r="B3095">
        <v>11</v>
      </c>
      <c r="C3095"/>
      <c r="D3095" t="s">
        <v>31</v>
      </c>
      <c r="E3095" t="s">
        <v>35</v>
      </c>
      <c r="F3095" t="s">
        <v>56</v>
      </c>
      <c r="G3095" s="118">
        <v>0.63378472222222226</v>
      </c>
      <c r="H3095" s="118">
        <v>1.261574074074074E-3</v>
      </c>
      <c r="I3095" s="118">
        <v>3.4722222222222224E-4</v>
      </c>
      <c r="J3095"/>
      <c r="K3095"/>
    </row>
    <row r="3096" spans="1:11" x14ac:dyDescent="0.25">
      <c r="A3096">
        <v>4</v>
      </c>
      <c r="B3096">
        <v>12</v>
      </c>
      <c r="C3096"/>
      <c r="D3096" t="s">
        <v>31</v>
      </c>
      <c r="E3096" t="s">
        <v>35</v>
      </c>
      <c r="F3096" t="s">
        <v>45</v>
      </c>
      <c r="G3096" s="118">
        <v>0.63406249999999997</v>
      </c>
      <c r="H3096" s="118">
        <v>1.2384259259259258E-3</v>
      </c>
      <c r="I3096" s="118">
        <v>3.4722222222222224E-4</v>
      </c>
      <c r="J3096"/>
      <c r="K3096"/>
    </row>
    <row r="3097" spans="1:11" x14ac:dyDescent="0.25">
      <c r="A3097">
        <v>1</v>
      </c>
      <c r="B3097">
        <v>11</v>
      </c>
      <c r="C3097"/>
      <c r="D3097" t="s">
        <v>31</v>
      </c>
      <c r="E3097" t="s">
        <v>32</v>
      </c>
      <c r="F3097" t="s">
        <v>56</v>
      </c>
      <c r="G3097" s="118">
        <v>0.63413194444444443</v>
      </c>
      <c r="H3097" s="118">
        <v>3.4722222222222224E-4</v>
      </c>
      <c r="I3097" s="118">
        <v>9.6064814814814808E-4</v>
      </c>
      <c r="J3097" s="118">
        <v>7.0717592592592594E-3</v>
      </c>
      <c r="K3097" s="118">
        <v>7.0717592592592594E-3</v>
      </c>
    </row>
    <row r="3098" spans="1:11" x14ac:dyDescent="0.25">
      <c r="A3098">
        <v>4</v>
      </c>
      <c r="B3098">
        <v>12</v>
      </c>
      <c r="C3098"/>
      <c r="D3098" t="s">
        <v>31</v>
      </c>
      <c r="E3098" t="s">
        <v>32</v>
      </c>
      <c r="F3098" t="s">
        <v>45</v>
      </c>
      <c r="G3098" s="118">
        <v>0.63440972222222225</v>
      </c>
      <c r="H3098" s="118">
        <v>3.4722222222222224E-4</v>
      </c>
      <c r="I3098" s="118">
        <v>1.0416666666666667E-3</v>
      </c>
      <c r="J3098" s="118">
        <v>7.0717592592592594E-3</v>
      </c>
      <c r="K3098" s="118">
        <v>7.0717592592592594E-3</v>
      </c>
    </row>
    <row r="3099" spans="1:11" x14ac:dyDescent="0.25">
      <c r="A3099">
        <v>5</v>
      </c>
      <c r="B3099">
        <v>13</v>
      </c>
      <c r="C3099"/>
      <c r="D3099" t="s">
        <v>31</v>
      </c>
      <c r="E3099" t="s">
        <v>35</v>
      </c>
      <c r="F3099" t="s">
        <v>41</v>
      </c>
      <c r="G3099" s="118">
        <v>0.63449074074074074</v>
      </c>
      <c r="H3099" s="118">
        <v>1.0069444444444444E-3</v>
      </c>
      <c r="I3099" s="118">
        <v>3.4722222222222224E-4</v>
      </c>
      <c r="J3099"/>
      <c r="K3099"/>
    </row>
    <row r="3100" spans="1:11" x14ac:dyDescent="0.25">
      <c r="A3100">
        <v>3</v>
      </c>
      <c r="B3100">
        <v>12</v>
      </c>
      <c r="C3100"/>
      <c r="D3100" t="s">
        <v>31</v>
      </c>
      <c r="E3100" t="s">
        <v>35</v>
      </c>
      <c r="F3100" t="s">
        <v>51</v>
      </c>
      <c r="G3100" s="118">
        <v>0.63465277777777784</v>
      </c>
      <c r="H3100" s="118">
        <v>9.1435185185185185E-4</v>
      </c>
      <c r="I3100" s="118">
        <v>3.4722222222222224E-4</v>
      </c>
      <c r="J3100"/>
      <c r="K3100"/>
    </row>
    <row r="3101" spans="1:11" x14ac:dyDescent="0.25">
      <c r="A3101">
        <v>2</v>
      </c>
      <c r="B3101">
        <v>12</v>
      </c>
      <c r="C3101"/>
      <c r="D3101" t="s">
        <v>31</v>
      </c>
      <c r="E3101" t="s">
        <v>35</v>
      </c>
      <c r="F3101" t="s">
        <v>33</v>
      </c>
      <c r="G3101" s="118">
        <v>0.63482638888888887</v>
      </c>
      <c r="H3101" s="118">
        <v>1.3541666666666667E-3</v>
      </c>
      <c r="I3101" s="118">
        <v>5.2083333333333333E-4</v>
      </c>
      <c r="J3101"/>
      <c r="K3101"/>
    </row>
    <row r="3102" spans="1:11" x14ac:dyDescent="0.25">
      <c r="A3102">
        <v>5</v>
      </c>
      <c r="B3102">
        <v>13</v>
      </c>
      <c r="C3102"/>
      <c r="D3102" t="s">
        <v>31</v>
      </c>
      <c r="E3102" t="s">
        <v>32</v>
      </c>
      <c r="F3102" t="s">
        <v>41</v>
      </c>
      <c r="G3102" s="118">
        <v>0.63483796296296291</v>
      </c>
      <c r="H3102" s="118">
        <v>3.4722222222222224E-4</v>
      </c>
      <c r="I3102" s="118">
        <v>8.564814814814815E-4</v>
      </c>
      <c r="J3102" s="118">
        <v>7.0717592592592594E-3</v>
      </c>
      <c r="K3102" s="118">
        <v>7.0717592592592594E-3</v>
      </c>
    </row>
    <row r="3103" spans="1:11" x14ac:dyDescent="0.25">
      <c r="A3103">
        <v>3</v>
      </c>
      <c r="B3103">
        <v>12</v>
      </c>
      <c r="C3103"/>
      <c r="D3103" t="s">
        <v>31</v>
      </c>
      <c r="E3103" t="s">
        <v>32</v>
      </c>
      <c r="F3103" t="s">
        <v>51</v>
      </c>
      <c r="G3103" s="118">
        <v>0.63500000000000001</v>
      </c>
      <c r="H3103" s="118">
        <v>3.4722222222222224E-4</v>
      </c>
      <c r="I3103" s="118">
        <v>1.0069444444444444E-3</v>
      </c>
      <c r="J3103" s="118">
        <v>7.0717592592592594E-3</v>
      </c>
      <c r="K3103" s="118">
        <v>7.0717592592592594E-3</v>
      </c>
    </row>
    <row r="3104" spans="1:11" x14ac:dyDescent="0.25">
      <c r="A3104">
        <v>1</v>
      </c>
      <c r="B3104">
        <v>11</v>
      </c>
      <c r="C3104"/>
      <c r="D3104" t="s">
        <v>31</v>
      </c>
      <c r="E3104" t="s">
        <v>35</v>
      </c>
      <c r="F3104" t="s">
        <v>37</v>
      </c>
      <c r="G3104" s="118">
        <v>0.63509259259259265</v>
      </c>
      <c r="H3104" s="118">
        <v>9.6064814814814808E-4</v>
      </c>
      <c r="I3104" s="118">
        <v>3.4722222222222224E-4</v>
      </c>
      <c r="J3104"/>
      <c r="K3104"/>
    </row>
    <row r="3105" spans="1:11" x14ac:dyDescent="0.25">
      <c r="A3105">
        <v>2</v>
      </c>
      <c r="B3105">
        <v>12</v>
      </c>
      <c r="C3105"/>
      <c r="D3105" t="s">
        <v>31</v>
      </c>
      <c r="E3105" t="s">
        <v>32</v>
      </c>
      <c r="F3105" t="s">
        <v>33</v>
      </c>
      <c r="G3105" s="118">
        <v>0.63534722222222217</v>
      </c>
      <c r="H3105" s="118">
        <v>5.2083333333333333E-4</v>
      </c>
      <c r="I3105" s="118">
        <v>9.6064814814814808E-4</v>
      </c>
      <c r="J3105" s="118">
        <v>7.0717592592592594E-3</v>
      </c>
      <c r="K3105" s="118">
        <v>7.0717592592592594E-3</v>
      </c>
    </row>
    <row r="3106" spans="1:11" x14ac:dyDescent="0.25">
      <c r="A3106">
        <v>1</v>
      </c>
      <c r="B3106">
        <v>11</v>
      </c>
      <c r="C3106"/>
      <c r="D3106" t="s">
        <v>31</v>
      </c>
      <c r="E3106" t="s">
        <v>32</v>
      </c>
      <c r="F3106" t="s">
        <v>37</v>
      </c>
      <c r="G3106" s="118">
        <v>0.63543981481481482</v>
      </c>
      <c r="H3106" s="118">
        <v>3.4722222222222224E-4</v>
      </c>
      <c r="I3106" s="118">
        <v>9.0277777777777784E-4</v>
      </c>
      <c r="J3106" s="118">
        <v>7.0717592592592594E-3</v>
      </c>
      <c r="K3106" s="118">
        <v>7.0717592592592594E-3</v>
      </c>
    </row>
    <row r="3107" spans="1:11" x14ac:dyDescent="0.25">
      <c r="A3107">
        <v>4</v>
      </c>
      <c r="B3107">
        <v>12</v>
      </c>
      <c r="C3107"/>
      <c r="D3107" t="s">
        <v>31</v>
      </c>
      <c r="E3107" t="s">
        <v>35</v>
      </c>
      <c r="F3107" t="s">
        <v>52</v>
      </c>
      <c r="G3107" s="118">
        <v>0.63545138888888886</v>
      </c>
      <c r="H3107" s="118">
        <v>1.0416666666666667E-3</v>
      </c>
      <c r="I3107" s="118">
        <v>3.4722222222222224E-4</v>
      </c>
      <c r="J3107"/>
      <c r="K3107"/>
    </row>
    <row r="3108" spans="1:11" x14ac:dyDescent="0.25">
      <c r="A3108">
        <v>5</v>
      </c>
      <c r="B3108">
        <v>13</v>
      </c>
      <c r="C3108"/>
      <c r="D3108" t="s">
        <v>31</v>
      </c>
      <c r="E3108" t="s">
        <v>35</v>
      </c>
      <c r="F3108" t="s">
        <v>47</v>
      </c>
      <c r="G3108" s="118">
        <v>0.63569444444444445</v>
      </c>
      <c r="H3108" s="118">
        <v>8.564814814814815E-4</v>
      </c>
      <c r="I3108" s="118">
        <v>5.2083333333333333E-4</v>
      </c>
      <c r="J3108"/>
      <c r="K3108"/>
    </row>
    <row r="3109" spans="1:11" x14ac:dyDescent="0.25">
      <c r="A3109">
        <v>4</v>
      </c>
      <c r="B3109">
        <v>12</v>
      </c>
      <c r="C3109"/>
      <c r="D3109" t="s">
        <v>31</v>
      </c>
      <c r="E3109" t="s">
        <v>32</v>
      </c>
      <c r="F3109" t="s">
        <v>52</v>
      </c>
      <c r="G3109" s="118">
        <v>0.63579861111111113</v>
      </c>
      <c r="H3109" s="118">
        <v>3.4722222222222224E-4</v>
      </c>
      <c r="I3109" s="118">
        <v>1.0532407407407407E-3</v>
      </c>
      <c r="J3109" s="118">
        <v>7.0717592592592594E-3</v>
      </c>
      <c r="K3109" s="118">
        <v>7.0717592592592594E-3</v>
      </c>
    </row>
    <row r="3110" spans="1:11" x14ac:dyDescent="0.25">
      <c r="A3110">
        <v>3</v>
      </c>
      <c r="B3110">
        <v>12</v>
      </c>
      <c r="C3110"/>
      <c r="D3110" t="s">
        <v>31</v>
      </c>
      <c r="E3110" t="s">
        <v>35</v>
      </c>
      <c r="F3110" t="s">
        <v>55</v>
      </c>
      <c r="G3110" s="118">
        <v>0.63600694444444439</v>
      </c>
      <c r="H3110" s="118">
        <v>1.0069444444444444E-3</v>
      </c>
      <c r="I3110" s="118">
        <v>4.6296296296296293E-4</v>
      </c>
      <c r="J3110"/>
      <c r="K3110"/>
    </row>
    <row r="3111" spans="1:11" x14ac:dyDescent="0.25">
      <c r="A3111">
        <v>5</v>
      </c>
      <c r="B3111">
        <v>13</v>
      </c>
      <c r="C3111"/>
      <c r="D3111" t="s">
        <v>31</v>
      </c>
      <c r="E3111" t="s">
        <v>32</v>
      </c>
      <c r="F3111" t="s">
        <v>47</v>
      </c>
      <c r="G3111" s="118">
        <v>0.63621527777777775</v>
      </c>
      <c r="H3111" s="118">
        <v>5.2083333333333333E-4</v>
      </c>
      <c r="I3111" s="118">
        <v>8.7962962962962962E-4</v>
      </c>
      <c r="J3111" s="118">
        <v>7.0717592592592594E-3</v>
      </c>
      <c r="K3111" s="118">
        <v>7.0717592592592594E-3</v>
      </c>
    </row>
    <row r="3112" spans="1:11" x14ac:dyDescent="0.25">
      <c r="A3112">
        <v>2</v>
      </c>
      <c r="B3112">
        <v>12</v>
      </c>
      <c r="C3112"/>
      <c r="D3112" t="s">
        <v>31</v>
      </c>
      <c r="E3112" t="s">
        <v>35</v>
      </c>
      <c r="F3112" t="s">
        <v>36</v>
      </c>
      <c r="G3112" s="118">
        <v>0.6363078703703704</v>
      </c>
      <c r="H3112" s="118">
        <v>9.6064814814814808E-4</v>
      </c>
      <c r="I3112" s="118">
        <v>3.4722222222222224E-4</v>
      </c>
      <c r="J3112"/>
      <c r="K3112"/>
    </row>
    <row r="3113" spans="1:11" x14ac:dyDescent="0.25">
      <c r="A3113">
        <v>1</v>
      </c>
      <c r="B3113">
        <v>11</v>
      </c>
      <c r="C3113"/>
      <c r="D3113" t="s">
        <v>31</v>
      </c>
      <c r="E3113" t="s">
        <v>35</v>
      </c>
      <c r="F3113" t="s">
        <v>42</v>
      </c>
      <c r="G3113" s="118">
        <v>0.63634259259259263</v>
      </c>
      <c r="H3113" s="118">
        <v>9.0277777777777784E-4</v>
      </c>
      <c r="I3113" s="118">
        <v>3.4722222222222224E-4</v>
      </c>
      <c r="J3113"/>
      <c r="K3113"/>
    </row>
    <row r="3114" spans="1:11" x14ac:dyDescent="0.25">
      <c r="A3114">
        <v>3</v>
      </c>
      <c r="B3114">
        <v>12</v>
      </c>
      <c r="C3114"/>
      <c r="D3114" t="s">
        <v>31</v>
      </c>
      <c r="E3114" t="s">
        <v>32</v>
      </c>
      <c r="F3114" t="s">
        <v>55</v>
      </c>
      <c r="G3114" s="118">
        <v>0.63646990740740739</v>
      </c>
      <c r="H3114" s="118">
        <v>4.6296296296296293E-4</v>
      </c>
      <c r="I3114" s="118">
        <v>4.3981481481481481E-4</v>
      </c>
      <c r="J3114" s="118">
        <v>7.0717592592592594E-3</v>
      </c>
      <c r="K3114" s="118">
        <v>7.0717592592592594E-3</v>
      </c>
    </row>
    <row r="3115" spans="1:11" x14ac:dyDescent="0.25">
      <c r="A3115">
        <v>2</v>
      </c>
      <c r="B3115">
        <v>12</v>
      </c>
      <c r="C3115"/>
      <c r="D3115" t="s">
        <v>31</v>
      </c>
      <c r="E3115" t="s">
        <v>32</v>
      </c>
      <c r="F3115" t="s">
        <v>36</v>
      </c>
      <c r="G3115" s="118">
        <v>0.63665509259259256</v>
      </c>
      <c r="H3115" s="118">
        <v>3.4722222222222224E-4</v>
      </c>
      <c r="I3115" s="118">
        <v>1.0995370370370371E-3</v>
      </c>
      <c r="J3115" s="118">
        <v>7.0717592592592594E-3</v>
      </c>
      <c r="K3115" s="118">
        <v>7.0717592592592594E-3</v>
      </c>
    </row>
    <row r="3116" spans="1:11" x14ac:dyDescent="0.25">
      <c r="A3116">
        <v>1</v>
      </c>
      <c r="B3116">
        <v>11</v>
      </c>
      <c r="C3116"/>
      <c r="D3116" t="s">
        <v>31</v>
      </c>
      <c r="E3116" t="s">
        <v>32</v>
      </c>
      <c r="F3116" t="s">
        <v>42</v>
      </c>
      <c r="G3116" s="118">
        <v>0.63668981481481479</v>
      </c>
      <c r="H3116" s="118">
        <v>3.4722222222222224E-4</v>
      </c>
      <c r="I3116" s="118">
        <v>9.1435185185185185E-4</v>
      </c>
      <c r="J3116" s="118">
        <v>7.0717592592592594E-3</v>
      </c>
      <c r="K3116" s="118">
        <v>7.0717592592592594E-3</v>
      </c>
    </row>
    <row r="3117" spans="1:11" x14ac:dyDescent="0.25">
      <c r="A3117">
        <v>4</v>
      </c>
      <c r="B3117">
        <v>12</v>
      </c>
      <c r="C3117"/>
      <c r="D3117" t="s">
        <v>31</v>
      </c>
      <c r="E3117" t="s">
        <v>35</v>
      </c>
      <c r="F3117" t="s">
        <v>57</v>
      </c>
      <c r="G3117" s="118">
        <v>0.63685185185185189</v>
      </c>
      <c r="H3117" s="118">
        <v>1.0532407407407407E-3</v>
      </c>
      <c r="I3117" s="118">
        <v>3.4722222222222224E-4</v>
      </c>
      <c r="J3117"/>
      <c r="K3117"/>
    </row>
    <row r="3118" spans="1:11" x14ac:dyDescent="0.25">
      <c r="A3118">
        <v>3</v>
      </c>
      <c r="B3118">
        <v>12</v>
      </c>
      <c r="C3118"/>
      <c r="D3118" t="s">
        <v>31</v>
      </c>
      <c r="E3118" t="s">
        <v>35</v>
      </c>
      <c r="F3118" t="s">
        <v>58</v>
      </c>
      <c r="G3118" s="118">
        <v>0.6369097222222222</v>
      </c>
      <c r="H3118" s="118">
        <v>4.3981481481481481E-4</v>
      </c>
      <c r="I3118" s="118">
        <v>5.7870370370370366E-5</v>
      </c>
      <c r="J3118"/>
      <c r="K3118"/>
    </row>
    <row r="3119" spans="1:11" x14ac:dyDescent="0.25">
      <c r="A3119">
        <v>3</v>
      </c>
      <c r="B3119">
        <v>12</v>
      </c>
      <c r="C3119"/>
      <c r="D3119" t="s">
        <v>31</v>
      </c>
      <c r="E3119" t="s">
        <v>32</v>
      </c>
      <c r="F3119" t="s">
        <v>58</v>
      </c>
      <c r="G3119" s="118">
        <v>0.63696759259259261</v>
      </c>
      <c r="H3119" s="118">
        <v>5.7870370370370366E-5</v>
      </c>
      <c r="I3119" s="118">
        <v>4.8611111111111104E-4</v>
      </c>
      <c r="J3119" s="118">
        <v>7.0717592592592594E-3</v>
      </c>
      <c r="K3119" s="118">
        <v>7.0717592592592594E-3</v>
      </c>
    </row>
    <row r="3120" spans="1:11" x14ac:dyDescent="0.25">
      <c r="A3120">
        <v>5</v>
      </c>
      <c r="B3120">
        <v>13</v>
      </c>
      <c r="C3120"/>
      <c r="D3120" t="s">
        <v>31</v>
      </c>
      <c r="E3120" t="s">
        <v>35</v>
      </c>
      <c r="F3120" t="s">
        <v>53</v>
      </c>
      <c r="G3120" s="118">
        <v>0.63709490740740737</v>
      </c>
      <c r="H3120" s="118">
        <v>8.7962962962962962E-4</v>
      </c>
      <c r="I3120" s="118">
        <v>3.4722222222222224E-4</v>
      </c>
      <c r="J3120"/>
      <c r="K3120"/>
    </row>
    <row r="3121" spans="1:11" x14ac:dyDescent="0.25">
      <c r="A3121">
        <v>4</v>
      </c>
      <c r="B3121">
        <v>12</v>
      </c>
      <c r="C3121"/>
      <c r="D3121" t="s">
        <v>31</v>
      </c>
      <c r="E3121" t="s">
        <v>32</v>
      </c>
      <c r="F3121" t="s">
        <v>57</v>
      </c>
      <c r="G3121" s="118">
        <v>0.63719907407407406</v>
      </c>
      <c r="H3121" s="118">
        <v>3.4722222222222224E-4</v>
      </c>
      <c r="I3121" s="118">
        <v>9.3750000000000007E-4</v>
      </c>
      <c r="J3121" s="118">
        <v>7.0717592592592594E-3</v>
      </c>
      <c r="K3121" s="118">
        <v>7.0717592592592594E-3</v>
      </c>
    </row>
    <row r="3122" spans="1:11" x14ac:dyDescent="0.25">
      <c r="A3122">
        <v>5</v>
      </c>
      <c r="B3122">
        <v>13</v>
      </c>
      <c r="C3122"/>
      <c r="D3122" t="s">
        <v>31</v>
      </c>
      <c r="E3122" t="s">
        <v>32</v>
      </c>
      <c r="F3122" t="s">
        <v>53</v>
      </c>
      <c r="G3122" s="118">
        <v>0.63744212962962965</v>
      </c>
      <c r="H3122" s="118">
        <v>3.4722222222222224E-4</v>
      </c>
      <c r="I3122" s="118">
        <v>8.449074074074075E-4</v>
      </c>
      <c r="J3122" s="118">
        <v>7.0717592592592594E-3</v>
      </c>
      <c r="K3122" s="118">
        <v>7.0717592592592594E-3</v>
      </c>
    </row>
    <row r="3123" spans="1:11" x14ac:dyDescent="0.25">
      <c r="A3123">
        <v>3</v>
      </c>
      <c r="B3123">
        <v>12</v>
      </c>
      <c r="C3123"/>
      <c r="D3123" t="s">
        <v>31</v>
      </c>
      <c r="E3123" t="s">
        <v>35</v>
      </c>
      <c r="F3123" t="s">
        <v>40</v>
      </c>
      <c r="G3123" s="118">
        <v>0.63745370370370369</v>
      </c>
      <c r="H3123" s="118">
        <v>4.8611111111111104E-4</v>
      </c>
      <c r="I3123" s="118">
        <v>4.6296296296296293E-4</v>
      </c>
      <c r="J3123"/>
      <c r="K3123"/>
    </row>
    <row r="3124" spans="1:11" x14ac:dyDescent="0.25">
      <c r="A3124">
        <v>1</v>
      </c>
      <c r="B3124">
        <v>11</v>
      </c>
      <c r="C3124"/>
      <c r="D3124" t="s">
        <v>31</v>
      </c>
      <c r="E3124" t="s">
        <v>35</v>
      </c>
      <c r="F3124" t="s">
        <v>48</v>
      </c>
      <c r="G3124" s="118">
        <v>0.63760416666666664</v>
      </c>
      <c r="H3124" s="118">
        <v>9.1435185185185185E-4</v>
      </c>
      <c r="I3124" s="118">
        <v>5.2083333333333333E-4</v>
      </c>
      <c r="J3124"/>
      <c r="K3124"/>
    </row>
    <row r="3125" spans="1:11" x14ac:dyDescent="0.25">
      <c r="A3125">
        <v>2</v>
      </c>
      <c r="B3125">
        <v>12</v>
      </c>
      <c r="C3125"/>
      <c r="D3125" t="s">
        <v>31</v>
      </c>
      <c r="E3125" t="s">
        <v>35</v>
      </c>
      <c r="F3125" t="s">
        <v>43</v>
      </c>
      <c r="G3125" s="118">
        <v>0.63775462962962959</v>
      </c>
      <c r="H3125" s="118">
        <v>1.0995370370370371E-3</v>
      </c>
      <c r="I3125" s="118">
        <v>3.4722222222222224E-4</v>
      </c>
      <c r="J3125"/>
      <c r="K3125"/>
    </row>
    <row r="3126" spans="1:11" x14ac:dyDescent="0.25">
      <c r="A3126">
        <v>3</v>
      </c>
      <c r="B3126">
        <v>12</v>
      </c>
      <c r="C3126"/>
      <c r="D3126" t="s">
        <v>31</v>
      </c>
      <c r="E3126" t="s">
        <v>32</v>
      </c>
      <c r="F3126" t="s">
        <v>40</v>
      </c>
      <c r="G3126" s="118">
        <v>0.63791666666666669</v>
      </c>
      <c r="H3126" s="118">
        <v>4.6296296296296293E-4</v>
      </c>
      <c r="I3126" s="118">
        <v>1.0069444444444444E-3</v>
      </c>
      <c r="J3126" s="118">
        <v>7.0717592592592594E-3</v>
      </c>
      <c r="K3126" s="118">
        <v>7.0717592592592594E-3</v>
      </c>
    </row>
    <row r="3127" spans="1:11" x14ac:dyDescent="0.25">
      <c r="A3127">
        <v>2</v>
      </c>
      <c r="B3127">
        <v>12</v>
      </c>
      <c r="C3127"/>
      <c r="D3127" t="s">
        <v>31</v>
      </c>
      <c r="E3127" t="s">
        <v>32</v>
      </c>
      <c r="F3127" t="s">
        <v>43</v>
      </c>
      <c r="G3127" s="118">
        <v>0.63810185185185186</v>
      </c>
      <c r="H3127" s="118">
        <v>3.4722222222222224E-4</v>
      </c>
      <c r="I3127" s="118">
        <v>1.1458333333333333E-3</v>
      </c>
      <c r="J3127" s="118">
        <v>7.0717592592592594E-3</v>
      </c>
      <c r="K3127" s="118">
        <v>7.0717592592592594E-3</v>
      </c>
    </row>
    <row r="3128" spans="1:11" x14ac:dyDescent="0.25">
      <c r="A3128">
        <v>1</v>
      </c>
      <c r="B3128">
        <v>11</v>
      </c>
      <c r="C3128"/>
      <c r="D3128" t="s">
        <v>31</v>
      </c>
      <c r="E3128" t="s">
        <v>32</v>
      </c>
      <c r="F3128" t="s">
        <v>48</v>
      </c>
      <c r="G3128" s="118">
        <v>0.63812499999999994</v>
      </c>
      <c r="H3128" s="118">
        <v>5.2083333333333333E-4</v>
      </c>
      <c r="I3128" s="118">
        <v>8.6805555555555551E-4</v>
      </c>
      <c r="J3128" s="118">
        <v>7.0717592592592594E-3</v>
      </c>
      <c r="K3128" s="118">
        <v>7.0717592592592594E-3</v>
      </c>
    </row>
    <row r="3129" spans="1:11" x14ac:dyDescent="0.25">
      <c r="A3129">
        <v>4</v>
      </c>
      <c r="B3129">
        <v>12</v>
      </c>
      <c r="C3129"/>
      <c r="D3129" t="s">
        <v>31</v>
      </c>
      <c r="E3129" t="s">
        <v>35</v>
      </c>
      <c r="F3129" t="s">
        <v>39</v>
      </c>
      <c r="G3129" s="118">
        <v>0.63813657407407409</v>
      </c>
      <c r="H3129" s="118">
        <v>9.3750000000000007E-4</v>
      </c>
      <c r="I3129" s="118">
        <v>5.2083333333333333E-4</v>
      </c>
      <c r="J3129"/>
      <c r="K3129"/>
    </row>
    <row r="3130" spans="1:11" x14ac:dyDescent="0.25">
      <c r="A3130">
        <v>5</v>
      </c>
      <c r="B3130">
        <v>13</v>
      </c>
      <c r="C3130"/>
      <c r="D3130" t="s">
        <v>31</v>
      </c>
      <c r="E3130" t="s">
        <v>35</v>
      </c>
      <c r="F3130" t="s">
        <v>34</v>
      </c>
      <c r="G3130" s="118">
        <v>0.63828703703703704</v>
      </c>
      <c r="H3130" s="118">
        <v>8.449074074074075E-4</v>
      </c>
      <c r="I3130" s="118">
        <v>3.4722222222222224E-4</v>
      </c>
      <c r="J3130"/>
      <c r="K3130"/>
    </row>
    <row r="3131" spans="1:11" x14ac:dyDescent="0.25">
      <c r="A3131">
        <v>5</v>
      </c>
      <c r="B3131">
        <v>13</v>
      </c>
      <c r="C3131"/>
      <c r="D3131" t="s">
        <v>31</v>
      </c>
      <c r="E3131" t="s">
        <v>32</v>
      </c>
      <c r="F3131" t="s">
        <v>34</v>
      </c>
      <c r="G3131" s="118">
        <v>0.63863425925925921</v>
      </c>
      <c r="H3131" s="118">
        <v>3.4722222222222224E-4</v>
      </c>
      <c r="I3131" s="118">
        <v>9.1435185185185185E-4</v>
      </c>
      <c r="J3131" s="118">
        <v>7.0717592592592594E-3</v>
      </c>
      <c r="K3131" s="118">
        <v>7.0717592592592594E-3</v>
      </c>
    </row>
    <row r="3132" spans="1:11" x14ac:dyDescent="0.25">
      <c r="A3132">
        <v>4</v>
      </c>
      <c r="B3132">
        <v>12</v>
      </c>
      <c r="C3132"/>
      <c r="D3132" t="s">
        <v>31</v>
      </c>
      <c r="E3132" t="s">
        <v>32</v>
      </c>
      <c r="F3132" t="s">
        <v>39</v>
      </c>
      <c r="G3132" s="118">
        <v>0.6386574074074074</v>
      </c>
      <c r="H3132" s="118">
        <v>5.2083333333333333E-4</v>
      </c>
      <c r="I3132" s="118">
        <v>1.8055555555555557E-3</v>
      </c>
      <c r="J3132" s="118">
        <v>7.0717592592592594E-3</v>
      </c>
      <c r="K3132" s="118">
        <v>7.0717592592592594E-3</v>
      </c>
    </row>
    <row r="3133" spans="1:11" x14ac:dyDescent="0.25">
      <c r="A3133">
        <v>3</v>
      </c>
      <c r="B3133">
        <v>12</v>
      </c>
      <c r="C3133"/>
      <c r="D3133" t="s">
        <v>31</v>
      </c>
      <c r="E3133" t="s">
        <v>35</v>
      </c>
      <c r="F3133" t="s">
        <v>44</v>
      </c>
      <c r="G3133" s="118">
        <v>0.63892361111111107</v>
      </c>
      <c r="H3133" s="118">
        <v>1.0069444444444444E-3</v>
      </c>
      <c r="I3133" s="118">
        <v>3.4722222222222224E-4</v>
      </c>
      <c r="J3133"/>
      <c r="K3133"/>
    </row>
    <row r="3134" spans="1:11" x14ac:dyDescent="0.25">
      <c r="A3134">
        <v>1</v>
      </c>
      <c r="B3134">
        <v>11</v>
      </c>
      <c r="C3134"/>
      <c r="D3134" t="s">
        <v>31</v>
      </c>
      <c r="E3134" t="s">
        <v>35</v>
      </c>
      <c r="F3134" t="s">
        <v>54</v>
      </c>
      <c r="G3134" s="118">
        <v>0.63899305555555552</v>
      </c>
      <c r="H3134" s="118">
        <v>8.6805555555555551E-4</v>
      </c>
      <c r="I3134" s="118">
        <v>3.4722222222222224E-4</v>
      </c>
      <c r="J3134"/>
      <c r="K3134"/>
    </row>
    <row r="3135" spans="1:11" x14ac:dyDescent="0.25">
      <c r="A3135">
        <v>2</v>
      </c>
      <c r="B3135">
        <v>12</v>
      </c>
      <c r="C3135"/>
      <c r="D3135" t="s">
        <v>31</v>
      </c>
      <c r="E3135" t="s">
        <v>35</v>
      </c>
      <c r="F3135" t="s">
        <v>50</v>
      </c>
      <c r="G3135" s="118">
        <v>0.63924768518518515</v>
      </c>
      <c r="H3135" s="118">
        <v>1.1458333333333333E-3</v>
      </c>
      <c r="I3135" s="118">
        <v>3.4722222222222224E-4</v>
      </c>
      <c r="J3135"/>
      <c r="K3135"/>
    </row>
    <row r="3136" spans="1:11" x14ac:dyDescent="0.25">
      <c r="A3136">
        <v>3</v>
      </c>
      <c r="B3136">
        <v>12</v>
      </c>
      <c r="C3136"/>
      <c r="D3136" t="s">
        <v>31</v>
      </c>
      <c r="E3136" t="s">
        <v>32</v>
      </c>
      <c r="F3136" t="s">
        <v>44</v>
      </c>
      <c r="G3136" s="118">
        <v>0.63927083333333334</v>
      </c>
      <c r="H3136" s="118">
        <v>3.4722222222222224E-4</v>
      </c>
      <c r="I3136" s="118">
        <v>9.2592592592592585E-4</v>
      </c>
      <c r="J3136" s="118">
        <v>7.0717592592592594E-3</v>
      </c>
      <c r="K3136" s="118">
        <v>7.0717592592592594E-3</v>
      </c>
    </row>
    <row r="3137" spans="1:11" x14ac:dyDescent="0.25">
      <c r="A3137">
        <v>1</v>
      </c>
      <c r="B3137">
        <v>11</v>
      </c>
      <c r="C3137"/>
      <c r="D3137" t="s">
        <v>31</v>
      </c>
      <c r="E3137" t="s">
        <v>32</v>
      </c>
      <c r="F3137" t="s">
        <v>54</v>
      </c>
      <c r="G3137" s="118">
        <v>0.6393402777777778</v>
      </c>
      <c r="H3137" s="118">
        <v>3.4722222222222224E-4</v>
      </c>
      <c r="I3137" s="118">
        <v>6.9444444444444447E-4</v>
      </c>
      <c r="J3137" s="118">
        <v>7.0717592592592594E-3</v>
      </c>
      <c r="K3137" s="118">
        <v>7.0717592592592594E-3</v>
      </c>
    </row>
    <row r="3138" spans="1:11" x14ac:dyDescent="0.25">
      <c r="A3138">
        <v>5</v>
      </c>
      <c r="B3138">
        <v>13</v>
      </c>
      <c r="C3138"/>
      <c r="D3138" t="s">
        <v>31</v>
      </c>
      <c r="E3138" t="s">
        <v>35</v>
      </c>
      <c r="F3138" t="s">
        <v>38</v>
      </c>
      <c r="G3138" s="118">
        <v>0.63954861111111116</v>
      </c>
      <c r="H3138" s="118">
        <v>9.1435185185185185E-4</v>
      </c>
      <c r="I3138" s="118">
        <v>3.4722222222222224E-4</v>
      </c>
      <c r="J3138"/>
      <c r="K3138"/>
    </row>
    <row r="3139" spans="1:11" x14ac:dyDescent="0.25">
      <c r="A3139">
        <v>2</v>
      </c>
      <c r="B3139">
        <v>12</v>
      </c>
      <c r="C3139"/>
      <c r="D3139" t="s">
        <v>31</v>
      </c>
      <c r="E3139" t="s">
        <v>32</v>
      </c>
      <c r="F3139" t="s">
        <v>50</v>
      </c>
      <c r="G3139" s="118">
        <v>0.63959490740740743</v>
      </c>
      <c r="H3139" s="118">
        <v>3.4722222222222224E-4</v>
      </c>
      <c r="I3139" s="118">
        <v>1.261574074074074E-3</v>
      </c>
      <c r="J3139" s="118">
        <v>7.0717592592592594E-3</v>
      </c>
      <c r="K3139" s="118">
        <v>7.0717592592592594E-3</v>
      </c>
    </row>
    <row r="3140" spans="1:11" x14ac:dyDescent="0.25">
      <c r="A3140">
        <v>5</v>
      </c>
      <c r="B3140">
        <v>13</v>
      </c>
      <c r="C3140"/>
      <c r="D3140" t="s">
        <v>31</v>
      </c>
      <c r="E3140" t="s">
        <v>32</v>
      </c>
      <c r="F3140" t="s">
        <v>38</v>
      </c>
      <c r="G3140" s="118">
        <v>0.63989583333333333</v>
      </c>
      <c r="H3140" s="118">
        <v>3.4722222222222224E-4</v>
      </c>
      <c r="I3140" s="118">
        <v>1.2384259259259258E-3</v>
      </c>
      <c r="J3140" s="118">
        <v>7.0717592592592594E-3</v>
      </c>
      <c r="K3140" s="118">
        <v>7.0717592592592594E-3</v>
      </c>
    </row>
    <row r="3141" spans="1:11" x14ac:dyDescent="0.25">
      <c r="A3141">
        <v>1</v>
      </c>
      <c r="B3141">
        <v>11</v>
      </c>
      <c r="C3141"/>
      <c r="D3141" t="s">
        <v>31</v>
      </c>
      <c r="E3141" t="s">
        <v>35</v>
      </c>
      <c r="F3141" t="s">
        <v>92</v>
      </c>
      <c r="G3141" s="118">
        <v>0.64003472222222224</v>
      </c>
      <c r="H3141" s="118">
        <v>6.9444444444444447E-4</v>
      </c>
      <c r="I3141" s="118">
        <v>5.2083333333333333E-4</v>
      </c>
      <c r="J3141"/>
      <c r="K3141"/>
    </row>
    <row r="3142" spans="1:11" x14ac:dyDescent="0.25">
      <c r="A3142">
        <v>3</v>
      </c>
      <c r="B3142">
        <v>12</v>
      </c>
      <c r="C3142"/>
      <c r="D3142" t="s">
        <v>31</v>
      </c>
      <c r="E3142" t="s">
        <v>35</v>
      </c>
      <c r="F3142" t="s">
        <v>49</v>
      </c>
      <c r="G3142" s="118">
        <v>0.64019675925925923</v>
      </c>
      <c r="H3142" s="118">
        <v>9.2592592592592585E-4</v>
      </c>
      <c r="I3142" s="118">
        <v>3.4722222222222224E-4</v>
      </c>
      <c r="J3142"/>
      <c r="K3142"/>
    </row>
    <row r="3143" spans="1:11" x14ac:dyDescent="0.25">
      <c r="A3143">
        <v>4</v>
      </c>
      <c r="B3143">
        <v>12</v>
      </c>
      <c r="C3143"/>
      <c r="D3143" t="s">
        <v>31</v>
      </c>
      <c r="E3143" t="s">
        <v>35</v>
      </c>
      <c r="F3143" t="s">
        <v>46</v>
      </c>
      <c r="G3143" s="118">
        <v>0.6404629629629629</v>
      </c>
      <c r="H3143" s="118">
        <v>1.8055555555555557E-3</v>
      </c>
      <c r="I3143" s="118">
        <v>3.4722222222222224E-4</v>
      </c>
      <c r="J3143"/>
      <c r="K3143"/>
    </row>
    <row r="3144" spans="1:11" x14ac:dyDescent="0.25">
      <c r="A3144">
        <v>3</v>
      </c>
      <c r="B3144">
        <v>12</v>
      </c>
      <c r="C3144"/>
      <c r="D3144" t="s">
        <v>31</v>
      </c>
      <c r="E3144" t="s">
        <v>32</v>
      </c>
      <c r="F3144" t="s">
        <v>49</v>
      </c>
      <c r="G3144" s="118">
        <v>0.64054398148148151</v>
      </c>
      <c r="H3144" s="118">
        <v>3.4722222222222224E-4</v>
      </c>
      <c r="I3144" s="118">
        <v>1.3541666666666667E-3</v>
      </c>
      <c r="J3144" s="118">
        <v>7.0717592592592594E-3</v>
      </c>
      <c r="K3144" s="118">
        <v>7.0717592592592594E-3</v>
      </c>
    </row>
    <row r="3145" spans="1:11" x14ac:dyDescent="0.25">
      <c r="A3145">
        <v>1</v>
      </c>
      <c r="B3145">
        <v>12</v>
      </c>
      <c r="C3145"/>
      <c r="D3145" t="s">
        <v>31</v>
      </c>
      <c r="E3145" t="s">
        <v>32</v>
      </c>
      <c r="F3145" t="s">
        <v>92</v>
      </c>
      <c r="G3145" s="118">
        <v>0.64055555555555554</v>
      </c>
      <c r="H3145" s="118">
        <v>5.2083333333333333E-4</v>
      </c>
      <c r="I3145" s="118">
        <v>1.0069444444444444E-3</v>
      </c>
      <c r="J3145" s="118">
        <v>7.0717592592592594E-3</v>
      </c>
      <c r="K3145" s="118">
        <v>7.0717592592592594E-3</v>
      </c>
    </row>
    <row r="3146" spans="1:11" x14ac:dyDescent="0.25">
      <c r="A3146">
        <v>4</v>
      </c>
      <c r="B3146">
        <v>12</v>
      </c>
      <c r="C3146"/>
      <c r="D3146" t="s">
        <v>31</v>
      </c>
      <c r="E3146" t="s">
        <v>32</v>
      </c>
      <c r="F3146" t="s">
        <v>46</v>
      </c>
      <c r="G3146" s="118">
        <v>0.64081018518518518</v>
      </c>
      <c r="H3146" s="118">
        <v>3.4722222222222224E-4</v>
      </c>
      <c r="I3146" s="118">
        <v>9.1435185185185185E-4</v>
      </c>
      <c r="J3146" s="118">
        <v>7.0717592592592594E-3</v>
      </c>
      <c r="K3146" s="118">
        <v>7.0717592592592594E-3</v>
      </c>
    </row>
    <row r="3147" spans="1:11" x14ac:dyDescent="0.25">
      <c r="A3147">
        <v>2</v>
      </c>
      <c r="B3147">
        <v>12</v>
      </c>
      <c r="C3147"/>
      <c r="D3147" t="s">
        <v>31</v>
      </c>
      <c r="E3147" t="s">
        <v>35</v>
      </c>
      <c r="F3147" t="s">
        <v>56</v>
      </c>
      <c r="G3147" s="118">
        <v>0.64085648148148155</v>
      </c>
      <c r="H3147" s="118">
        <v>1.261574074074074E-3</v>
      </c>
      <c r="I3147" s="118">
        <v>3.4722222222222224E-4</v>
      </c>
      <c r="J3147"/>
      <c r="K3147"/>
    </row>
    <row r="3148" spans="1:11" x14ac:dyDescent="0.25">
      <c r="A3148">
        <v>5</v>
      </c>
      <c r="B3148">
        <v>13</v>
      </c>
      <c r="C3148"/>
      <c r="D3148" t="s">
        <v>31</v>
      </c>
      <c r="E3148" t="s">
        <v>35</v>
      </c>
      <c r="F3148" t="s">
        <v>45</v>
      </c>
      <c r="G3148" s="118">
        <v>0.64113425925925926</v>
      </c>
      <c r="H3148" s="118">
        <v>1.2384259259259258E-3</v>
      </c>
      <c r="I3148" s="118">
        <v>3.4722222222222224E-4</v>
      </c>
      <c r="J3148"/>
      <c r="K3148"/>
    </row>
    <row r="3149" spans="1:11" x14ac:dyDescent="0.25">
      <c r="A3149">
        <v>2</v>
      </c>
      <c r="B3149">
        <v>12</v>
      </c>
      <c r="C3149"/>
      <c r="D3149" t="s">
        <v>31</v>
      </c>
      <c r="E3149" t="s">
        <v>32</v>
      </c>
      <c r="F3149" t="s">
        <v>56</v>
      </c>
      <c r="G3149" s="118">
        <v>0.64120370370370372</v>
      </c>
      <c r="H3149" s="118">
        <v>3.4722222222222224E-4</v>
      </c>
      <c r="I3149" s="118">
        <v>9.6064814814814808E-4</v>
      </c>
      <c r="J3149" s="118">
        <v>7.0717592592592594E-3</v>
      </c>
      <c r="K3149" s="118">
        <v>7.0717592592592594E-3</v>
      </c>
    </row>
    <row r="3150" spans="1:11" x14ac:dyDescent="0.25">
      <c r="A3150">
        <v>5</v>
      </c>
      <c r="B3150">
        <v>13</v>
      </c>
      <c r="C3150"/>
      <c r="D3150" t="s">
        <v>31</v>
      </c>
      <c r="E3150" t="s">
        <v>32</v>
      </c>
      <c r="F3150" t="s">
        <v>45</v>
      </c>
      <c r="G3150" s="118">
        <v>0.64148148148148143</v>
      </c>
      <c r="H3150" s="118">
        <v>3.4722222222222224E-4</v>
      </c>
      <c r="I3150" s="118">
        <v>1.0416666666666667E-3</v>
      </c>
      <c r="J3150" s="118">
        <v>7.0717592592592594E-3</v>
      </c>
      <c r="K3150" s="118">
        <v>7.0717592592592594E-3</v>
      </c>
    </row>
    <row r="3151" spans="1:11" x14ac:dyDescent="0.25">
      <c r="A3151">
        <v>1</v>
      </c>
      <c r="B3151">
        <v>12</v>
      </c>
      <c r="C3151"/>
      <c r="D3151" t="s">
        <v>31</v>
      </c>
      <c r="E3151" t="s">
        <v>35</v>
      </c>
      <c r="F3151" t="s">
        <v>41</v>
      </c>
      <c r="G3151" s="118">
        <v>0.64156250000000004</v>
      </c>
      <c r="H3151" s="118">
        <v>1.0069444444444444E-3</v>
      </c>
      <c r="I3151" s="118">
        <v>3.4722222222222224E-4</v>
      </c>
      <c r="J3151"/>
      <c r="K3151"/>
    </row>
    <row r="3152" spans="1:11" x14ac:dyDescent="0.25">
      <c r="A3152">
        <v>4</v>
      </c>
      <c r="B3152">
        <v>12</v>
      </c>
      <c r="C3152"/>
      <c r="D3152" t="s">
        <v>31</v>
      </c>
      <c r="E3152" t="s">
        <v>35</v>
      </c>
      <c r="F3152" t="s">
        <v>51</v>
      </c>
      <c r="G3152" s="118">
        <v>0.64172453703703702</v>
      </c>
      <c r="H3152" s="118">
        <v>9.1435185185185185E-4</v>
      </c>
      <c r="I3152" s="118">
        <v>3.4722222222222224E-4</v>
      </c>
      <c r="J3152"/>
      <c r="K3152"/>
    </row>
    <row r="3153" spans="1:11" x14ac:dyDescent="0.25">
      <c r="A3153">
        <v>3</v>
      </c>
      <c r="B3153">
        <v>12</v>
      </c>
      <c r="C3153"/>
      <c r="D3153" t="s">
        <v>31</v>
      </c>
      <c r="E3153" t="s">
        <v>35</v>
      </c>
      <c r="F3153" t="s">
        <v>33</v>
      </c>
      <c r="G3153" s="118">
        <v>0.64189814814814816</v>
      </c>
      <c r="H3153" s="118">
        <v>1.3541666666666667E-3</v>
      </c>
      <c r="I3153" s="118">
        <v>5.2083333333333333E-4</v>
      </c>
      <c r="J3153"/>
      <c r="K3153"/>
    </row>
    <row r="3154" spans="1:11" x14ac:dyDescent="0.25">
      <c r="A3154">
        <v>1</v>
      </c>
      <c r="B3154">
        <v>12</v>
      </c>
      <c r="C3154"/>
      <c r="D3154" t="s">
        <v>31</v>
      </c>
      <c r="E3154" t="s">
        <v>32</v>
      </c>
      <c r="F3154" t="s">
        <v>41</v>
      </c>
      <c r="G3154" s="118">
        <v>0.6419097222222222</v>
      </c>
      <c r="H3154" s="118">
        <v>3.4722222222222224E-4</v>
      </c>
      <c r="I3154" s="118">
        <v>8.564814814814815E-4</v>
      </c>
      <c r="J3154" s="118">
        <v>7.0717592592592594E-3</v>
      </c>
      <c r="K3154" s="118">
        <v>7.0717592592592594E-3</v>
      </c>
    </row>
    <row r="3155" spans="1:11" x14ac:dyDescent="0.25">
      <c r="A3155">
        <v>4</v>
      </c>
      <c r="B3155">
        <v>12</v>
      </c>
      <c r="C3155"/>
      <c r="D3155" t="s">
        <v>31</v>
      </c>
      <c r="E3155" t="s">
        <v>32</v>
      </c>
      <c r="F3155" t="s">
        <v>51</v>
      </c>
      <c r="G3155" s="118">
        <v>0.64207175925925919</v>
      </c>
      <c r="H3155" s="118">
        <v>3.4722222222222224E-4</v>
      </c>
      <c r="I3155" s="118">
        <v>1.0069444444444444E-3</v>
      </c>
      <c r="J3155" s="118">
        <v>7.0717592592592594E-3</v>
      </c>
      <c r="K3155" s="118">
        <v>7.0717592592592594E-3</v>
      </c>
    </row>
    <row r="3156" spans="1:11" x14ac:dyDescent="0.25">
      <c r="A3156">
        <v>2</v>
      </c>
      <c r="B3156">
        <v>12</v>
      </c>
      <c r="C3156"/>
      <c r="D3156" t="s">
        <v>31</v>
      </c>
      <c r="E3156" t="s">
        <v>35</v>
      </c>
      <c r="F3156" t="s">
        <v>37</v>
      </c>
      <c r="G3156" s="118">
        <v>0.64216435185185183</v>
      </c>
      <c r="H3156" s="118">
        <v>9.6064814814814808E-4</v>
      </c>
      <c r="I3156" s="118">
        <v>3.4722222222222224E-4</v>
      </c>
      <c r="J3156"/>
      <c r="K3156"/>
    </row>
    <row r="3157" spans="1:11" x14ac:dyDescent="0.25">
      <c r="A3157">
        <v>3</v>
      </c>
      <c r="B3157">
        <v>12</v>
      </c>
      <c r="C3157"/>
      <c r="D3157" t="s">
        <v>31</v>
      </c>
      <c r="E3157" t="s">
        <v>32</v>
      </c>
      <c r="F3157" t="s">
        <v>33</v>
      </c>
      <c r="G3157" s="118">
        <v>0.64241898148148147</v>
      </c>
      <c r="H3157" s="118">
        <v>5.2083333333333333E-4</v>
      </c>
      <c r="I3157" s="118">
        <v>9.6064814814814808E-4</v>
      </c>
      <c r="J3157" s="118">
        <v>7.0717592592592594E-3</v>
      </c>
      <c r="K3157" s="118">
        <v>7.0717592592592594E-3</v>
      </c>
    </row>
    <row r="3158" spans="1:11" x14ac:dyDescent="0.25">
      <c r="A3158">
        <v>2</v>
      </c>
      <c r="B3158">
        <v>12</v>
      </c>
      <c r="C3158"/>
      <c r="D3158" t="s">
        <v>31</v>
      </c>
      <c r="E3158" t="s">
        <v>32</v>
      </c>
      <c r="F3158" t="s">
        <v>37</v>
      </c>
      <c r="G3158" s="118">
        <v>0.642511574074074</v>
      </c>
      <c r="H3158" s="118">
        <v>3.4722222222222224E-4</v>
      </c>
      <c r="I3158" s="118">
        <v>9.0277777777777784E-4</v>
      </c>
      <c r="J3158" s="118">
        <v>7.0717592592592594E-3</v>
      </c>
      <c r="K3158" s="118">
        <v>7.0717592592592594E-3</v>
      </c>
    </row>
    <row r="3159" spans="1:11" x14ac:dyDescent="0.25">
      <c r="A3159">
        <v>5</v>
      </c>
      <c r="B3159">
        <v>13</v>
      </c>
      <c r="C3159"/>
      <c r="D3159" t="s">
        <v>31</v>
      </c>
      <c r="E3159" t="s">
        <v>35</v>
      </c>
      <c r="F3159" t="s">
        <v>52</v>
      </c>
      <c r="G3159" s="118">
        <v>0.64252314814814815</v>
      </c>
      <c r="H3159" s="118">
        <v>1.0416666666666667E-3</v>
      </c>
      <c r="I3159" s="118">
        <v>3.4722222222222224E-4</v>
      </c>
      <c r="J3159"/>
      <c r="K3159"/>
    </row>
    <row r="3160" spans="1:11" x14ac:dyDescent="0.25">
      <c r="A3160">
        <v>1</v>
      </c>
      <c r="B3160">
        <v>12</v>
      </c>
      <c r="C3160"/>
      <c r="D3160" t="s">
        <v>31</v>
      </c>
      <c r="E3160" t="s">
        <v>35</v>
      </c>
      <c r="F3160" t="s">
        <v>47</v>
      </c>
      <c r="G3160" s="118">
        <v>0.64276620370370374</v>
      </c>
      <c r="H3160" s="118">
        <v>8.564814814814815E-4</v>
      </c>
      <c r="I3160" s="118">
        <v>5.2083333333333333E-4</v>
      </c>
      <c r="J3160"/>
      <c r="K3160"/>
    </row>
    <row r="3161" spans="1:11" x14ac:dyDescent="0.25">
      <c r="A3161">
        <v>5</v>
      </c>
      <c r="B3161">
        <v>13</v>
      </c>
      <c r="C3161"/>
      <c r="D3161" t="s">
        <v>31</v>
      </c>
      <c r="E3161" t="s">
        <v>32</v>
      </c>
      <c r="F3161" t="s">
        <v>52</v>
      </c>
      <c r="G3161" s="118">
        <v>0.64287037037037031</v>
      </c>
      <c r="H3161" s="118">
        <v>3.4722222222222224E-4</v>
      </c>
      <c r="I3161" s="118">
        <v>1.0532407407407407E-3</v>
      </c>
      <c r="J3161" s="118">
        <v>7.0717592592592594E-3</v>
      </c>
      <c r="K3161" s="118">
        <v>7.0717592592592594E-3</v>
      </c>
    </row>
    <row r="3162" spans="1:11" x14ac:dyDescent="0.25">
      <c r="A3162">
        <v>4</v>
      </c>
      <c r="B3162">
        <v>12</v>
      </c>
      <c r="C3162"/>
      <c r="D3162" t="s">
        <v>31</v>
      </c>
      <c r="E3162" t="s">
        <v>35</v>
      </c>
      <c r="F3162" t="s">
        <v>55</v>
      </c>
      <c r="G3162" s="118">
        <v>0.64307870370370368</v>
      </c>
      <c r="H3162" s="118">
        <v>1.0069444444444444E-3</v>
      </c>
      <c r="I3162" s="118">
        <v>4.6296296296296293E-4</v>
      </c>
      <c r="J3162"/>
      <c r="K3162"/>
    </row>
    <row r="3163" spans="1:11" x14ac:dyDescent="0.25">
      <c r="A3163">
        <v>1</v>
      </c>
      <c r="B3163">
        <v>12</v>
      </c>
      <c r="C3163"/>
      <c r="D3163" t="s">
        <v>31</v>
      </c>
      <c r="E3163" t="s">
        <v>32</v>
      </c>
      <c r="F3163" t="s">
        <v>47</v>
      </c>
      <c r="G3163" s="118">
        <v>0.64328703703703705</v>
      </c>
      <c r="H3163" s="118">
        <v>5.2083333333333333E-4</v>
      </c>
      <c r="I3163" s="118">
        <v>8.7962962962962962E-4</v>
      </c>
      <c r="J3163" s="118">
        <v>7.0717592592592594E-3</v>
      </c>
      <c r="K3163" s="118">
        <v>7.0717592592592594E-3</v>
      </c>
    </row>
    <row r="3164" spans="1:11" x14ac:dyDescent="0.25">
      <c r="A3164">
        <v>3</v>
      </c>
      <c r="B3164">
        <v>12</v>
      </c>
      <c r="C3164"/>
      <c r="D3164" t="s">
        <v>31</v>
      </c>
      <c r="E3164" t="s">
        <v>35</v>
      </c>
      <c r="F3164" t="s">
        <v>36</v>
      </c>
      <c r="G3164" s="118">
        <v>0.64337962962962958</v>
      </c>
      <c r="H3164" s="118">
        <v>9.6064814814814808E-4</v>
      </c>
      <c r="I3164" s="118">
        <v>3.4722222222222224E-4</v>
      </c>
      <c r="J3164"/>
      <c r="K3164"/>
    </row>
    <row r="3165" spans="1:11" x14ac:dyDescent="0.25">
      <c r="A3165">
        <v>2</v>
      </c>
      <c r="B3165">
        <v>12</v>
      </c>
      <c r="C3165"/>
      <c r="D3165" t="s">
        <v>31</v>
      </c>
      <c r="E3165" t="s">
        <v>35</v>
      </c>
      <c r="F3165" t="s">
        <v>42</v>
      </c>
      <c r="G3165" s="118">
        <v>0.64341435185185192</v>
      </c>
      <c r="H3165" s="118">
        <v>9.0277777777777784E-4</v>
      </c>
      <c r="I3165" s="118">
        <v>3.4722222222222224E-4</v>
      </c>
      <c r="J3165"/>
      <c r="K3165"/>
    </row>
    <row r="3166" spans="1:11" x14ac:dyDescent="0.25">
      <c r="A3166">
        <v>4</v>
      </c>
      <c r="B3166">
        <v>12</v>
      </c>
      <c r="C3166"/>
      <c r="D3166" t="s">
        <v>31</v>
      </c>
      <c r="E3166" t="s">
        <v>32</v>
      </c>
      <c r="F3166" t="s">
        <v>55</v>
      </c>
      <c r="G3166" s="118">
        <v>0.64354166666666668</v>
      </c>
      <c r="H3166" s="118">
        <v>4.6296296296296293E-4</v>
      </c>
      <c r="I3166" s="118">
        <v>4.3981481481481481E-4</v>
      </c>
      <c r="J3166" s="118">
        <v>7.0717592592592594E-3</v>
      </c>
      <c r="K3166" s="118">
        <v>7.0717592592592594E-3</v>
      </c>
    </row>
    <row r="3167" spans="1:11" x14ac:dyDescent="0.25">
      <c r="A3167">
        <v>3</v>
      </c>
      <c r="B3167">
        <v>12</v>
      </c>
      <c r="C3167"/>
      <c r="D3167" t="s">
        <v>31</v>
      </c>
      <c r="E3167" t="s">
        <v>32</v>
      </c>
      <c r="F3167" t="s">
        <v>36</v>
      </c>
      <c r="G3167" s="118">
        <v>0.64372685185185186</v>
      </c>
      <c r="H3167" s="118">
        <v>3.4722222222222224E-4</v>
      </c>
      <c r="I3167" s="118">
        <v>1.0995370370370371E-3</v>
      </c>
      <c r="J3167" s="118">
        <v>7.0717592592592594E-3</v>
      </c>
      <c r="K3167" s="118">
        <v>7.0717592592592594E-3</v>
      </c>
    </row>
    <row r="3168" spans="1:11" x14ac:dyDescent="0.25">
      <c r="A3168">
        <v>2</v>
      </c>
      <c r="B3168">
        <v>12</v>
      </c>
      <c r="C3168"/>
      <c r="D3168" t="s">
        <v>31</v>
      </c>
      <c r="E3168" t="s">
        <v>32</v>
      </c>
      <c r="F3168" t="s">
        <v>42</v>
      </c>
      <c r="G3168" s="118">
        <v>0.64376157407407408</v>
      </c>
      <c r="H3168" s="118">
        <v>3.4722222222222224E-4</v>
      </c>
      <c r="I3168" s="118">
        <v>9.1435185185185185E-4</v>
      </c>
      <c r="J3168" s="118">
        <v>7.0717592592592594E-3</v>
      </c>
      <c r="K3168" s="118">
        <v>7.0717592592592594E-3</v>
      </c>
    </row>
    <row r="3169" spans="1:11" x14ac:dyDescent="0.25">
      <c r="A3169">
        <v>5</v>
      </c>
      <c r="B3169">
        <v>13</v>
      </c>
      <c r="C3169"/>
      <c r="D3169" t="s">
        <v>31</v>
      </c>
      <c r="E3169" t="s">
        <v>35</v>
      </c>
      <c r="F3169" t="s">
        <v>57</v>
      </c>
      <c r="G3169" s="118">
        <v>0.64392361111111118</v>
      </c>
      <c r="H3169" s="118">
        <v>1.0532407407407407E-3</v>
      </c>
      <c r="I3169" s="118">
        <v>3.4722222222222224E-4</v>
      </c>
      <c r="J3169"/>
      <c r="K3169"/>
    </row>
    <row r="3170" spans="1:11" x14ac:dyDescent="0.25">
      <c r="A3170">
        <v>4</v>
      </c>
      <c r="B3170">
        <v>12</v>
      </c>
      <c r="C3170"/>
      <c r="D3170" t="s">
        <v>31</v>
      </c>
      <c r="E3170" t="s">
        <v>35</v>
      </c>
      <c r="F3170" t="s">
        <v>58</v>
      </c>
      <c r="G3170" s="118">
        <v>0.64398148148148149</v>
      </c>
      <c r="H3170" s="118">
        <v>4.3981481481481481E-4</v>
      </c>
      <c r="I3170" s="118">
        <v>5.7870370370370366E-5</v>
      </c>
      <c r="J3170"/>
      <c r="K3170"/>
    </row>
    <row r="3171" spans="1:11" x14ac:dyDescent="0.25">
      <c r="A3171">
        <v>4</v>
      </c>
      <c r="B3171">
        <v>12</v>
      </c>
      <c r="C3171"/>
      <c r="D3171" t="s">
        <v>31</v>
      </c>
      <c r="E3171" t="s">
        <v>32</v>
      </c>
      <c r="F3171" t="s">
        <v>58</v>
      </c>
      <c r="G3171" s="118">
        <v>0.64403935185185179</v>
      </c>
      <c r="H3171" s="118">
        <v>5.7870370370370366E-5</v>
      </c>
      <c r="I3171" s="118">
        <v>4.8611111111111104E-4</v>
      </c>
      <c r="J3171" s="118">
        <v>7.0717592592592594E-3</v>
      </c>
      <c r="K3171" s="118">
        <v>7.0717592592592594E-3</v>
      </c>
    </row>
    <row r="3172" spans="1:11" x14ac:dyDescent="0.25">
      <c r="A3172">
        <v>1</v>
      </c>
      <c r="B3172">
        <v>12</v>
      </c>
      <c r="C3172"/>
      <c r="D3172" t="s">
        <v>31</v>
      </c>
      <c r="E3172" t="s">
        <v>35</v>
      </c>
      <c r="F3172" t="s">
        <v>53</v>
      </c>
      <c r="G3172" s="118">
        <v>0.64416666666666667</v>
      </c>
      <c r="H3172" s="118">
        <v>8.7962962962962962E-4</v>
      </c>
      <c r="I3172" s="118">
        <v>3.4722222222222224E-4</v>
      </c>
      <c r="J3172"/>
      <c r="K3172"/>
    </row>
    <row r="3173" spans="1:11" x14ac:dyDescent="0.25">
      <c r="A3173">
        <v>5</v>
      </c>
      <c r="B3173">
        <v>13</v>
      </c>
      <c r="C3173"/>
      <c r="D3173" t="s">
        <v>31</v>
      </c>
      <c r="E3173" t="s">
        <v>32</v>
      </c>
      <c r="F3173" t="s">
        <v>57</v>
      </c>
      <c r="G3173" s="118">
        <v>0.64427083333333335</v>
      </c>
      <c r="H3173" s="118">
        <v>3.4722222222222224E-4</v>
      </c>
      <c r="I3173" s="118">
        <v>9.3750000000000007E-4</v>
      </c>
      <c r="J3173" s="118">
        <v>7.0717592592592594E-3</v>
      </c>
      <c r="K3173" s="118">
        <v>7.0717592592592594E-3</v>
      </c>
    </row>
    <row r="3174" spans="1:11" x14ac:dyDescent="0.25">
      <c r="A3174">
        <v>1</v>
      </c>
      <c r="B3174">
        <v>12</v>
      </c>
      <c r="C3174"/>
      <c r="D3174" t="s">
        <v>31</v>
      </c>
      <c r="E3174" t="s">
        <v>32</v>
      </c>
      <c r="F3174" t="s">
        <v>53</v>
      </c>
      <c r="G3174" s="118">
        <v>0.64451388888888894</v>
      </c>
      <c r="H3174" s="118">
        <v>3.4722222222222224E-4</v>
      </c>
      <c r="I3174" s="118">
        <v>8.449074074074075E-4</v>
      </c>
      <c r="J3174" s="118">
        <v>7.0717592592592594E-3</v>
      </c>
      <c r="K3174" s="118">
        <v>7.0717592592592594E-3</v>
      </c>
    </row>
    <row r="3175" spans="1:11" x14ac:dyDescent="0.25">
      <c r="A3175">
        <v>4</v>
      </c>
      <c r="B3175">
        <v>12</v>
      </c>
      <c r="C3175"/>
      <c r="D3175" t="s">
        <v>31</v>
      </c>
      <c r="E3175" t="s">
        <v>35</v>
      </c>
      <c r="F3175" t="s">
        <v>40</v>
      </c>
      <c r="G3175" s="118">
        <v>0.64452546296296298</v>
      </c>
      <c r="H3175" s="118">
        <v>4.8611111111111104E-4</v>
      </c>
      <c r="I3175" s="118">
        <v>4.6296296296296293E-4</v>
      </c>
      <c r="J3175"/>
      <c r="K3175"/>
    </row>
    <row r="3176" spans="1:11" x14ac:dyDescent="0.25">
      <c r="A3176">
        <v>2</v>
      </c>
      <c r="B3176">
        <v>12</v>
      </c>
      <c r="C3176"/>
      <c r="D3176" t="s">
        <v>31</v>
      </c>
      <c r="E3176" t="s">
        <v>35</v>
      </c>
      <c r="F3176" t="s">
        <v>48</v>
      </c>
      <c r="G3176" s="118">
        <v>0.64467592592592593</v>
      </c>
      <c r="H3176" s="118">
        <v>9.1435185185185185E-4</v>
      </c>
      <c r="I3176" s="118">
        <v>5.2083333333333333E-4</v>
      </c>
      <c r="J3176"/>
      <c r="K3176"/>
    </row>
    <row r="3177" spans="1:11" x14ac:dyDescent="0.25">
      <c r="A3177">
        <v>3</v>
      </c>
      <c r="B3177">
        <v>12</v>
      </c>
      <c r="C3177"/>
      <c r="D3177" t="s">
        <v>31</v>
      </c>
      <c r="E3177" t="s">
        <v>35</v>
      </c>
      <c r="F3177" t="s">
        <v>43</v>
      </c>
      <c r="G3177" s="118">
        <v>0.64482638888888888</v>
      </c>
      <c r="H3177" s="118">
        <v>1.0995370370370371E-3</v>
      </c>
      <c r="I3177" s="118">
        <v>3.4722222222222224E-4</v>
      </c>
      <c r="J3177"/>
      <c r="K3177"/>
    </row>
    <row r="3178" spans="1:11" x14ac:dyDescent="0.25">
      <c r="A3178">
        <v>4</v>
      </c>
      <c r="B3178">
        <v>12</v>
      </c>
      <c r="C3178"/>
      <c r="D3178" t="s">
        <v>31</v>
      </c>
      <c r="E3178" t="s">
        <v>32</v>
      </c>
      <c r="F3178" t="s">
        <v>40</v>
      </c>
      <c r="G3178" s="118">
        <v>0.64498842592592587</v>
      </c>
      <c r="H3178" s="118">
        <v>4.6296296296296293E-4</v>
      </c>
      <c r="I3178" s="118">
        <v>1.0069444444444444E-3</v>
      </c>
      <c r="J3178" s="118">
        <v>7.0717592592592594E-3</v>
      </c>
      <c r="K3178" s="118">
        <v>7.0717592592592594E-3</v>
      </c>
    </row>
    <row r="3179" spans="1:11" x14ac:dyDescent="0.25">
      <c r="A3179">
        <v>3</v>
      </c>
      <c r="B3179">
        <v>12</v>
      </c>
      <c r="C3179"/>
      <c r="D3179" t="s">
        <v>31</v>
      </c>
      <c r="E3179" t="s">
        <v>32</v>
      </c>
      <c r="F3179" t="s">
        <v>43</v>
      </c>
      <c r="G3179" s="118">
        <v>0.64517361111111116</v>
      </c>
      <c r="H3179" s="118">
        <v>3.4722222222222224E-4</v>
      </c>
      <c r="I3179" s="118">
        <v>1.1458333333333333E-3</v>
      </c>
      <c r="J3179" s="118">
        <v>7.0717592592592594E-3</v>
      </c>
      <c r="K3179" s="118">
        <v>7.0717592592592594E-3</v>
      </c>
    </row>
    <row r="3180" spans="1:11" x14ac:dyDescent="0.25">
      <c r="A3180">
        <v>2</v>
      </c>
      <c r="B3180">
        <v>12</v>
      </c>
      <c r="C3180"/>
      <c r="D3180" t="s">
        <v>31</v>
      </c>
      <c r="E3180" t="s">
        <v>32</v>
      </c>
      <c r="F3180" t="s">
        <v>48</v>
      </c>
      <c r="G3180" s="118">
        <v>0.64519675925925923</v>
      </c>
      <c r="H3180" s="118">
        <v>5.2083333333333333E-4</v>
      </c>
      <c r="I3180" s="118">
        <v>8.6805555555555551E-4</v>
      </c>
      <c r="J3180" s="118">
        <v>7.0717592592592594E-3</v>
      </c>
      <c r="K3180" s="118">
        <v>7.0717592592592594E-3</v>
      </c>
    </row>
    <row r="3181" spans="1:11" x14ac:dyDescent="0.25">
      <c r="A3181">
        <v>5</v>
      </c>
      <c r="B3181">
        <v>13</v>
      </c>
      <c r="C3181"/>
      <c r="D3181" t="s">
        <v>31</v>
      </c>
      <c r="E3181" t="s">
        <v>35</v>
      </c>
      <c r="F3181" t="s">
        <v>39</v>
      </c>
      <c r="G3181" s="118">
        <v>0.64520833333333327</v>
      </c>
      <c r="H3181" s="118">
        <v>9.3750000000000007E-4</v>
      </c>
      <c r="I3181" s="118">
        <v>5.2083333333333333E-4</v>
      </c>
      <c r="J3181"/>
      <c r="K3181"/>
    </row>
    <row r="3182" spans="1:11" x14ac:dyDescent="0.25">
      <c r="A3182">
        <v>1</v>
      </c>
      <c r="B3182">
        <v>12</v>
      </c>
      <c r="C3182"/>
      <c r="D3182" t="s">
        <v>31</v>
      </c>
      <c r="E3182" t="s">
        <v>35</v>
      </c>
      <c r="F3182" t="s">
        <v>34</v>
      </c>
      <c r="G3182" s="118">
        <v>0.64535879629629633</v>
      </c>
      <c r="H3182" s="118">
        <v>8.449074074074075E-4</v>
      </c>
      <c r="I3182" s="118">
        <v>3.4722222222222224E-4</v>
      </c>
      <c r="J3182"/>
      <c r="K3182"/>
    </row>
    <row r="3183" spans="1:11" x14ac:dyDescent="0.25">
      <c r="A3183">
        <v>1</v>
      </c>
      <c r="B3183">
        <v>12</v>
      </c>
      <c r="C3183"/>
      <c r="D3183" t="s">
        <v>31</v>
      </c>
      <c r="E3183" t="s">
        <v>32</v>
      </c>
      <c r="F3183" t="s">
        <v>34</v>
      </c>
      <c r="G3183" s="118">
        <v>0.6457060185185185</v>
      </c>
      <c r="H3183" s="118">
        <v>3.4722222222222224E-4</v>
      </c>
      <c r="I3183" s="118">
        <v>9.1435185185185185E-4</v>
      </c>
      <c r="J3183" s="118">
        <v>7.0717592592592594E-3</v>
      </c>
      <c r="K3183" s="118">
        <v>7.0717592592592594E-3</v>
      </c>
    </row>
    <row r="3184" spans="1:11" x14ac:dyDescent="0.25">
      <c r="A3184">
        <v>5</v>
      </c>
      <c r="B3184">
        <v>13</v>
      </c>
      <c r="C3184"/>
      <c r="D3184" t="s">
        <v>31</v>
      </c>
      <c r="E3184" t="s">
        <v>32</v>
      </c>
      <c r="F3184" t="s">
        <v>39</v>
      </c>
      <c r="G3184" s="118">
        <v>0.64572916666666669</v>
      </c>
      <c r="H3184" s="118">
        <v>5.2083333333333333E-4</v>
      </c>
      <c r="I3184" s="118">
        <v>1.8055555555555557E-3</v>
      </c>
      <c r="J3184" s="118">
        <v>7.0717592592592594E-3</v>
      </c>
      <c r="K3184" s="118">
        <v>7.0717592592592594E-3</v>
      </c>
    </row>
    <row r="3185" spans="1:11" x14ac:dyDescent="0.25">
      <c r="A3185">
        <v>4</v>
      </c>
      <c r="B3185">
        <v>12</v>
      </c>
      <c r="C3185"/>
      <c r="D3185" t="s">
        <v>31</v>
      </c>
      <c r="E3185" t="s">
        <v>35</v>
      </c>
      <c r="F3185" t="s">
        <v>44</v>
      </c>
      <c r="G3185" s="118">
        <v>0.64599537037037036</v>
      </c>
      <c r="H3185" s="118">
        <v>1.0069444444444444E-3</v>
      </c>
      <c r="I3185" s="118">
        <v>3.4722222222222224E-4</v>
      </c>
      <c r="J3185"/>
      <c r="K3185"/>
    </row>
    <row r="3186" spans="1:11" x14ac:dyDescent="0.25">
      <c r="A3186">
        <v>2</v>
      </c>
      <c r="B3186">
        <v>12</v>
      </c>
      <c r="C3186"/>
      <c r="D3186" t="s">
        <v>31</v>
      </c>
      <c r="E3186" t="s">
        <v>35</v>
      </c>
      <c r="F3186" t="s">
        <v>54</v>
      </c>
      <c r="G3186" s="118">
        <v>0.64606481481481481</v>
      </c>
      <c r="H3186" s="118">
        <v>8.6805555555555551E-4</v>
      </c>
      <c r="I3186" s="118">
        <v>3.4722222222222224E-4</v>
      </c>
      <c r="J3186"/>
      <c r="K3186"/>
    </row>
    <row r="3187" spans="1:11" x14ac:dyDescent="0.25">
      <c r="A3187">
        <v>3</v>
      </c>
      <c r="B3187">
        <v>12</v>
      </c>
      <c r="C3187"/>
      <c r="D3187" t="s">
        <v>31</v>
      </c>
      <c r="E3187" t="s">
        <v>35</v>
      </c>
      <c r="F3187" t="s">
        <v>50</v>
      </c>
      <c r="G3187" s="118">
        <v>0.64631944444444445</v>
      </c>
      <c r="H3187" s="118">
        <v>1.1458333333333333E-3</v>
      </c>
      <c r="I3187" s="118">
        <v>3.4722222222222224E-4</v>
      </c>
      <c r="J3187"/>
      <c r="K3187"/>
    </row>
    <row r="3188" spans="1:11" x14ac:dyDescent="0.25">
      <c r="A3188">
        <v>4</v>
      </c>
      <c r="B3188">
        <v>12</v>
      </c>
      <c r="C3188"/>
      <c r="D3188" t="s">
        <v>31</v>
      </c>
      <c r="E3188" t="s">
        <v>32</v>
      </c>
      <c r="F3188" t="s">
        <v>44</v>
      </c>
      <c r="G3188" s="118">
        <v>0.64634259259259264</v>
      </c>
      <c r="H3188" s="118">
        <v>3.4722222222222224E-4</v>
      </c>
      <c r="I3188" s="118">
        <v>9.2592592592592585E-4</v>
      </c>
      <c r="J3188" s="118">
        <v>7.0717592592592594E-3</v>
      </c>
      <c r="K3188" s="118">
        <v>7.0717592592592594E-3</v>
      </c>
    </row>
    <row r="3189" spans="1:11" x14ac:dyDescent="0.25">
      <c r="A3189">
        <v>2</v>
      </c>
      <c r="B3189">
        <v>12</v>
      </c>
      <c r="C3189"/>
      <c r="D3189" t="s">
        <v>31</v>
      </c>
      <c r="E3189" t="s">
        <v>32</v>
      </c>
      <c r="F3189" t="s">
        <v>54</v>
      </c>
      <c r="G3189" s="118">
        <v>0.64641203703703709</v>
      </c>
      <c r="H3189" s="118">
        <v>3.4722222222222224E-4</v>
      </c>
      <c r="I3189" s="118">
        <v>6.9444444444444447E-4</v>
      </c>
      <c r="J3189" s="118">
        <v>7.0717592592592594E-3</v>
      </c>
      <c r="K3189" s="118">
        <v>7.0717592592592594E-3</v>
      </c>
    </row>
    <row r="3190" spans="1:11" x14ac:dyDescent="0.25">
      <c r="A3190">
        <v>1</v>
      </c>
      <c r="B3190">
        <v>12</v>
      </c>
      <c r="C3190"/>
      <c r="D3190" t="s">
        <v>31</v>
      </c>
      <c r="E3190" t="s">
        <v>35</v>
      </c>
      <c r="F3190" t="s">
        <v>38</v>
      </c>
      <c r="G3190" s="118">
        <v>0.64662037037037035</v>
      </c>
      <c r="H3190" s="118">
        <v>9.1435185185185185E-4</v>
      </c>
      <c r="I3190" s="118">
        <v>3.4722222222222224E-4</v>
      </c>
      <c r="J3190"/>
      <c r="K3190"/>
    </row>
    <row r="3191" spans="1:11" x14ac:dyDescent="0.25">
      <c r="A3191">
        <v>3</v>
      </c>
      <c r="B3191">
        <v>12</v>
      </c>
      <c r="C3191"/>
      <c r="D3191" t="s">
        <v>31</v>
      </c>
      <c r="E3191" t="s">
        <v>32</v>
      </c>
      <c r="F3191" t="s">
        <v>50</v>
      </c>
      <c r="G3191" s="118">
        <v>0.64666666666666661</v>
      </c>
      <c r="H3191" s="118">
        <v>3.4722222222222224E-4</v>
      </c>
      <c r="I3191" s="118">
        <v>1.261574074074074E-3</v>
      </c>
      <c r="J3191" s="118">
        <v>7.0717592592592594E-3</v>
      </c>
      <c r="K3191" s="118">
        <v>7.0717592592592594E-3</v>
      </c>
    </row>
    <row r="3192" spans="1:11" x14ac:dyDescent="0.25">
      <c r="A3192">
        <v>1</v>
      </c>
      <c r="B3192">
        <v>12</v>
      </c>
      <c r="C3192"/>
      <c r="D3192" t="s">
        <v>31</v>
      </c>
      <c r="E3192" t="s">
        <v>32</v>
      </c>
      <c r="F3192" t="s">
        <v>38</v>
      </c>
      <c r="G3192" s="118">
        <v>0.64696759259259262</v>
      </c>
      <c r="H3192" s="118">
        <v>3.4722222222222224E-4</v>
      </c>
      <c r="I3192" s="118">
        <v>1.2384259259259258E-3</v>
      </c>
      <c r="J3192" s="118">
        <v>7.0717592592592594E-3</v>
      </c>
      <c r="K3192" s="118">
        <v>7.0717592592592594E-3</v>
      </c>
    </row>
    <row r="3193" spans="1:11" x14ac:dyDescent="0.25">
      <c r="A3193">
        <v>2</v>
      </c>
      <c r="B3193">
        <v>12</v>
      </c>
      <c r="C3193"/>
      <c r="D3193" t="s">
        <v>31</v>
      </c>
      <c r="E3193" t="s">
        <v>35</v>
      </c>
      <c r="F3193" t="s">
        <v>92</v>
      </c>
      <c r="G3193" s="118">
        <v>0.64710648148148142</v>
      </c>
      <c r="H3193" s="118">
        <v>6.9444444444444447E-4</v>
      </c>
      <c r="I3193" s="118">
        <v>5.2083333333333333E-4</v>
      </c>
      <c r="J3193"/>
      <c r="K3193"/>
    </row>
    <row r="3194" spans="1:11" x14ac:dyDescent="0.25">
      <c r="A3194">
        <v>4</v>
      </c>
      <c r="B3194">
        <v>12</v>
      </c>
      <c r="C3194"/>
      <c r="D3194" t="s">
        <v>31</v>
      </c>
      <c r="E3194" t="s">
        <v>35</v>
      </c>
      <c r="F3194" t="s">
        <v>49</v>
      </c>
      <c r="G3194" s="118">
        <v>0.64726851851851852</v>
      </c>
      <c r="H3194" s="118">
        <v>9.2592592592592585E-4</v>
      </c>
      <c r="I3194" s="118">
        <v>3.4722222222222224E-4</v>
      </c>
      <c r="J3194"/>
      <c r="K3194"/>
    </row>
    <row r="3195" spans="1:11" x14ac:dyDescent="0.25">
      <c r="A3195">
        <v>5</v>
      </c>
      <c r="B3195">
        <v>13</v>
      </c>
      <c r="C3195"/>
      <c r="D3195" t="s">
        <v>31</v>
      </c>
      <c r="E3195" t="s">
        <v>35</v>
      </c>
      <c r="F3195" t="s">
        <v>46</v>
      </c>
      <c r="G3195" s="118">
        <v>0.64753472222222219</v>
      </c>
      <c r="H3195" s="118">
        <v>1.8055555555555557E-3</v>
      </c>
      <c r="I3195" s="118">
        <v>3.4722222222222224E-4</v>
      </c>
      <c r="J3195"/>
      <c r="K3195"/>
    </row>
    <row r="3196" spans="1:11" x14ac:dyDescent="0.25">
      <c r="A3196">
        <v>4</v>
      </c>
      <c r="B3196">
        <v>12</v>
      </c>
      <c r="C3196"/>
      <c r="D3196" t="s">
        <v>31</v>
      </c>
      <c r="E3196" t="s">
        <v>32</v>
      </c>
      <c r="F3196" t="s">
        <v>49</v>
      </c>
      <c r="G3196" s="118">
        <v>0.64761574074074069</v>
      </c>
      <c r="H3196" s="118">
        <v>3.4722222222222224E-4</v>
      </c>
      <c r="I3196" s="118">
        <v>1.3541666666666667E-3</v>
      </c>
      <c r="J3196" s="118">
        <v>7.0717592592592594E-3</v>
      </c>
      <c r="K3196" s="118">
        <v>7.0717592592592594E-3</v>
      </c>
    </row>
    <row r="3197" spans="1:11" x14ac:dyDescent="0.25">
      <c r="A3197">
        <v>2</v>
      </c>
      <c r="B3197">
        <v>13</v>
      </c>
      <c r="C3197"/>
      <c r="D3197" t="s">
        <v>31</v>
      </c>
      <c r="E3197" t="s">
        <v>32</v>
      </c>
      <c r="F3197" t="s">
        <v>92</v>
      </c>
      <c r="G3197" s="118">
        <v>0.64762731481481484</v>
      </c>
      <c r="H3197" s="118">
        <v>5.2083333333333333E-4</v>
      </c>
      <c r="I3197" s="118">
        <v>1.0069444444444444E-3</v>
      </c>
      <c r="J3197" s="118">
        <v>7.0717592592592594E-3</v>
      </c>
      <c r="K3197" s="118">
        <v>7.0717592592592594E-3</v>
      </c>
    </row>
    <row r="3198" spans="1:11" x14ac:dyDescent="0.25">
      <c r="A3198">
        <v>5</v>
      </c>
      <c r="B3198">
        <v>13</v>
      </c>
      <c r="C3198"/>
      <c r="D3198" t="s">
        <v>31</v>
      </c>
      <c r="E3198" t="s">
        <v>32</v>
      </c>
      <c r="F3198" t="s">
        <v>46</v>
      </c>
      <c r="G3198" s="118">
        <v>0.64788194444444447</v>
      </c>
      <c r="H3198" s="118">
        <v>3.4722222222222224E-4</v>
      </c>
      <c r="I3198" s="118">
        <v>9.1435185185185185E-4</v>
      </c>
      <c r="J3198" s="118">
        <v>7.0717592592592594E-3</v>
      </c>
      <c r="K3198" s="118">
        <v>7.0717592592592594E-3</v>
      </c>
    </row>
    <row r="3199" spans="1:11" x14ac:dyDescent="0.25">
      <c r="A3199">
        <v>3</v>
      </c>
      <c r="B3199">
        <v>12</v>
      </c>
      <c r="C3199"/>
      <c r="D3199" t="s">
        <v>31</v>
      </c>
      <c r="E3199" t="s">
        <v>35</v>
      </c>
      <c r="F3199" t="s">
        <v>56</v>
      </c>
      <c r="G3199" s="118">
        <v>0.64792824074074074</v>
      </c>
      <c r="H3199" s="118">
        <v>1.261574074074074E-3</v>
      </c>
      <c r="I3199" s="118">
        <v>3.4722222222222224E-4</v>
      </c>
      <c r="J3199"/>
      <c r="K3199"/>
    </row>
    <row r="3200" spans="1:11" x14ac:dyDescent="0.25">
      <c r="A3200">
        <v>1</v>
      </c>
      <c r="B3200">
        <v>12</v>
      </c>
      <c r="C3200"/>
      <c r="D3200" t="s">
        <v>31</v>
      </c>
      <c r="E3200" t="s">
        <v>35</v>
      </c>
      <c r="F3200" t="s">
        <v>45</v>
      </c>
      <c r="G3200" s="118">
        <v>0.64820601851851845</v>
      </c>
      <c r="H3200" s="118">
        <v>1.2384259259259258E-3</v>
      </c>
      <c r="I3200" s="118">
        <v>3.4722222222222224E-4</v>
      </c>
      <c r="J3200"/>
      <c r="K3200"/>
    </row>
    <row r="3201" spans="1:11" x14ac:dyDescent="0.25">
      <c r="A3201">
        <v>3</v>
      </c>
      <c r="B3201">
        <v>12</v>
      </c>
      <c r="C3201"/>
      <c r="D3201" t="s">
        <v>31</v>
      </c>
      <c r="E3201" t="s">
        <v>32</v>
      </c>
      <c r="F3201" t="s">
        <v>56</v>
      </c>
      <c r="G3201" s="118">
        <v>0.6482754629629629</v>
      </c>
      <c r="H3201" s="118">
        <v>3.4722222222222224E-4</v>
      </c>
      <c r="I3201" s="118">
        <v>9.6064814814814808E-4</v>
      </c>
      <c r="J3201" s="118">
        <v>7.0717592592592594E-3</v>
      </c>
      <c r="K3201" s="118">
        <v>7.0717592592592594E-3</v>
      </c>
    </row>
    <row r="3202" spans="1:11" x14ac:dyDescent="0.25">
      <c r="A3202">
        <v>1</v>
      </c>
      <c r="B3202">
        <v>12</v>
      </c>
      <c r="C3202"/>
      <c r="D3202" t="s">
        <v>31</v>
      </c>
      <c r="E3202" t="s">
        <v>32</v>
      </c>
      <c r="F3202" t="s">
        <v>45</v>
      </c>
      <c r="G3202" s="118">
        <v>0.64855324074074072</v>
      </c>
      <c r="H3202" s="118">
        <v>3.4722222222222224E-4</v>
      </c>
      <c r="I3202" s="118">
        <v>1.0416666666666667E-3</v>
      </c>
      <c r="J3202" s="118">
        <v>7.0717592592592594E-3</v>
      </c>
      <c r="K3202" s="118">
        <v>7.0717592592592594E-3</v>
      </c>
    </row>
    <row r="3203" spans="1:11" x14ac:dyDescent="0.25">
      <c r="A3203">
        <v>2</v>
      </c>
      <c r="B3203">
        <v>13</v>
      </c>
      <c r="C3203"/>
      <c r="D3203" t="s">
        <v>31</v>
      </c>
      <c r="E3203" t="s">
        <v>35</v>
      </c>
      <c r="F3203" t="s">
        <v>41</v>
      </c>
      <c r="G3203" s="118">
        <v>0.64863425925925922</v>
      </c>
      <c r="H3203" s="118">
        <v>1.0069444444444444E-3</v>
      </c>
      <c r="I3203" s="118">
        <v>3.4722222222222224E-4</v>
      </c>
      <c r="J3203"/>
      <c r="K3203"/>
    </row>
    <row r="3204" spans="1:11" x14ac:dyDescent="0.25">
      <c r="A3204">
        <v>5</v>
      </c>
      <c r="B3204">
        <v>13</v>
      </c>
      <c r="C3204"/>
      <c r="D3204" t="s">
        <v>31</v>
      </c>
      <c r="E3204" t="s">
        <v>35</v>
      </c>
      <c r="F3204" t="s">
        <v>51</v>
      </c>
      <c r="G3204" s="118">
        <v>0.64879629629629632</v>
      </c>
      <c r="H3204" s="118">
        <v>9.1435185185185185E-4</v>
      </c>
      <c r="I3204" s="118">
        <v>3.4722222222222224E-4</v>
      </c>
      <c r="J3204"/>
      <c r="K3204"/>
    </row>
    <row r="3205" spans="1:11" x14ac:dyDescent="0.25">
      <c r="A3205">
        <v>4</v>
      </c>
      <c r="B3205">
        <v>12</v>
      </c>
      <c r="C3205"/>
      <c r="D3205" t="s">
        <v>31</v>
      </c>
      <c r="E3205" t="s">
        <v>35</v>
      </c>
      <c r="F3205" t="s">
        <v>33</v>
      </c>
      <c r="G3205" s="118">
        <v>0.64896990740740745</v>
      </c>
      <c r="H3205" s="118">
        <v>1.3541666666666667E-3</v>
      </c>
      <c r="I3205" s="118">
        <v>5.2083333333333333E-4</v>
      </c>
      <c r="J3205"/>
      <c r="K3205"/>
    </row>
    <row r="3206" spans="1:11" x14ac:dyDescent="0.25">
      <c r="A3206">
        <v>2</v>
      </c>
      <c r="B3206">
        <v>13</v>
      </c>
      <c r="C3206"/>
      <c r="D3206" t="s">
        <v>31</v>
      </c>
      <c r="E3206" t="s">
        <v>32</v>
      </c>
      <c r="F3206" t="s">
        <v>41</v>
      </c>
      <c r="G3206" s="118">
        <v>0.64898148148148149</v>
      </c>
      <c r="H3206" s="118">
        <v>3.4722222222222224E-4</v>
      </c>
      <c r="I3206" s="118">
        <v>8.564814814814815E-4</v>
      </c>
      <c r="J3206" s="118">
        <v>7.0717592592592594E-3</v>
      </c>
      <c r="K3206" s="118">
        <v>7.0717592592592594E-3</v>
      </c>
    </row>
    <row r="3207" spans="1:11" x14ac:dyDescent="0.25">
      <c r="A3207">
        <v>5</v>
      </c>
      <c r="B3207">
        <v>13</v>
      </c>
      <c r="C3207"/>
      <c r="D3207" t="s">
        <v>31</v>
      </c>
      <c r="E3207" t="s">
        <v>32</v>
      </c>
      <c r="F3207" t="s">
        <v>51</v>
      </c>
      <c r="G3207" s="118">
        <v>0.64914351851851848</v>
      </c>
      <c r="H3207" s="118">
        <v>3.4722222222222224E-4</v>
      </c>
      <c r="I3207" s="118">
        <v>1.0069444444444444E-3</v>
      </c>
      <c r="J3207" s="118">
        <v>7.0717592592592594E-3</v>
      </c>
      <c r="K3207" s="118">
        <v>7.0717592592592594E-3</v>
      </c>
    </row>
    <row r="3208" spans="1:11" x14ac:dyDescent="0.25">
      <c r="A3208">
        <v>3</v>
      </c>
      <c r="B3208">
        <v>12</v>
      </c>
      <c r="C3208"/>
      <c r="D3208" t="s">
        <v>31</v>
      </c>
      <c r="E3208" t="s">
        <v>35</v>
      </c>
      <c r="F3208" t="s">
        <v>37</v>
      </c>
      <c r="G3208" s="118">
        <v>0.64923611111111112</v>
      </c>
      <c r="H3208" s="118">
        <v>9.6064814814814808E-4</v>
      </c>
      <c r="I3208" s="118">
        <v>3.4722222222222224E-4</v>
      </c>
      <c r="J3208"/>
      <c r="K3208"/>
    </row>
    <row r="3209" spans="1:11" x14ac:dyDescent="0.25">
      <c r="A3209">
        <v>4</v>
      </c>
      <c r="B3209">
        <v>12</v>
      </c>
      <c r="C3209"/>
      <c r="D3209" t="s">
        <v>31</v>
      </c>
      <c r="E3209" t="s">
        <v>32</v>
      </c>
      <c r="F3209" t="s">
        <v>33</v>
      </c>
      <c r="G3209" s="118">
        <v>0.64949074074074076</v>
      </c>
      <c r="H3209" s="118">
        <v>5.2083333333333333E-4</v>
      </c>
      <c r="I3209" s="118">
        <v>9.6064814814814808E-4</v>
      </c>
      <c r="J3209" s="118">
        <v>7.0717592592592594E-3</v>
      </c>
      <c r="K3209" s="118">
        <v>7.0717592592592594E-3</v>
      </c>
    </row>
    <row r="3210" spans="1:11" x14ac:dyDescent="0.25">
      <c r="A3210">
        <v>3</v>
      </c>
      <c r="B3210">
        <v>12</v>
      </c>
      <c r="C3210"/>
      <c r="D3210" t="s">
        <v>31</v>
      </c>
      <c r="E3210" t="s">
        <v>32</v>
      </c>
      <c r="F3210" t="s">
        <v>37</v>
      </c>
      <c r="G3210" s="118">
        <v>0.64958333333333329</v>
      </c>
      <c r="H3210" s="118">
        <v>3.4722222222222224E-4</v>
      </c>
      <c r="I3210" s="118">
        <v>9.0277777777777784E-4</v>
      </c>
      <c r="J3210" s="118">
        <v>7.0717592592592594E-3</v>
      </c>
      <c r="K3210" s="118">
        <v>7.0717592592592594E-3</v>
      </c>
    </row>
    <row r="3211" spans="1:11" x14ac:dyDescent="0.25">
      <c r="A3211">
        <v>1</v>
      </c>
      <c r="B3211">
        <v>12</v>
      </c>
      <c r="C3211"/>
      <c r="D3211" t="s">
        <v>31</v>
      </c>
      <c r="E3211" t="s">
        <v>35</v>
      </c>
      <c r="F3211" t="s">
        <v>52</v>
      </c>
      <c r="G3211" s="118">
        <v>0.64959490740740744</v>
      </c>
      <c r="H3211" s="118">
        <v>1.0416666666666667E-3</v>
      </c>
      <c r="I3211" s="118">
        <v>3.4722222222222224E-4</v>
      </c>
      <c r="J3211"/>
      <c r="K3211"/>
    </row>
    <row r="3212" spans="1:11" x14ac:dyDescent="0.25">
      <c r="A3212">
        <v>2</v>
      </c>
      <c r="B3212">
        <v>13</v>
      </c>
      <c r="C3212"/>
      <c r="D3212" t="s">
        <v>31</v>
      </c>
      <c r="E3212" t="s">
        <v>35</v>
      </c>
      <c r="F3212" t="s">
        <v>47</v>
      </c>
      <c r="G3212" s="118">
        <v>0.64983796296296303</v>
      </c>
      <c r="H3212" s="118">
        <v>8.564814814814815E-4</v>
      </c>
      <c r="I3212" s="118">
        <v>5.2083333333333333E-4</v>
      </c>
      <c r="J3212"/>
      <c r="K3212"/>
    </row>
    <row r="3213" spans="1:11" x14ac:dyDescent="0.25">
      <c r="A3213">
        <v>1</v>
      </c>
      <c r="B3213">
        <v>12</v>
      </c>
      <c r="C3213"/>
      <c r="D3213" t="s">
        <v>31</v>
      </c>
      <c r="E3213" t="s">
        <v>32</v>
      </c>
      <c r="F3213" t="s">
        <v>52</v>
      </c>
      <c r="G3213" s="118">
        <v>0.64994212962962961</v>
      </c>
      <c r="H3213" s="118">
        <v>3.4722222222222224E-4</v>
      </c>
      <c r="I3213" s="118">
        <v>1.0532407407407407E-3</v>
      </c>
      <c r="J3213" s="118">
        <v>7.0717592592592594E-3</v>
      </c>
      <c r="K3213" s="118">
        <v>7.0717592592592594E-3</v>
      </c>
    </row>
    <row r="3214" spans="1:11" x14ac:dyDescent="0.25">
      <c r="A3214">
        <v>5</v>
      </c>
      <c r="B3214">
        <v>13</v>
      </c>
      <c r="C3214"/>
      <c r="D3214" t="s">
        <v>31</v>
      </c>
      <c r="E3214" t="s">
        <v>35</v>
      </c>
      <c r="F3214" t="s">
        <v>55</v>
      </c>
      <c r="G3214" s="118">
        <v>0.65015046296296297</v>
      </c>
      <c r="H3214" s="118">
        <v>1.0069444444444444E-3</v>
      </c>
      <c r="I3214" s="118">
        <v>4.6296296296296293E-4</v>
      </c>
      <c r="J3214"/>
      <c r="K3214"/>
    </row>
    <row r="3215" spans="1:11" x14ac:dyDescent="0.25">
      <c r="A3215">
        <v>2</v>
      </c>
      <c r="B3215">
        <v>13</v>
      </c>
      <c r="C3215"/>
      <c r="D3215" t="s">
        <v>31</v>
      </c>
      <c r="E3215" t="s">
        <v>32</v>
      </c>
      <c r="F3215" t="s">
        <v>47</v>
      </c>
      <c r="G3215" s="118">
        <v>0.65035879629629634</v>
      </c>
      <c r="H3215" s="118">
        <v>5.2083333333333333E-4</v>
      </c>
      <c r="I3215" s="118">
        <v>8.7962962962962962E-4</v>
      </c>
      <c r="J3215" s="118">
        <v>7.0717592592592594E-3</v>
      </c>
      <c r="K3215" s="118">
        <v>7.0717592592592594E-3</v>
      </c>
    </row>
    <row r="3216" spans="1:11" x14ac:dyDescent="0.25">
      <c r="A3216">
        <v>4</v>
      </c>
      <c r="B3216">
        <v>12</v>
      </c>
      <c r="C3216"/>
      <c r="D3216" t="s">
        <v>31</v>
      </c>
      <c r="E3216" t="s">
        <v>35</v>
      </c>
      <c r="F3216" t="s">
        <v>36</v>
      </c>
      <c r="G3216" s="118">
        <v>0.65045138888888887</v>
      </c>
      <c r="H3216" s="118">
        <v>9.6064814814814808E-4</v>
      </c>
      <c r="I3216" s="118">
        <v>3.4722222222222224E-4</v>
      </c>
      <c r="J3216"/>
      <c r="K3216"/>
    </row>
    <row r="3217" spans="1:11" x14ac:dyDescent="0.25">
      <c r="A3217">
        <v>3</v>
      </c>
      <c r="B3217">
        <v>12</v>
      </c>
      <c r="C3217"/>
      <c r="D3217" t="s">
        <v>31</v>
      </c>
      <c r="E3217" t="s">
        <v>35</v>
      </c>
      <c r="F3217" t="s">
        <v>42</v>
      </c>
      <c r="G3217" s="118">
        <v>0.6504861111111111</v>
      </c>
      <c r="H3217" s="118">
        <v>9.0277777777777784E-4</v>
      </c>
      <c r="I3217" s="118">
        <v>3.4722222222222224E-4</v>
      </c>
      <c r="J3217"/>
      <c r="K3217"/>
    </row>
    <row r="3218" spans="1:11" x14ac:dyDescent="0.25">
      <c r="A3218">
        <v>5</v>
      </c>
      <c r="B3218">
        <v>13</v>
      </c>
      <c r="C3218"/>
      <c r="D3218" t="s">
        <v>31</v>
      </c>
      <c r="E3218" t="s">
        <v>32</v>
      </c>
      <c r="F3218" t="s">
        <v>55</v>
      </c>
      <c r="G3218" s="118">
        <v>0.65061342592592586</v>
      </c>
      <c r="H3218" s="118">
        <v>4.6296296296296293E-4</v>
      </c>
      <c r="I3218" s="118">
        <v>4.3981481481481481E-4</v>
      </c>
      <c r="J3218" s="118">
        <v>7.0717592592592594E-3</v>
      </c>
      <c r="K3218" s="118">
        <v>7.0717592592592594E-3</v>
      </c>
    </row>
    <row r="3219" spans="1:11" x14ac:dyDescent="0.25">
      <c r="A3219">
        <v>4</v>
      </c>
      <c r="B3219">
        <v>12</v>
      </c>
      <c r="C3219"/>
      <c r="D3219" t="s">
        <v>31</v>
      </c>
      <c r="E3219" t="s">
        <v>32</v>
      </c>
      <c r="F3219" t="s">
        <v>36</v>
      </c>
      <c r="G3219" s="118">
        <v>0.65079861111111115</v>
      </c>
      <c r="H3219" s="118">
        <v>3.4722222222222224E-4</v>
      </c>
      <c r="I3219" s="118">
        <v>1.0995370370370371E-3</v>
      </c>
      <c r="J3219" s="118">
        <v>7.0717592592592594E-3</v>
      </c>
      <c r="K3219" s="118">
        <v>7.0717592592592594E-3</v>
      </c>
    </row>
    <row r="3220" spans="1:11" x14ac:dyDescent="0.25">
      <c r="A3220">
        <v>3</v>
      </c>
      <c r="B3220">
        <v>12</v>
      </c>
      <c r="C3220"/>
      <c r="D3220" t="s">
        <v>31</v>
      </c>
      <c r="E3220" t="s">
        <v>32</v>
      </c>
      <c r="F3220" t="s">
        <v>42</v>
      </c>
      <c r="G3220" s="118">
        <v>0.65083333333333326</v>
      </c>
      <c r="H3220" s="118">
        <v>3.4722222222222224E-4</v>
      </c>
      <c r="I3220" s="118">
        <v>9.1435185185185185E-4</v>
      </c>
      <c r="J3220" s="118">
        <v>7.0717592592592594E-3</v>
      </c>
      <c r="K3220" s="118">
        <v>7.0717592592592594E-3</v>
      </c>
    </row>
    <row r="3221" spans="1:11" x14ac:dyDescent="0.25">
      <c r="A3221">
        <v>1</v>
      </c>
      <c r="B3221">
        <v>12</v>
      </c>
      <c r="C3221"/>
      <c r="D3221" t="s">
        <v>31</v>
      </c>
      <c r="E3221" t="s">
        <v>35</v>
      </c>
      <c r="F3221" t="s">
        <v>57</v>
      </c>
      <c r="G3221" s="118">
        <v>0.65099537037037036</v>
      </c>
      <c r="H3221" s="118">
        <v>1.0532407407407407E-3</v>
      </c>
      <c r="I3221" s="118">
        <v>3.4722222222222224E-4</v>
      </c>
      <c r="J3221"/>
      <c r="K3221"/>
    </row>
    <row r="3222" spans="1:11" x14ac:dyDescent="0.25">
      <c r="A3222">
        <v>5</v>
      </c>
      <c r="B3222">
        <v>13</v>
      </c>
      <c r="C3222"/>
      <c r="D3222" t="s">
        <v>31</v>
      </c>
      <c r="E3222" t="s">
        <v>35</v>
      </c>
      <c r="F3222" t="s">
        <v>58</v>
      </c>
      <c r="G3222" s="118">
        <v>0.65105324074074067</v>
      </c>
      <c r="H3222" s="118">
        <v>4.3981481481481481E-4</v>
      </c>
      <c r="I3222" s="118">
        <v>5.7870370370370366E-5</v>
      </c>
      <c r="J3222"/>
      <c r="K3222"/>
    </row>
    <row r="3223" spans="1:11" x14ac:dyDescent="0.25">
      <c r="A3223">
        <v>5</v>
      </c>
      <c r="B3223">
        <v>13</v>
      </c>
      <c r="C3223"/>
      <c r="D3223" t="s">
        <v>31</v>
      </c>
      <c r="E3223" t="s">
        <v>32</v>
      </c>
      <c r="F3223" t="s">
        <v>58</v>
      </c>
      <c r="G3223" s="118">
        <v>0.65111111111111108</v>
      </c>
      <c r="H3223" s="118">
        <v>5.7870370370370366E-5</v>
      </c>
      <c r="I3223" s="118">
        <v>4.8611111111111104E-4</v>
      </c>
      <c r="J3223" s="118">
        <v>7.0717592592592594E-3</v>
      </c>
      <c r="K3223" s="118">
        <v>7.0717592592592594E-3</v>
      </c>
    </row>
    <row r="3224" spans="1:11" x14ac:dyDescent="0.25">
      <c r="A3224">
        <v>2</v>
      </c>
      <c r="B3224">
        <v>13</v>
      </c>
      <c r="C3224"/>
      <c r="D3224" t="s">
        <v>31</v>
      </c>
      <c r="E3224" t="s">
        <v>35</v>
      </c>
      <c r="F3224" t="s">
        <v>53</v>
      </c>
      <c r="G3224" s="118">
        <v>0.65123842592592596</v>
      </c>
      <c r="H3224" s="118">
        <v>8.7962962962962962E-4</v>
      </c>
      <c r="I3224" s="118">
        <v>3.4722222222222224E-4</v>
      </c>
      <c r="J3224"/>
      <c r="K3224"/>
    </row>
    <row r="3225" spans="1:11" x14ac:dyDescent="0.25">
      <c r="A3225">
        <v>1</v>
      </c>
      <c r="B3225">
        <v>12</v>
      </c>
      <c r="C3225"/>
      <c r="D3225" t="s">
        <v>31</v>
      </c>
      <c r="E3225" t="s">
        <v>32</v>
      </c>
      <c r="F3225" t="s">
        <v>57</v>
      </c>
      <c r="G3225" s="118">
        <v>0.65134259259259253</v>
      </c>
      <c r="H3225" s="118">
        <v>3.4722222222222224E-4</v>
      </c>
      <c r="I3225" s="118">
        <v>9.3750000000000007E-4</v>
      </c>
      <c r="J3225" s="118">
        <v>7.0717592592592594E-3</v>
      </c>
      <c r="K3225" s="118">
        <v>7.0717592592592594E-3</v>
      </c>
    </row>
    <row r="3226" spans="1:11" x14ac:dyDescent="0.25">
      <c r="A3226">
        <v>2</v>
      </c>
      <c r="B3226">
        <v>13</v>
      </c>
      <c r="C3226"/>
      <c r="D3226" t="s">
        <v>31</v>
      </c>
      <c r="E3226" t="s">
        <v>32</v>
      </c>
      <c r="F3226" t="s">
        <v>53</v>
      </c>
      <c r="G3226" s="118">
        <v>0.65158564814814812</v>
      </c>
      <c r="H3226" s="118">
        <v>3.4722222222222224E-4</v>
      </c>
      <c r="I3226" s="118">
        <v>8.449074074074075E-4</v>
      </c>
      <c r="J3226" s="118">
        <v>7.0717592592592594E-3</v>
      </c>
      <c r="K3226" s="118">
        <v>7.0717592592592594E-3</v>
      </c>
    </row>
    <row r="3227" spans="1:11" x14ac:dyDescent="0.25">
      <c r="A3227">
        <v>5</v>
      </c>
      <c r="B3227">
        <v>13</v>
      </c>
      <c r="C3227"/>
      <c r="D3227" t="s">
        <v>31</v>
      </c>
      <c r="E3227" t="s">
        <v>35</v>
      </c>
      <c r="F3227" t="s">
        <v>40</v>
      </c>
      <c r="G3227" s="118">
        <v>0.65159722222222227</v>
      </c>
      <c r="H3227" s="118">
        <v>4.8611111111111104E-4</v>
      </c>
      <c r="I3227" s="118">
        <v>4.6296296296296293E-4</v>
      </c>
      <c r="J3227"/>
      <c r="K3227"/>
    </row>
    <row r="3228" spans="1:11" x14ac:dyDescent="0.25">
      <c r="A3228">
        <v>3</v>
      </c>
      <c r="B3228">
        <v>12</v>
      </c>
      <c r="C3228"/>
      <c r="D3228" t="s">
        <v>31</v>
      </c>
      <c r="E3228" t="s">
        <v>35</v>
      </c>
      <c r="F3228" t="s">
        <v>48</v>
      </c>
      <c r="G3228" s="118">
        <v>0.65174768518518522</v>
      </c>
      <c r="H3228" s="118">
        <v>9.1435185185185185E-4</v>
      </c>
      <c r="I3228" s="118">
        <v>5.2083333333333333E-4</v>
      </c>
      <c r="J3228"/>
      <c r="K3228"/>
    </row>
    <row r="3229" spans="1:11" x14ac:dyDescent="0.25">
      <c r="A3229">
        <v>4</v>
      </c>
      <c r="B3229">
        <v>12</v>
      </c>
      <c r="C3229"/>
      <c r="D3229" t="s">
        <v>31</v>
      </c>
      <c r="E3229" t="s">
        <v>35</v>
      </c>
      <c r="F3229" t="s">
        <v>43</v>
      </c>
      <c r="G3229" s="118">
        <v>0.65189814814814817</v>
      </c>
      <c r="H3229" s="118">
        <v>1.0995370370370371E-3</v>
      </c>
      <c r="I3229" s="118">
        <v>3.4722222222222224E-4</v>
      </c>
      <c r="J3229"/>
      <c r="K3229"/>
    </row>
    <row r="3230" spans="1:11" x14ac:dyDescent="0.25">
      <c r="A3230">
        <v>5</v>
      </c>
      <c r="B3230">
        <v>13</v>
      </c>
      <c r="C3230"/>
      <c r="D3230" t="s">
        <v>31</v>
      </c>
      <c r="E3230" t="s">
        <v>32</v>
      </c>
      <c r="F3230" t="s">
        <v>40</v>
      </c>
      <c r="G3230" s="118">
        <v>0.65206018518518516</v>
      </c>
      <c r="H3230" s="118">
        <v>4.6296296296296293E-4</v>
      </c>
      <c r="I3230" s="118">
        <v>1.0069444444444444E-3</v>
      </c>
      <c r="J3230" s="118">
        <v>7.0717592592592594E-3</v>
      </c>
      <c r="K3230" s="118">
        <v>7.0717592592592594E-3</v>
      </c>
    </row>
    <row r="3231" spans="1:11" x14ac:dyDescent="0.25">
      <c r="A3231">
        <v>4</v>
      </c>
      <c r="B3231">
        <v>12</v>
      </c>
      <c r="C3231"/>
      <c r="D3231" t="s">
        <v>31</v>
      </c>
      <c r="E3231" t="s">
        <v>32</v>
      </c>
      <c r="F3231" t="s">
        <v>43</v>
      </c>
      <c r="G3231" s="118">
        <v>0.65224537037037034</v>
      </c>
      <c r="H3231" s="118">
        <v>3.4722222222222224E-4</v>
      </c>
      <c r="I3231" s="118">
        <v>1.1458333333333333E-3</v>
      </c>
      <c r="J3231" s="118">
        <v>7.0717592592592594E-3</v>
      </c>
      <c r="K3231" s="118">
        <v>7.0717592592592594E-3</v>
      </c>
    </row>
    <row r="3232" spans="1:11" x14ac:dyDescent="0.25">
      <c r="A3232">
        <v>3</v>
      </c>
      <c r="B3232">
        <v>12</v>
      </c>
      <c r="C3232"/>
      <c r="D3232" t="s">
        <v>31</v>
      </c>
      <c r="E3232" t="s">
        <v>32</v>
      </c>
      <c r="F3232" t="s">
        <v>48</v>
      </c>
      <c r="G3232" s="118">
        <v>0.65226851851851853</v>
      </c>
      <c r="H3232" s="118">
        <v>5.2083333333333333E-4</v>
      </c>
      <c r="I3232" s="118">
        <v>8.6805555555555551E-4</v>
      </c>
      <c r="J3232" s="118">
        <v>7.0717592592592594E-3</v>
      </c>
      <c r="K3232" s="118">
        <v>7.0717592592592594E-3</v>
      </c>
    </row>
    <row r="3233" spans="1:11" x14ac:dyDescent="0.25">
      <c r="A3233">
        <v>1</v>
      </c>
      <c r="B3233">
        <v>12</v>
      </c>
      <c r="C3233"/>
      <c r="D3233" t="s">
        <v>31</v>
      </c>
      <c r="E3233" t="s">
        <v>35</v>
      </c>
      <c r="F3233" t="s">
        <v>39</v>
      </c>
      <c r="G3233" s="118">
        <v>0.65228009259259256</v>
      </c>
      <c r="H3233" s="118">
        <v>9.3750000000000007E-4</v>
      </c>
      <c r="I3233" s="118">
        <v>5.2083333333333333E-4</v>
      </c>
      <c r="J3233"/>
      <c r="K3233"/>
    </row>
    <row r="3234" spans="1:11" x14ac:dyDescent="0.25">
      <c r="A3234">
        <v>2</v>
      </c>
      <c r="B3234">
        <v>13</v>
      </c>
      <c r="C3234"/>
      <c r="D3234" t="s">
        <v>31</v>
      </c>
      <c r="E3234" t="s">
        <v>35</v>
      </c>
      <c r="F3234" t="s">
        <v>34</v>
      </c>
      <c r="G3234" s="118">
        <v>0.65243055555555551</v>
      </c>
      <c r="H3234" s="118">
        <v>8.449074074074075E-4</v>
      </c>
      <c r="I3234" s="118">
        <v>3.4722222222222224E-4</v>
      </c>
      <c r="J3234"/>
      <c r="K3234"/>
    </row>
    <row r="3235" spans="1:11" x14ac:dyDescent="0.25">
      <c r="A3235">
        <v>2</v>
      </c>
      <c r="B3235">
        <v>13</v>
      </c>
      <c r="C3235"/>
      <c r="D3235" t="s">
        <v>31</v>
      </c>
      <c r="E3235" t="s">
        <v>32</v>
      </c>
      <c r="F3235" t="s">
        <v>34</v>
      </c>
      <c r="G3235" s="118">
        <v>0.65277777777777779</v>
      </c>
      <c r="H3235" s="118">
        <v>3.4722222222222224E-4</v>
      </c>
      <c r="I3235" s="118">
        <v>9.1435185185185185E-4</v>
      </c>
      <c r="J3235" s="118">
        <v>7.0717592592592594E-3</v>
      </c>
      <c r="K3235" s="118">
        <v>7.0717592592592594E-3</v>
      </c>
    </row>
    <row r="3236" spans="1:11" x14ac:dyDescent="0.25">
      <c r="A3236">
        <v>1</v>
      </c>
      <c r="B3236">
        <v>12</v>
      </c>
      <c r="C3236"/>
      <c r="D3236" t="s">
        <v>31</v>
      </c>
      <c r="E3236" t="s">
        <v>32</v>
      </c>
      <c r="F3236" t="s">
        <v>39</v>
      </c>
      <c r="G3236" s="118">
        <v>0.65280092592592587</v>
      </c>
      <c r="H3236" s="118">
        <v>5.2083333333333333E-4</v>
      </c>
      <c r="I3236" s="118">
        <v>1.8055555555555557E-3</v>
      </c>
      <c r="J3236" s="118">
        <v>7.0717592592592594E-3</v>
      </c>
      <c r="K3236" s="118">
        <v>7.0717592592592594E-3</v>
      </c>
    </row>
    <row r="3237" spans="1:11" x14ac:dyDescent="0.25">
      <c r="A3237">
        <v>5</v>
      </c>
      <c r="B3237">
        <v>13</v>
      </c>
      <c r="C3237"/>
      <c r="D3237" t="s">
        <v>31</v>
      </c>
      <c r="E3237" t="s">
        <v>35</v>
      </c>
      <c r="F3237" t="s">
        <v>44</v>
      </c>
      <c r="G3237" s="118">
        <v>0.65306712962962965</v>
      </c>
      <c r="H3237" s="118">
        <v>1.0069444444444444E-3</v>
      </c>
      <c r="I3237" s="118">
        <v>3.4722222222222224E-4</v>
      </c>
      <c r="J3237"/>
      <c r="K3237"/>
    </row>
    <row r="3238" spans="1:11" x14ac:dyDescent="0.25">
      <c r="A3238">
        <v>3</v>
      </c>
      <c r="B3238">
        <v>12</v>
      </c>
      <c r="C3238"/>
      <c r="D3238" t="s">
        <v>31</v>
      </c>
      <c r="E3238" t="s">
        <v>35</v>
      </c>
      <c r="F3238" t="s">
        <v>54</v>
      </c>
      <c r="G3238" s="118">
        <v>0.65313657407407411</v>
      </c>
      <c r="H3238" s="118">
        <v>8.6805555555555551E-4</v>
      </c>
      <c r="I3238" s="118">
        <v>3.4722222222222224E-4</v>
      </c>
      <c r="J3238"/>
      <c r="K3238"/>
    </row>
    <row r="3239" spans="1:11" x14ac:dyDescent="0.25">
      <c r="A3239">
        <v>4</v>
      </c>
      <c r="B3239">
        <v>12</v>
      </c>
      <c r="C3239"/>
      <c r="D3239" t="s">
        <v>31</v>
      </c>
      <c r="E3239" t="s">
        <v>35</v>
      </c>
      <c r="F3239" t="s">
        <v>50</v>
      </c>
      <c r="G3239" s="118">
        <v>0.65339120370370374</v>
      </c>
      <c r="H3239" s="118">
        <v>1.1458333333333333E-3</v>
      </c>
      <c r="I3239" s="118">
        <v>3.4722222222222224E-4</v>
      </c>
      <c r="J3239"/>
      <c r="K3239"/>
    </row>
    <row r="3240" spans="1:11" x14ac:dyDescent="0.25">
      <c r="A3240">
        <v>5</v>
      </c>
      <c r="B3240">
        <v>13</v>
      </c>
      <c r="C3240"/>
      <c r="D3240" t="s">
        <v>31</v>
      </c>
      <c r="E3240" t="s">
        <v>32</v>
      </c>
      <c r="F3240" t="s">
        <v>44</v>
      </c>
      <c r="G3240" s="118">
        <v>0.65341435185185182</v>
      </c>
      <c r="H3240" s="118">
        <v>3.4722222222222224E-4</v>
      </c>
      <c r="I3240" s="118">
        <v>9.2592592592592585E-4</v>
      </c>
      <c r="J3240" s="118">
        <v>7.0717592592592594E-3</v>
      </c>
      <c r="K3240" s="118">
        <v>7.0717592592592594E-3</v>
      </c>
    </row>
    <row r="3241" spans="1:11" x14ac:dyDescent="0.25">
      <c r="A3241">
        <v>3</v>
      </c>
      <c r="B3241">
        <v>12</v>
      </c>
      <c r="C3241"/>
      <c r="D3241" t="s">
        <v>31</v>
      </c>
      <c r="E3241" t="s">
        <v>32</v>
      </c>
      <c r="F3241" t="s">
        <v>54</v>
      </c>
      <c r="G3241" s="118">
        <v>0.65348379629629627</v>
      </c>
      <c r="H3241" s="118">
        <v>3.4722222222222224E-4</v>
      </c>
      <c r="I3241" s="118">
        <v>6.9444444444444447E-4</v>
      </c>
      <c r="J3241" s="118">
        <v>7.0717592592592594E-3</v>
      </c>
      <c r="K3241" s="118">
        <v>7.0717592592592594E-3</v>
      </c>
    </row>
    <row r="3242" spans="1:11" x14ac:dyDescent="0.25">
      <c r="A3242">
        <v>2</v>
      </c>
      <c r="B3242">
        <v>13</v>
      </c>
      <c r="C3242"/>
      <c r="D3242" t="s">
        <v>31</v>
      </c>
      <c r="E3242" t="s">
        <v>35</v>
      </c>
      <c r="F3242" t="s">
        <v>38</v>
      </c>
      <c r="G3242" s="118">
        <v>0.65369212962962964</v>
      </c>
      <c r="H3242" s="118">
        <v>9.1435185185185185E-4</v>
      </c>
      <c r="I3242" s="118">
        <v>3.4722222222222224E-4</v>
      </c>
      <c r="J3242"/>
      <c r="K3242"/>
    </row>
    <row r="3243" spans="1:11" x14ac:dyDescent="0.25">
      <c r="A3243">
        <v>4</v>
      </c>
      <c r="B3243">
        <v>12</v>
      </c>
      <c r="C3243"/>
      <c r="D3243" t="s">
        <v>31</v>
      </c>
      <c r="E3243" t="s">
        <v>32</v>
      </c>
      <c r="F3243" t="s">
        <v>50</v>
      </c>
      <c r="G3243" s="118">
        <v>0.6537384259259259</v>
      </c>
      <c r="H3243" s="118">
        <v>3.4722222222222224E-4</v>
      </c>
      <c r="I3243" s="118">
        <v>1.261574074074074E-3</v>
      </c>
      <c r="J3243" s="118">
        <v>7.0717592592592594E-3</v>
      </c>
      <c r="K3243" s="118">
        <v>7.0717592592592594E-3</v>
      </c>
    </row>
    <row r="3244" spans="1:11" x14ac:dyDescent="0.25">
      <c r="A3244">
        <v>2</v>
      </c>
      <c r="B3244">
        <v>13</v>
      </c>
      <c r="C3244"/>
      <c r="D3244" t="s">
        <v>31</v>
      </c>
      <c r="E3244" t="s">
        <v>32</v>
      </c>
      <c r="F3244" t="s">
        <v>38</v>
      </c>
      <c r="G3244" s="118">
        <v>0.6540393518518518</v>
      </c>
      <c r="H3244" s="118">
        <v>3.4722222222222224E-4</v>
      </c>
      <c r="I3244" s="118">
        <v>1.2384259259259258E-3</v>
      </c>
      <c r="J3244" s="118">
        <v>7.0717592592592594E-3</v>
      </c>
      <c r="K3244" s="118">
        <v>7.0717592592592594E-3</v>
      </c>
    </row>
    <row r="3245" spans="1:11" x14ac:dyDescent="0.25">
      <c r="A3245">
        <v>3</v>
      </c>
      <c r="B3245">
        <v>12</v>
      </c>
      <c r="C3245"/>
      <c r="D3245" t="s">
        <v>31</v>
      </c>
      <c r="E3245" t="s">
        <v>35</v>
      </c>
      <c r="F3245" t="s">
        <v>92</v>
      </c>
      <c r="G3245" s="118">
        <v>0.65417824074074071</v>
      </c>
      <c r="H3245" s="118">
        <v>6.9444444444444447E-4</v>
      </c>
      <c r="I3245" s="118">
        <v>5.2083333333333333E-4</v>
      </c>
      <c r="J3245"/>
      <c r="K3245"/>
    </row>
    <row r="3246" spans="1:11" x14ac:dyDescent="0.25">
      <c r="A3246">
        <v>5</v>
      </c>
      <c r="B3246">
        <v>13</v>
      </c>
      <c r="C3246"/>
      <c r="D3246" t="s">
        <v>31</v>
      </c>
      <c r="E3246" t="s">
        <v>35</v>
      </c>
      <c r="F3246" t="s">
        <v>49</v>
      </c>
      <c r="G3246" s="118">
        <v>0.65434027777777781</v>
      </c>
      <c r="H3246" s="118">
        <v>9.2592592592592585E-4</v>
      </c>
      <c r="I3246" s="118">
        <v>3.4722222222222224E-4</v>
      </c>
      <c r="J3246"/>
      <c r="K3246"/>
    </row>
    <row r="3247" spans="1:11" x14ac:dyDescent="0.25">
      <c r="A3247">
        <v>1</v>
      </c>
      <c r="B3247">
        <v>12</v>
      </c>
      <c r="C3247"/>
      <c r="D3247" t="s">
        <v>31</v>
      </c>
      <c r="E3247" t="s">
        <v>35</v>
      </c>
      <c r="F3247" t="s">
        <v>46</v>
      </c>
      <c r="G3247" s="118">
        <v>0.65460648148148148</v>
      </c>
      <c r="H3247" s="118">
        <v>1.8055555555555557E-3</v>
      </c>
      <c r="I3247" s="118">
        <v>3.4722222222222224E-4</v>
      </c>
      <c r="J3247"/>
      <c r="K3247"/>
    </row>
    <row r="3248" spans="1:11" x14ac:dyDescent="0.25">
      <c r="A3248">
        <v>5</v>
      </c>
      <c r="B3248">
        <v>13</v>
      </c>
      <c r="C3248"/>
      <c r="D3248" t="s">
        <v>31</v>
      </c>
      <c r="E3248" t="s">
        <v>32</v>
      </c>
      <c r="F3248" t="s">
        <v>49</v>
      </c>
      <c r="G3248" s="118">
        <v>0.65468749999999998</v>
      </c>
      <c r="H3248" s="118">
        <v>3.4722222222222224E-4</v>
      </c>
      <c r="I3248" s="118">
        <v>1.3541666666666667E-3</v>
      </c>
      <c r="J3248" s="118">
        <v>7.0717592592592594E-3</v>
      </c>
      <c r="K3248" s="118">
        <v>7.0717592592592594E-3</v>
      </c>
    </row>
    <row r="3249" spans="1:11" x14ac:dyDescent="0.25">
      <c r="A3249">
        <v>3</v>
      </c>
      <c r="B3249">
        <v>13</v>
      </c>
      <c r="C3249"/>
      <c r="D3249" t="s">
        <v>31</v>
      </c>
      <c r="E3249" t="s">
        <v>32</v>
      </c>
      <c r="F3249" t="s">
        <v>92</v>
      </c>
      <c r="G3249" s="118">
        <v>0.65469907407407402</v>
      </c>
      <c r="H3249" s="118">
        <v>5.2083333333333333E-4</v>
      </c>
      <c r="I3249" s="118">
        <v>1.0069444444444444E-3</v>
      </c>
      <c r="J3249" s="118">
        <v>7.0717592592592594E-3</v>
      </c>
      <c r="K3249" s="118">
        <v>7.0717592592592594E-3</v>
      </c>
    </row>
    <row r="3250" spans="1:11" x14ac:dyDescent="0.25">
      <c r="A3250">
        <v>1</v>
      </c>
      <c r="B3250">
        <v>12</v>
      </c>
      <c r="C3250"/>
      <c r="D3250" t="s">
        <v>31</v>
      </c>
      <c r="E3250" t="s">
        <v>32</v>
      </c>
      <c r="F3250" t="s">
        <v>46</v>
      </c>
      <c r="G3250" s="118">
        <v>0.65495370370370376</v>
      </c>
      <c r="H3250" s="118">
        <v>3.4722222222222224E-4</v>
      </c>
      <c r="I3250" s="118">
        <v>9.1435185185185185E-4</v>
      </c>
      <c r="J3250" s="118">
        <v>7.0717592592592594E-3</v>
      </c>
      <c r="K3250" s="118">
        <v>7.0717592592592594E-3</v>
      </c>
    </row>
    <row r="3251" spans="1:11" x14ac:dyDescent="0.25">
      <c r="A3251">
        <v>4</v>
      </c>
      <c r="B3251">
        <v>12</v>
      </c>
      <c r="C3251"/>
      <c r="D3251" t="s">
        <v>31</v>
      </c>
      <c r="E3251" t="s">
        <v>35</v>
      </c>
      <c r="F3251" t="s">
        <v>56</v>
      </c>
      <c r="G3251" s="118">
        <v>0.65500000000000003</v>
      </c>
      <c r="H3251" s="118">
        <v>1.261574074074074E-3</v>
      </c>
      <c r="I3251" s="118">
        <v>3.4722222222222224E-4</v>
      </c>
      <c r="J3251"/>
      <c r="K3251"/>
    </row>
    <row r="3252" spans="1:11" x14ac:dyDescent="0.25">
      <c r="A3252">
        <v>2</v>
      </c>
      <c r="B3252">
        <v>13</v>
      </c>
      <c r="C3252"/>
      <c r="D3252" t="s">
        <v>31</v>
      </c>
      <c r="E3252" t="s">
        <v>35</v>
      </c>
      <c r="F3252" t="s">
        <v>45</v>
      </c>
      <c r="G3252" s="118">
        <v>0.65527777777777774</v>
      </c>
      <c r="H3252" s="118">
        <v>1.2384259259259258E-3</v>
      </c>
      <c r="I3252" s="118">
        <v>3.4722222222222224E-4</v>
      </c>
      <c r="J3252"/>
      <c r="K3252"/>
    </row>
    <row r="3253" spans="1:11" x14ac:dyDescent="0.25">
      <c r="A3253">
        <v>4</v>
      </c>
      <c r="B3253">
        <v>12</v>
      </c>
      <c r="C3253"/>
      <c r="D3253" t="s">
        <v>31</v>
      </c>
      <c r="E3253" t="s">
        <v>32</v>
      </c>
      <c r="F3253" t="s">
        <v>56</v>
      </c>
      <c r="G3253" s="118">
        <v>0.65534722222222219</v>
      </c>
      <c r="H3253" s="118">
        <v>3.4722222222222224E-4</v>
      </c>
      <c r="I3253" s="118">
        <v>9.6064814814814808E-4</v>
      </c>
      <c r="J3253" s="118">
        <v>7.0717592592592594E-3</v>
      </c>
      <c r="K3253" s="118">
        <v>7.0717592592592594E-3</v>
      </c>
    </row>
    <row r="3254" spans="1:11" x14ac:dyDescent="0.25">
      <c r="A3254">
        <v>2</v>
      </c>
      <c r="B3254">
        <v>13</v>
      </c>
      <c r="C3254"/>
      <c r="D3254" t="s">
        <v>31</v>
      </c>
      <c r="E3254" t="s">
        <v>32</v>
      </c>
      <c r="F3254" t="s">
        <v>45</v>
      </c>
      <c r="G3254" s="118">
        <v>0.65562500000000001</v>
      </c>
      <c r="H3254" s="118">
        <v>3.4722222222222224E-4</v>
      </c>
      <c r="I3254" s="118">
        <v>1.0416666666666667E-3</v>
      </c>
      <c r="J3254" s="118">
        <v>7.0717592592592594E-3</v>
      </c>
      <c r="K3254" s="118">
        <v>7.0717592592592594E-3</v>
      </c>
    </row>
    <row r="3255" spans="1:11" x14ac:dyDescent="0.25">
      <c r="A3255">
        <v>3</v>
      </c>
      <c r="B3255">
        <v>13</v>
      </c>
      <c r="C3255"/>
      <c r="D3255" t="s">
        <v>31</v>
      </c>
      <c r="E3255" t="s">
        <v>35</v>
      </c>
      <c r="F3255" t="s">
        <v>41</v>
      </c>
      <c r="G3255" s="118">
        <v>0.65570601851851851</v>
      </c>
      <c r="H3255" s="118">
        <v>1.0069444444444444E-3</v>
      </c>
      <c r="I3255" s="118">
        <v>3.4722222222222224E-4</v>
      </c>
      <c r="J3255"/>
      <c r="K3255"/>
    </row>
    <row r="3256" spans="1:11" x14ac:dyDescent="0.25">
      <c r="A3256">
        <v>1</v>
      </c>
      <c r="B3256">
        <v>12</v>
      </c>
      <c r="C3256"/>
      <c r="D3256" t="s">
        <v>31</v>
      </c>
      <c r="E3256" t="s">
        <v>35</v>
      </c>
      <c r="F3256" t="s">
        <v>51</v>
      </c>
      <c r="G3256" s="118">
        <v>0.6558680555555555</v>
      </c>
      <c r="H3256" s="118">
        <v>9.1435185185185185E-4</v>
      </c>
      <c r="I3256" s="118">
        <v>3.4722222222222224E-4</v>
      </c>
      <c r="J3256"/>
      <c r="K3256"/>
    </row>
    <row r="3257" spans="1:11" x14ac:dyDescent="0.25">
      <c r="A3257">
        <v>5</v>
      </c>
      <c r="B3257">
        <v>13</v>
      </c>
      <c r="C3257"/>
      <c r="D3257" t="s">
        <v>31</v>
      </c>
      <c r="E3257" t="s">
        <v>35</v>
      </c>
      <c r="F3257" t="s">
        <v>33</v>
      </c>
      <c r="G3257" s="118">
        <v>0.65604166666666663</v>
      </c>
      <c r="H3257" s="118">
        <v>1.3541666666666667E-3</v>
      </c>
      <c r="I3257" s="118">
        <v>5.2083333333333333E-4</v>
      </c>
      <c r="J3257"/>
      <c r="K3257"/>
    </row>
    <row r="3258" spans="1:11" x14ac:dyDescent="0.25">
      <c r="A3258">
        <v>3</v>
      </c>
      <c r="B3258">
        <v>13</v>
      </c>
      <c r="C3258"/>
      <c r="D3258" t="s">
        <v>31</v>
      </c>
      <c r="E3258" t="s">
        <v>32</v>
      </c>
      <c r="F3258" t="s">
        <v>41</v>
      </c>
      <c r="G3258" s="118">
        <v>0.65605324074074078</v>
      </c>
      <c r="H3258" s="118">
        <v>3.4722222222222224E-4</v>
      </c>
      <c r="I3258" s="118">
        <v>8.564814814814815E-4</v>
      </c>
      <c r="J3258" s="118">
        <v>7.0717592592592594E-3</v>
      </c>
      <c r="K3258" s="118">
        <v>7.0717592592592594E-3</v>
      </c>
    </row>
    <row r="3259" spans="1:11" x14ac:dyDescent="0.25">
      <c r="A3259">
        <v>1</v>
      </c>
      <c r="B3259">
        <v>12</v>
      </c>
      <c r="C3259"/>
      <c r="D3259" t="s">
        <v>31</v>
      </c>
      <c r="E3259" t="s">
        <v>32</v>
      </c>
      <c r="F3259" t="s">
        <v>51</v>
      </c>
      <c r="G3259" s="118">
        <v>0.65621527777777777</v>
      </c>
      <c r="H3259" s="118">
        <v>3.4722222222222224E-4</v>
      </c>
      <c r="I3259" s="118">
        <v>1.0069444444444444E-3</v>
      </c>
      <c r="J3259" s="118">
        <v>7.0717592592592594E-3</v>
      </c>
      <c r="K3259" s="118">
        <v>7.0717592592592594E-3</v>
      </c>
    </row>
    <row r="3260" spans="1:11" x14ac:dyDescent="0.25">
      <c r="A3260">
        <v>4</v>
      </c>
      <c r="B3260">
        <v>12</v>
      </c>
      <c r="C3260"/>
      <c r="D3260" t="s">
        <v>31</v>
      </c>
      <c r="E3260" t="s">
        <v>35</v>
      </c>
      <c r="F3260" t="s">
        <v>37</v>
      </c>
      <c r="G3260" s="118">
        <v>0.65630787037037031</v>
      </c>
      <c r="H3260" s="118">
        <v>9.6064814814814808E-4</v>
      </c>
      <c r="I3260" s="118">
        <v>3.4722222222222224E-4</v>
      </c>
      <c r="J3260"/>
      <c r="K3260"/>
    </row>
    <row r="3261" spans="1:11" x14ac:dyDescent="0.25">
      <c r="A3261">
        <v>5</v>
      </c>
      <c r="B3261">
        <v>13</v>
      </c>
      <c r="C3261"/>
      <c r="D3261" t="s">
        <v>31</v>
      </c>
      <c r="E3261" t="s">
        <v>32</v>
      </c>
      <c r="F3261" t="s">
        <v>33</v>
      </c>
      <c r="G3261" s="118">
        <v>0.65656250000000005</v>
      </c>
      <c r="H3261" s="118">
        <v>5.2083333333333333E-4</v>
      </c>
      <c r="I3261" s="118">
        <v>9.6064814814814808E-4</v>
      </c>
      <c r="J3261" s="118">
        <v>7.0717592592592594E-3</v>
      </c>
      <c r="K3261" s="118">
        <v>7.0717592592592594E-3</v>
      </c>
    </row>
    <row r="3262" spans="1:11" x14ac:dyDescent="0.25">
      <c r="A3262">
        <v>4</v>
      </c>
      <c r="B3262">
        <v>12</v>
      </c>
      <c r="C3262"/>
      <c r="D3262" t="s">
        <v>31</v>
      </c>
      <c r="E3262" t="s">
        <v>32</v>
      </c>
      <c r="F3262" t="s">
        <v>37</v>
      </c>
      <c r="G3262" s="118">
        <v>0.65665509259259258</v>
      </c>
      <c r="H3262" s="118">
        <v>3.4722222222222224E-4</v>
      </c>
      <c r="I3262" s="118">
        <v>9.0277777777777784E-4</v>
      </c>
      <c r="J3262" s="118">
        <v>7.0717592592592594E-3</v>
      </c>
      <c r="K3262" s="118">
        <v>7.0717592592592594E-3</v>
      </c>
    </row>
    <row r="3263" spans="1:11" x14ac:dyDescent="0.25">
      <c r="A3263">
        <v>2</v>
      </c>
      <c r="B3263">
        <v>13</v>
      </c>
      <c r="C3263"/>
      <c r="D3263" t="s">
        <v>31</v>
      </c>
      <c r="E3263" t="s">
        <v>35</v>
      </c>
      <c r="F3263" t="s">
        <v>52</v>
      </c>
      <c r="G3263" s="118">
        <v>0.65666666666666662</v>
      </c>
      <c r="H3263" s="118">
        <v>1.0416666666666667E-3</v>
      </c>
      <c r="I3263" s="118">
        <v>3.4722222222222224E-4</v>
      </c>
      <c r="J3263"/>
      <c r="K3263"/>
    </row>
    <row r="3264" spans="1:11" x14ac:dyDescent="0.25">
      <c r="A3264">
        <v>3</v>
      </c>
      <c r="B3264">
        <v>13</v>
      </c>
      <c r="C3264"/>
      <c r="D3264" t="s">
        <v>31</v>
      </c>
      <c r="E3264" t="s">
        <v>35</v>
      </c>
      <c r="F3264" t="s">
        <v>47</v>
      </c>
      <c r="G3264" s="118">
        <v>0.65690972222222221</v>
      </c>
      <c r="H3264" s="118">
        <v>8.564814814814815E-4</v>
      </c>
      <c r="I3264" s="118">
        <v>5.2083333333333333E-4</v>
      </c>
      <c r="J3264"/>
      <c r="K3264"/>
    </row>
    <row r="3265" spans="1:11" x14ac:dyDescent="0.25">
      <c r="A3265">
        <v>2</v>
      </c>
      <c r="B3265">
        <v>13</v>
      </c>
      <c r="C3265"/>
      <c r="D3265" t="s">
        <v>31</v>
      </c>
      <c r="E3265" t="s">
        <v>32</v>
      </c>
      <c r="F3265" t="s">
        <v>52</v>
      </c>
      <c r="G3265" s="118">
        <v>0.6570138888888889</v>
      </c>
      <c r="H3265" s="118">
        <v>3.4722222222222224E-4</v>
      </c>
      <c r="I3265" s="118">
        <v>1.0532407407407407E-3</v>
      </c>
      <c r="J3265" s="118">
        <v>7.0717592592592594E-3</v>
      </c>
      <c r="K3265" s="118">
        <v>7.0717592592592594E-3</v>
      </c>
    </row>
    <row r="3266" spans="1:11" x14ac:dyDescent="0.25">
      <c r="A3266">
        <v>1</v>
      </c>
      <c r="B3266">
        <v>12</v>
      </c>
      <c r="C3266"/>
      <c r="D3266" t="s">
        <v>31</v>
      </c>
      <c r="E3266" t="s">
        <v>35</v>
      </c>
      <c r="F3266" t="s">
        <v>55</v>
      </c>
      <c r="G3266" s="118">
        <v>0.65722222222222226</v>
      </c>
      <c r="H3266" s="118">
        <v>1.0069444444444444E-3</v>
      </c>
      <c r="I3266" s="118">
        <v>4.6296296296296293E-4</v>
      </c>
      <c r="J3266"/>
      <c r="K3266"/>
    </row>
    <row r="3267" spans="1:11" x14ac:dyDescent="0.25">
      <c r="A3267">
        <v>3</v>
      </c>
      <c r="B3267">
        <v>13</v>
      </c>
      <c r="C3267"/>
      <c r="D3267" t="s">
        <v>31</v>
      </c>
      <c r="E3267" t="s">
        <v>32</v>
      </c>
      <c r="F3267" t="s">
        <v>47</v>
      </c>
      <c r="G3267" s="118">
        <v>0.65743055555555563</v>
      </c>
      <c r="H3267" s="118">
        <v>5.2083333333333333E-4</v>
      </c>
      <c r="I3267" s="118">
        <v>8.7962962962962962E-4</v>
      </c>
      <c r="J3267" s="118">
        <v>7.0717592592592594E-3</v>
      </c>
      <c r="K3267" s="118">
        <v>7.0717592592592594E-3</v>
      </c>
    </row>
    <row r="3268" spans="1:11" x14ac:dyDescent="0.25">
      <c r="A3268">
        <v>5</v>
      </c>
      <c r="B3268">
        <v>13</v>
      </c>
      <c r="C3268"/>
      <c r="D3268" t="s">
        <v>31</v>
      </c>
      <c r="E3268" t="s">
        <v>35</v>
      </c>
      <c r="F3268" t="s">
        <v>36</v>
      </c>
      <c r="G3268" s="118">
        <v>0.65752314814814816</v>
      </c>
      <c r="H3268" s="118">
        <v>9.6064814814814808E-4</v>
      </c>
      <c r="I3268" s="118">
        <v>3.4722222222222224E-4</v>
      </c>
      <c r="J3268"/>
      <c r="K3268"/>
    </row>
    <row r="3269" spans="1:11" x14ac:dyDescent="0.25">
      <c r="A3269">
        <v>4</v>
      </c>
      <c r="B3269">
        <v>12</v>
      </c>
      <c r="C3269"/>
      <c r="D3269" t="s">
        <v>31</v>
      </c>
      <c r="E3269" t="s">
        <v>35</v>
      </c>
      <c r="F3269" t="s">
        <v>42</v>
      </c>
      <c r="G3269" s="118">
        <v>0.65755787037037039</v>
      </c>
      <c r="H3269" s="118">
        <v>9.0277777777777784E-4</v>
      </c>
      <c r="I3269" s="118">
        <v>3.4722222222222224E-4</v>
      </c>
      <c r="J3269"/>
      <c r="K3269"/>
    </row>
    <row r="3270" spans="1:11" x14ac:dyDescent="0.25">
      <c r="A3270">
        <v>1</v>
      </c>
      <c r="B3270">
        <v>12</v>
      </c>
      <c r="C3270"/>
      <c r="D3270" t="s">
        <v>31</v>
      </c>
      <c r="E3270" t="s">
        <v>32</v>
      </c>
      <c r="F3270" t="s">
        <v>55</v>
      </c>
      <c r="G3270" s="118">
        <v>0.65768518518518515</v>
      </c>
      <c r="H3270" s="118">
        <v>4.6296296296296293E-4</v>
      </c>
      <c r="I3270" s="118">
        <v>4.3981481481481481E-4</v>
      </c>
      <c r="J3270" s="118">
        <v>7.0717592592592594E-3</v>
      </c>
      <c r="K3270" s="118">
        <v>7.0717592592592594E-3</v>
      </c>
    </row>
    <row r="3271" spans="1:11" x14ac:dyDescent="0.25">
      <c r="A3271">
        <v>5</v>
      </c>
      <c r="B3271">
        <v>13</v>
      </c>
      <c r="C3271"/>
      <c r="D3271" t="s">
        <v>31</v>
      </c>
      <c r="E3271" t="s">
        <v>32</v>
      </c>
      <c r="F3271" t="s">
        <v>36</v>
      </c>
      <c r="G3271" s="118">
        <v>0.65787037037037044</v>
      </c>
      <c r="H3271" s="118">
        <v>3.4722222222222224E-4</v>
      </c>
      <c r="I3271" s="118">
        <v>1.0995370370370371E-3</v>
      </c>
      <c r="J3271" s="118">
        <v>7.0717592592592594E-3</v>
      </c>
      <c r="K3271" s="118">
        <v>7.0717592592592594E-3</v>
      </c>
    </row>
    <row r="3272" spans="1:11" x14ac:dyDescent="0.25">
      <c r="A3272">
        <v>4</v>
      </c>
      <c r="B3272">
        <v>12</v>
      </c>
      <c r="C3272"/>
      <c r="D3272" t="s">
        <v>31</v>
      </c>
      <c r="E3272" t="s">
        <v>32</v>
      </c>
      <c r="F3272" t="s">
        <v>42</v>
      </c>
      <c r="G3272" s="118">
        <v>0.65790509259259256</v>
      </c>
      <c r="H3272" s="118">
        <v>3.4722222222222224E-4</v>
      </c>
      <c r="I3272" s="118">
        <v>9.1435185185185185E-4</v>
      </c>
      <c r="J3272" s="118">
        <v>7.0717592592592594E-3</v>
      </c>
      <c r="K3272" s="118">
        <v>7.0717592592592594E-3</v>
      </c>
    </row>
    <row r="3273" spans="1:11" x14ac:dyDescent="0.25">
      <c r="A3273">
        <v>2</v>
      </c>
      <c r="B3273">
        <v>13</v>
      </c>
      <c r="C3273"/>
      <c r="D3273" t="s">
        <v>31</v>
      </c>
      <c r="E3273" t="s">
        <v>35</v>
      </c>
      <c r="F3273" t="s">
        <v>57</v>
      </c>
      <c r="G3273" s="118">
        <v>0.65806712962962965</v>
      </c>
      <c r="H3273" s="118">
        <v>1.0532407407407407E-3</v>
      </c>
      <c r="I3273" s="118">
        <v>3.4722222222222224E-4</v>
      </c>
      <c r="J3273"/>
      <c r="K3273"/>
    </row>
    <row r="3274" spans="1:11" x14ac:dyDescent="0.25">
      <c r="A3274">
        <v>1</v>
      </c>
      <c r="B3274">
        <v>12</v>
      </c>
      <c r="C3274"/>
      <c r="D3274" t="s">
        <v>31</v>
      </c>
      <c r="E3274" t="s">
        <v>35</v>
      </c>
      <c r="F3274" t="s">
        <v>58</v>
      </c>
      <c r="G3274" s="118">
        <v>0.65812499999999996</v>
      </c>
      <c r="H3274" s="118">
        <v>4.3981481481481481E-4</v>
      </c>
      <c r="I3274" s="118">
        <v>5.7870370370370366E-5</v>
      </c>
      <c r="J3274"/>
      <c r="K3274"/>
    </row>
    <row r="3275" spans="1:11" x14ac:dyDescent="0.25">
      <c r="A3275">
        <v>1</v>
      </c>
      <c r="B3275">
        <v>12</v>
      </c>
      <c r="C3275"/>
      <c r="D3275" t="s">
        <v>31</v>
      </c>
      <c r="E3275" t="s">
        <v>32</v>
      </c>
      <c r="F3275" t="s">
        <v>58</v>
      </c>
      <c r="G3275" s="118">
        <v>0.65818287037037038</v>
      </c>
      <c r="H3275" s="118">
        <v>5.7870370370370366E-5</v>
      </c>
      <c r="I3275" s="118">
        <v>4.8611111111111104E-4</v>
      </c>
      <c r="J3275" s="118">
        <v>7.0717592592592594E-3</v>
      </c>
      <c r="K3275" s="118">
        <v>7.0717592592592594E-3</v>
      </c>
    </row>
    <row r="3276" spans="1:11" x14ac:dyDescent="0.25">
      <c r="A3276">
        <v>3</v>
      </c>
      <c r="B3276">
        <v>13</v>
      </c>
      <c r="C3276"/>
      <c r="D3276" t="s">
        <v>31</v>
      </c>
      <c r="E3276" t="s">
        <v>35</v>
      </c>
      <c r="F3276" t="s">
        <v>53</v>
      </c>
      <c r="G3276" s="118">
        <v>0.65831018518518525</v>
      </c>
      <c r="H3276" s="118">
        <v>8.7962962962962962E-4</v>
      </c>
      <c r="I3276" s="118">
        <v>3.4722222222222224E-4</v>
      </c>
      <c r="J3276"/>
      <c r="K3276"/>
    </row>
    <row r="3277" spans="1:11" x14ac:dyDescent="0.25">
      <c r="A3277">
        <v>2</v>
      </c>
      <c r="B3277">
        <v>13</v>
      </c>
      <c r="C3277"/>
      <c r="D3277" t="s">
        <v>31</v>
      </c>
      <c r="E3277" t="s">
        <v>32</v>
      </c>
      <c r="F3277" t="s">
        <v>57</v>
      </c>
      <c r="G3277" s="118">
        <v>0.65841435185185182</v>
      </c>
      <c r="H3277" s="118">
        <v>3.4722222222222224E-4</v>
      </c>
      <c r="I3277" s="118">
        <v>9.3750000000000007E-4</v>
      </c>
      <c r="J3277" s="118">
        <v>7.0717592592592594E-3</v>
      </c>
      <c r="K3277" s="118">
        <v>7.0717592592592594E-3</v>
      </c>
    </row>
    <row r="3278" spans="1:11" x14ac:dyDescent="0.25">
      <c r="A3278">
        <v>3</v>
      </c>
      <c r="B3278">
        <v>13</v>
      </c>
      <c r="C3278"/>
      <c r="D3278" t="s">
        <v>31</v>
      </c>
      <c r="E3278" t="s">
        <v>32</v>
      </c>
      <c r="F3278" t="s">
        <v>53</v>
      </c>
      <c r="G3278" s="118">
        <v>0.65865740740740741</v>
      </c>
      <c r="H3278" s="118">
        <v>3.4722222222222224E-4</v>
      </c>
      <c r="I3278" s="118">
        <v>8.449074074074075E-4</v>
      </c>
      <c r="J3278" s="118">
        <v>7.0717592592592594E-3</v>
      </c>
      <c r="K3278" s="118">
        <v>7.0717592592592594E-3</v>
      </c>
    </row>
    <row r="3279" spans="1:11" x14ac:dyDescent="0.25">
      <c r="A3279">
        <v>1</v>
      </c>
      <c r="B3279">
        <v>12</v>
      </c>
      <c r="C3279"/>
      <c r="D3279" t="s">
        <v>31</v>
      </c>
      <c r="E3279" t="s">
        <v>35</v>
      </c>
      <c r="F3279" t="s">
        <v>40</v>
      </c>
      <c r="G3279" s="118">
        <v>0.65866898148148145</v>
      </c>
      <c r="H3279" s="118">
        <v>4.8611111111111104E-4</v>
      </c>
      <c r="I3279" s="118">
        <v>4.6296296296296293E-4</v>
      </c>
      <c r="J3279"/>
      <c r="K3279"/>
    </row>
    <row r="3280" spans="1:11" x14ac:dyDescent="0.25">
      <c r="A3280">
        <v>4</v>
      </c>
      <c r="B3280">
        <v>12</v>
      </c>
      <c r="C3280"/>
      <c r="D3280" t="s">
        <v>31</v>
      </c>
      <c r="E3280" t="s">
        <v>35</v>
      </c>
      <c r="F3280" t="s">
        <v>48</v>
      </c>
      <c r="G3280" s="118">
        <v>0.65881944444444451</v>
      </c>
      <c r="H3280" s="118">
        <v>9.1435185185185185E-4</v>
      </c>
      <c r="I3280" s="118">
        <v>5.2083333333333333E-4</v>
      </c>
      <c r="J3280"/>
      <c r="K3280"/>
    </row>
    <row r="3281" spans="1:11" x14ac:dyDescent="0.25">
      <c r="A3281">
        <v>5</v>
      </c>
      <c r="B3281">
        <v>13</v>
      </c>
      <c r="C3281"/>
      <c r="D3281" t="s">
        <v>31</v>
      </c>
      <c r="E3281" t="s">
        <v>35</v>
      </c>
      <c r="F3281" t="s">
        <v>43</v>
      </c>
      <c r="G3281" s="118">
        <v>0.65896990740740746</v>
      </c>
      <c r="H3281" s="118">
        <v>1.0995370370370371E-3</v>
      </c>
      <c r="I3281" s="118">
        <v>3.4722222222222224E-4</v>
      </c>
      <c r="J3281"/>
      <c r="K3281"/>
    </row>
    <row r="3282" spans="1:11" x14ac:dyDescent="0.25">
      <c r="A3282">
        <v>1</v>
      </c>
      <c r="B3282">
        <v>12</v>
      </c>
      <c r="C3282"/>
      <c r="D3282" t="s">
        <v>31</v>
      </c>
      <c r="E3282" t="s">
        <v>32</v>
      </c>
      <c r="F3282" t="s">
        <v>40</v>
      </c>
      <c r="G3282" s="118">
        <v>0.65913194444444445</v>
      </c>
      <c r="H3282" s="118">
        <v>4.6296296296296293E-4</v>
      </c>
      <c r="I3282" s="118">
        <v>1.0069444444444444E-3</v>
      </c>
      <c r="J3282" s="118">
        <v>7.0717592592592594E-3</v>
      </c>
      <c r="K3282" s="118">
        <v>7.0717592592592594E-3</v>
      </c>
    </row>
    <row r="3283" spans="1:11" x14ac:dyDescent="0.25">
      <c r="A3283">
        <v>5</v>
      </c>
      <c r="B3283">
        <v>13</v>
      </c>
      <c r="C3283"/>
      <c r="D3283" t="s">
        <v>31</v>
      </c>
      <c r="E3283" t="s">
        <v>32</v>
      </c>
      <c r="F3283" t="s">
        <v>43</v>
      </c>
      <c r="G3283" s="118">
        <v>0.65931712962962963</v>
      </c>
      <c r="H3283" s="118">
        <v>3.4722222222222224E-4</v>
      </c>
      <c r="I3283" s="118">
        <v>1.1458333333333333E-3</v>
      </c>
      <c r="J3283" s="118">
        <v>7.0717592592592594E-3</v>
      </c>
      <c r="K3283" s="118">
        <v>7.0717592592592594E-3</v>
      </c>
    </row>
    <row r="3284" spans="1:11" x14ac:dyDescent="0.25">
      <c r="A3284">
        <v>4</v>
      </c>
      <c r="B3284">
        <v>12</v>
      </c>
      <c r="C3284"/>
      <c r="D3284" t="s">
        <v>31</v>
      </c>
      <c r="E3284" t="s">
        <v>32</v>
      </c>
      <c r="F3284" t="s">
        <v>48</v>
      </c>
      <c r="G3284" s="118">
        <v>0.65934027777777782</v>
      </c>
      <c r="H3284" s="118">
        <v>5.2083333333333333E-4</v>
      </c>
      <c r="I3284" s="118">
        <v>8.6805555555555551E-4</v>
      </c>
      <c r="J3284" s="118">
        <v>7.0717592592592594E-3</v>
      </c>
      <c r="K3284" s="118">
        <v>7.0717592592592594E-3</v>
      </c>
    </row>
    <row r="3285" spans="1:11" x14ac:dyDescent="0.25">
      <c r="A3285">
        <v>2</v>
      </c>
      <c r="B3285">
        <v>13</v>
      </c>
      <c r="C3285"/>
      <c r="D3285" t="s">
        <v>31</v>
      </c>
      <c r="E3285" t="s">
        <v>35</v>
      </c>
      <c r="F3285" t="s">
        <v>39</v>
      </c>
      <c r="G3285" s="118">
        <v>0.65935185185185186</v>
      </c>
      <c r="H3285" s="118">
        <v>9.3750000000000007E-4</v>
      </c>
      <c r="I3285" s="118">
        <v>5.2083333333333333E-4</v>
      </c>
      <c r="J3285"/>
      <c r="K3285"/>
    </row>
    <row r="3286" spans="1:11" x14ac:dyDescent="0.25">
      <c r="A3286">
        <v>3</v>
      </c>
      <c r="B3286">
        <v>13</v>
      </c>
      <c r="C3286"/>
      <c r="D3286" t="s">
        <v>31</v>
      </c>
      <c r="E3286" t="s">
        <v>35</v>
      </c>
      <c r="F3286" t="s">
        <v>34</v>
      </c>
      <c r="G3286" s="118">
        <v>0.65950231481481481</v>
      </c>
      <c r="H3286" s="118">
        <v>8.449074074074075E-4</v>
      </c>
      <c r="I3286" s="118">
        <v>3.4722222222222224E-4</v>
      </c>
      <c r="J3286"/>
      <c r="K3286"/>
    </row>
    <row r="3287" spans="1:11" x14ac:dyDescent="0.25">
      <c r="A3287">
        <v>3</v>
      </c>
      <c r="B3287">
        <v>13</v>
      </c>
      <c r="C3287"/>
      <c r="D3287" t="s">
        <v>31</v>
      </c>
      <c r="E3287" t="s">
        <v>32</v>
      </c>
      <c r="F3287" t="s">
        <v>34</v>
      </c>
      <c r="G3287" s="118">
        <v>0.65984953703703708</v>
      </c>
      <c r="H3287" s="118">
        <v>3.4722222222222224E-4</v>
      </c>
      <c r="I3287" s="118">
        <v>9.1435185185185185E-4</v>
      </c>
      <c r="J3287" s="118">
        <v>7.0717592592592594E-3</v>
      </c>
      <c r="K3287" s="118">
        <v>7.0717592592592594E-3</v>
      </c>
    </row>
    <row r="3288" spans="1:11" x14ac:dyDescent="0.25">
      <c r="A3288">
        <v>2</v>
      </c>
      <c r="B3288">
        <v>13</v>
      </c>
      <c r="C3288"/>
      <c r="D3288" t="s">
        <v>31</v>
      </c>
      <c r="E3288" t="s">
        <v>32</v>
      </c>
      <c r="F3288" t="s">
        <v>39</v>
      </c>
      <c r="G3288" s="118">
        <v>0.65987268518518516</v>
      </c>
      <c r="H3288" s="118">
        <v>5.2083333333333333E-4</v>
      </c>
      <c r="I3288" s="118">
        <v>1.8055555555555557E-3</v>
      </c>
      <c r="J3288" s="118">
        <v>7.0717592592592594E-3</v>
      </c>
      <c r="K3288" s="118">
        <v>7.0717592592592594E-3</v>
      </c>
    </row>
    <row r="3289" spans="1:11" x14ac:dyDescent="0.25">
      <c r="A3289">
        <v>1</v>
      </c>
      <c r="B3289">
        <v>12</v>
      </c>
      <c r="C3289"/>
      <c r="D3289" t="s">
        <v>31</v>
      </c>
      <c r="E3289" t="s">
        <v>35</v>
      </c>
      <c r="F3289" t="s">
        <v>44</v>
      </c>
      <c r="G3289" s="118">
        <v>0.66013888888888894</v>
      </c>
      <c r="H3289" s="118">
        <v>1.0069444444444444E-3</v>
      </c>
      <c r="I3289" s="118">
        <v>3.4722222222222224E-4</v>
      </c>
      <c r="J3289"/>
      <c r="K3289"/>
    </row>
    <row r="3290" spans="1:11" x14ac:dyDescent="0.25">
      <c r="A3290">
        <v>4</v>
      </c>
      <c r="B3290">
        <v>12</v>
      </c>
      <c r="C3290"/>
      <c r="D3290" t="s">
        <v>31</v>
      </c>
      <c r="E3290" t="s">
        <v>35</v>
      </c>
      <c r="F3290" t="s">
        <v>54</v>
      </c>
      <c r="G3290" s="118">
        <v>0.6602083333333334</v>
      </c>
      <c r="H3290" s="118">
        <v>8.6805555555555551E-4</v>
      </c>
      <c r="I3290" s="118">
        <v>3.4722222222222224E-4</v>
      </c>
      <c r="J3290"/>
      <c r="K3290"/>
    </row>
    <row r="3291" spans="1:11" x14ac:dyDescent="0.25">
      <c r="A3291">
        <v>5</v>
      </c>
      <c r="B3291">
        <v>13</v>
      </c>
      <c r="C3291"/>
      <c r="D3291" t="s">
        <v>31</v>
      </c>
      <c r="E3291" t="s">
        <v>35</v>
      </c>
      <c r="F3291" t="s">
        <v>50</v>
      </c>
      <c r="G3291" s="118">
        <v>0.66046296296296292</v>
      </c>
      <c r="H3291" s="118">
        <v>1.1458333333333333E-3</v>
      </c>
      <c r="I3291" s="118">
        <v>3.4722222222222224E-4</v>
      </c>
      <c r="J3291"/>
      <c r="K3291"/>
    </row>
    <row r="3292" spans="1:11" x14ac:dyDescent="0.25">
      <c r="A3292">
        <v>1</v>
      </c>
      <c r="B3292">
        <v>12</v>
      </c>
      <c r="C3292"/>
      <c r="D3292" t="s">
        <v>31</v>
      </c>
      <c r="E3292" t="s">
        <v>32</v>
      </c>
      <c r="F3292" t="s">
        <v>44</v>
      </c>
      <c r="G3292" s="118">
        <v>0.66048611111111111</v>
      </c>
      <c r="H3292" s="118">
        <v>3.4722222222222224E-4</v>
      </c>
      <c r="I3292" s="118">
        <v>9.2592592592592585E-4</v>
      </c>
      <c r="J3292" s="118">
        <v>7.0717592592592594E-3</v>
      </c>
      <c r="K3292" s="118">
        <v>7.0717592592592594E-3</v>
      </c>
    </row>
    <row r="3293" spans="1:11" x14ac:dyDescent="0.25">
      <c r="A3293">
        <v>4</v>
      </c>
      <c r="B3293">
        <v>12</v>
      </c>
      <c r="C3293"/>
      <c r="D3293" t="s">
        <v>31</v>
      </c>
      <c r="E3293" t="s">
        <v>32</v>
      </c>
      <c r="F3293" t="s">
        <v>54</v>
      </c>
      <c r="G3293" s="118">
        <v>0.66055555555555556</v>
      </c>
      <c r="H3293" s="118">
        <v>3.4722222222222224E-4</v>
      </c>
      <c r="I3293" s="118">
        <v>6.9444444444444447E-4</v>
      </c>
      <c r="J3293" s="118">
        <v>7.0717592592592594E-3</v>
      </c>
      <c r="K3293" s="118">
        <v>7.0717592592592594E-3</v>
      </c>
    </row>
    <row r="3294" spans="1:11" x14ac:dyDescent="0.25">
      <c r="A3294">
        <v>3</v>
      </c>
      <c r="B3294">
        <v>13</v>
      </c>
      <c r="C3294"/>
      <c r="D3294" t="s">
        <v>31</v>
      </c>
      <c r="E3294" t="s">
        <v>35</v>
      </c>
      <c r="F3294" t="s">
        <v>38</v>
      </c>
      <c r="G3294" s="118">
        <v>0.66076388888888882</v>
      </c>
      <c r="H3294" s="118">
        <v>9.1435185185185185E-4</v>
      </c>
      <c r="I3294" s="118">
        <v>3.4722222222222224E-4</v>
      </c>
      <c r="J3294"/>
      <c r="K3294"/>
    </row>
    <row r="3295" spans="1:11" x14ac:dyDescent="0.25">
      <c r="A3295">
        <v>5</v>
      </c>
      <c r="B3295">
        <v>13</v>
      </c>
      <c r="C3295"/>
      <c r="D3295" t="s">
        <v>31</v>
      </c>
      <c r="E3295" t="s">
        <v>32</v>
      </c>
      <c r="F3295" t="s">
        <v>50</v>
      </c>
      <c r="G3295" s="118">
        <v>0.66081018518518519</v>
      </c>
      <c r="H3295" s="118">
        <v>3.4722222222222224E-4</v>
      </c>
      <c r="I3295" s="118">
        <v>1.261574074074074E-3</v>
      </c>
      <c r="J3295" s="118">
        <v>7.0717592592592594E-3</v>
      </c>
      <c r="K3295" s="118">
        <v>7.0717592592592594E-3</v>
      </c>
    </row>
    <row r="3296" spans="1:11" x14ac:dyDescent="0.25">
      <c r="A3296">
        <v>3</v>
      </c>
      <c r="B3296">
        <v>13</v>
      </c>
      <c r="C3296"/>
      <c r="D3296" t="s">
        <v>31</v>
      </c>
      <c r="E3296" t="s">
        <v>32</v>
      </c>
      <c r="F3296" t="s">
        <v>38</v>
      </c>
      <c r="G3296" s="118">
        <v>0.66111111111111109</v>
      </c>
      <c r="H3296" s="118">
        <v>3.4722222222222224E-4</v>
      </c>
      <c r="I3296" s="118">
        <v>1.2384259259259258E-3</v>
      </c>
      <c r="J3296" s="118">
        <v>7.0717592592592594E-3</v>
      </c>
      <c r="K3296" s="118">
        <v>7.0717592592592594E-3</v>
      </c>
    </row>
    <row r="3297" spans="1:11" x14ac:dyDescent="0.25">
      <c r="A3297">
        <v>4</v>
      </c>
      <c r="B3297">
        <v>12</v>
      </c>
      <c r="C3297"/>
      <c r="D3297" t="s">
        <v>31</v>
      </c>
      <c r="E3297" t="s">
        <v>35</v>
      </c>
      <c r="F3297" t="s">
        <v>92</v>
      </c>
      <c r="G3297" s="118">
        <v>0.66125</v>
      </c>
      <c r="H3297" s="118">
        <v>6.9444444444444447E-4</v>
      </c>
      <c r="I3297" s="118">
        <v>5.2083333333333333E-4</v>
      </c>
      <c r="J3297"/>
      <c r="K3297"/>
    </row>
    <row r="3298" spans="1:11" x14ac:dyDescent="0.25">
      <c r="A3298">
        <v>1</v>
      </c>
      <c r="B3298">
        <v>12</v>
      </c>
      <c r="C3298"/>
      <c r="D3298" t="s">
        <v>31</v>
      </c>
      <c r="E3298" t="s">
        <v>35</v>
      </c>
      <c r="F3298" t="s">
        <v>49</v>
      </c>
      <c r="G3298" s="118">
        <v>0.66141203703703699</v>
      </c>
      <c r="H3298" s="118">
        <v>9.2592592592592585E-4</v>
      </c>
      <c r="I3298" s="118">
        <v>3.4722222222222224E-4</v>
      </c>
      <c r="J3298"/>
      <c r="K3298"/>
    </row>
    <row r="3299" spans="1:11" x14ac:dyDescent="0.25">
      <c r="A3299">
        <v>2</v>
      </c>
      <c r="B3299">
        <v>13</v>
      </c>
      <c r="C3299"/>
      <c r="D3299" t="s">
        <v>31</v>
      </c>
      <c r="E3299" t="s">
        <v>35</v>
      </c>
      <c r="F3299" t="s">
        <v>46</v>
      </c>
      <c r="G3299" s="118">
        <v>0.66167824074074078</v>
      </c>
      <c r="H3299" s="118">
        <v>1.8055555555555557E-3</v>
      </c>
      <c r="I3299" s="118">
        <v>3.4722222222222224E-4</v>
      </c>
      <c r="J3299"/>
      <c r="K3299"/>
    </row>
    <row r="3300" spans="1:11" x14ac:dyDescent="0.25">
      <c r="A3300">
        <v>1</v>
      </c>
      <c r="B3300">
        <v>12</v>
      </c>
      <c r="C3300"/>
      <c r="D3300" t="s">
        <v>31</v>
      </c>
      <c r="E3300" t="s">
        <v>32</v>
      </c>
      <c r="F3300" t="s">
        <v>49</v>
      </c>
      <c r="G3300" s="118">
        <v>0.66175925925925927</v>
      </c>
      <c r="H3300" s="118">
        <v>3.4722222222222224E-4</v>
      </c>
      <c r="I3300" s="118">
        <v>1.3541666666666667E-3</v>
      </c>
      <c r="J3300" s="118">
        <v>7.0717592592592594E-3</v>
      </c>
      <c r="K3300" s="118">
        <v>7.0717592592592594E-3</v>
      </c>
    </row>
    <row r="3301" spans="1:11" x14ac:dyDescent="0.25">
      <c r="A3301">
        <v>4</v>
      </c>
      <c r="B3301">
        <v>13</v>
      </c>
      <c r="C3301"/>
      <c r="D3301" t="s">
        <v>31</v>
      </c>
      <c r="E3301" t="s">
        <v>32</v>
      </c>
      <c r="F3301" t="s">
        <v>92</v>
      </c>
      <c r="G3301" s="118">
        <v>0.66177083333333331</v>
      </c>
      <c r="H3301" s="118">
        <v>5.2083333333333333E-4</v>
      </c>
      <c r="I3301" s="118">
        <v>1.0069444444444444E-3</v>
      </c>
      <c r="J3301" s="118">
        <v>7.0717592592592594E-3</v>
      </c>
      <c r="K3301" s="118">
        <v>7.0717592592592594E-3</v>
      </c>
    </row>
    <row r="3302" spans="1:11" x14ac:dyDescent="0.25">
      <c r="A3302">
        <v>2</v>
      </c>
      <c r="B3302">
        <v>13</v>
      </c>
      <c r="C3302"/>
      <c r="D3302" t="s">
        <v>31</v>
      </c>
      <c r="E3302" t="s">
        <v>32</v>
      </c>
      <c r="F3302" t="s">
        <v>46</v>
      </c>
      <c r="G3302" s="118">
        <v>0.66202546296296294</v>
      </c>
      <c r="H3302" s="118">
        <v>3.4722222222222224E-4</v>
      </c>
      <c r="I3302" s="118">
        <v>9.1435185185185185E-4</v>
      </c>
      <c r="J3302" s="118">
        <v>7.0717592592592594E-3</v>
      </c>
      <c r="K3302" s="118">
        <v>7.0717592592592594E-3</v>
      </c>
    </row>
    <row r="3303" spans="1:11" x14ac:dyDescent="0.25">
      <c r="A3303">
        <v>5</v>
      </c>
      <c r="B3303">
        <v>13</v>
      </c>
      <c r="C3303"/>
      <c r="D3303" t="s">
        <v>31</v>
      </c>
      <c r="E3303" t="s">
        <v>35</v>
      </c>
      <c r="F3303" t="s">
        <v>56</v>
      </c>
      <c r="G3303" s="118">
        <v>0.66207175925925921</v>
      </c>
      <c r="H3303" s="118">
        <v>1.261574074074074E-3</v>
      </c>
      <c r="I3303" s="118">
        <v>3.4722222222222224E-4</v>
      </c>
      <c r="J3303"/>
      <c r="K3303"/>
    </row>
    <row r="3304" spans="1:11" x14ac:dyDescent="0.25">
      <c r="A3304">
        <v>3</v>
      </c>
      <c r="B3304">
        <v>13</v>
      </c>
      <c r="C3304"/>
      <c r="D3304" t="s">
        <v>31</v>
      </c>
      <c r="E3304" t="s">
        <v>35</v>
      </c>
      <c r="F3304" t="s">
        <v>45</v>
      </c>
      <c r="G3304" s="118">
        <v>0.66234953703703703</v>
      </c>
      <c r="H3304" s="118">
        <v>1.2384259259259258E-3</v>
      </c>
      <c r="I3304" s="118">
        <v>3.4722222222222224E-4</v>
      </c>
      <c r="J3304"/>
      <c r="K3304"/>
    </row>
    <row r="3305" spans="1:11" x14ac:dyDescent="0.25">
      <c r="A3305">
        <v>5</v>
      </c>
      <c r="B3305">
        <v>13</v>
      </c>
      <c r="C3305"/>
      <c r="D3305" t="s">
        <v>31</v>
      </c>
      <c r="E3305" t="s">
        <v>32</v>
      </c>
      <c r="F3305" t="s">
        <v>56</v>
      </c>
      <c r="G3305" s="118">
        <v>0.66241898148148148</v>
      </c>
      <c r="H3305" s="118">
        <v>3.4722222222222224E-4</v>
      </c>
      <c r="I3305" s="118">
        <v>9.6064814814814808E-4</v>
      </c>
      <c r="J3305" s="118">
        <v>7.0717592592592594E-3</v>
      </c>
      <c r="K3305" s="118">
        <v>7.0717592592592594E-3</v>
      </c>
    </row>
    <row r="3306" spans="1:11" x14ac:dyDescent="0.25">
      <c r="A3306">
        <v>3</v>
      </c>
      <c r="B3306">
        <v>13</v>
      </c>
      <c r="C3306"/>
      <c r="D3306" t="s">
        <v>31</v>
      </c>
      <c r="E3306" t="s">
        <v>32</v>
      </c>
      <c r="F3306" t="s">
        <v>45</v>
      </c>
      <c r="G3306" s="118">
        <v>0.6626967592592593</v>
      </c>
      <c r="H3306" s="118">
        <v>3.4722222222222224E-4</v>
      </c>
      <c r="I3306" s="118">
        <v>1.0416666666666667E-3</v>
      </c>
      <c r="J3306" s="118">
        <v>7.0717592592592594E-3</v>
      </c>
      <c r="K3306" s="118">
        <v>7.0717592592592594E-3</v>
      </c>
    </row>
    <row r="3307" spans="1:11" x14ac:dyDescent="0.25">
      <c r="A3307">
        <v>4</v>
      </c>
      <c r="B3307">
        <v>13</v>
      </c>
      <c r="C3307"/>
      <c r="D3307" t="s">
        <v>31</v>
      </c>
      <c r="E3307" t="s">
        <v>35</v>
      </c>
      <c r="F3307" t="s">
        <v>41</v>
      </c>
      <c r="G3307" s="118">
        <v>0.6627777777777778</v>
      </c>
      <c r="H3307" s="118">
        <v>1.0069444444444444E-3</v>
      </c>
      <c r="I3307" s="118">
        <v>3.4722222222222224E-4</v>
      </c>
      <c r="J3307"/>
      <c r="K3307"/>
    </row>
    <row r="3308" spans="1:11" x14ac:dyDescent="0.25">
      <c r="A3308">
        <v>2</v>
      </c>
      <c r="B3308">
        <v>13</v>
      </c>
      <c r="C3308"/>
      <c r="D3308" t="s">
        <v>31</v>
      </c>
      <c r="E3308" t="s">
        <v>35</v>
      </c>
      <c r="F3308" t="s">
        <v>51</v>
      </c>
      <c r="G3308" s="118">
        <v>0.66293981481481479</v>
      </c>
      <c r="H3308" s="118">
        <v>9.1435185185185185E-4</v>
      </c>
      <c r="I3308" s="118">
        <v>3.4722222222222224E-4</v>
      </c>
      <c r="J3308"/>
      <c r="K3308"/>
    </row>
    <row r="3309" spans="1:11" x14ac:dyDescent="0.25">
      <c r="A3309">
        <v>1</v>
      </c>
      <c r="B3309">
        <v>12</v>
      </c>
      <c r="C3309"/>
      <c r="D3309" t="s">
        <v>31</v>
      </c>
      <c r="E3309" t="s">
        <v>35</v>
      </c>
      <c r="F3309" t="s">
        <v>33</v>
      </c>
      <c r="G3309" s="118">
        <v>0.66311342592592593</v>
      </c>
      <c r="H3309" s="118">
        <v>1.3541666666666667E-3</v>
      </c>
      <c r="I3309" s="118">
        <v>5.2083333333333333E-4</v>
      </c>
      <c r="J3309"/>
      <c r="K3309"/>
    </row>
    <row r="3310" spans="1:11" x14ac:dyDescent="0.25">
      <c r="A3310">
        <v>4</v>
      </c>
      <c r="B3310">
        <v>13</v>
      </c>
      <c r="C3310"/>
      <c r="D3310" t="s">
        <v>31</v>
      </c>
      <c r="E3310" t="s">
        <v>32</v>
      </c>
      <c r="F3310" t="s">
        <v>41</v>
      </c>
      <c r="G3310" s="118">
        <v>0.66312499999999996</v>
      </c>
      <c r="H3310" s="118">
        <v>3.4722222222222224E-4</v>
      </c>
      <c r="I3310" s="118">
        <v>8.564814814814815E-4</v>
      </c>
      <c r="J3310" s="118">
        <v>7.0717592592592594E-3</v>
      </c>
      <c r="K3310" s="118">
        <v>7.0717592592592594E-3</v>
      </c>
    </row>
    <row r="3311" spans="1:11" x14ac:dyDescent="0.25">
      <c r="A3311">
        <v>2</v>
      </c>
      <c r="B3311">
        <v>13</v>
      </c>
      <c r="C3311"/>
      <c r="D3311" t="s">
        <v>31</v>
      </c>
      <c r="E3311" t="s">
        <v>32</v>
      </c>
      <c r="F3311" t="s">
        <v>51</v>
      </c>
      <c r="G3311" s="118">
        <v>0.66328703703703706</v>
      </c>
      <c r="H3311" s="118">
        <v>3.4722222222222224E-4</v>
      </c>
      <c r="I3311" s="118">
        <v>1.0069444444444444E-3</v>
      </c>
      <c r="J3311" s="118">
        <v>7.0717592592592594E-3</v>
      </c>
      <c r="K3311" s="118">
        <v>7.0717592592592594E-3</v>
      </c>
    </row>
    <row r="3312" spans="1:11" x14ac:dyDescent="0.25">
      <c r="A3312">
        <v>5</v>
      </c>
      <c r="B3312">
        <v>13</v>
      </c>
      <c r="C3312"/>
      <c r="D3312" t="s">
        <v>31</v>
      </c>
      <c r="E3312" t="s">
        <v>35</v>
      </c>
      <c r="F3312" t="s">
        <v>37</v>
      </c>
      <c r="G3312" s="118">
        <v>0.6633796296296296</v>
      </c>
      <c r="H3312" s="118">
        <v>9.6064814814814808E-4</v>
      </c>
      <c r="I3312" s="118">
        <v>3.4722222222222224E-4</v>
      </c>
      <c r="J3312"/>
      <c r="K3312"/>
    </row>
    <row r="3313" spans="1:11" x14ac:dyDescent="0.25">
      <c r="A3313">
        <v>1</v>
      </c>
      <c r="B3313">
        <v>12</v>
      </c>
      <c r="C3313"/>
      <c r="D3313" t="s">
        <v>31</v>
      </c>
      <c r="E3313" t="s">
        <v>32</v>
      </c>
      <c r="F3313" t="s">
        <v>33</v>
      </c>
      <c r="G3313" s="118">
        <v>0.66363425925925923</v>
      </c>
      <c r="H3313" s="118">
        <v>5.2083333333333333E-4</v>
      </c>
      <c r="I3313" s="118">
        <v>9.6064814814814808E-4</v>
      </c>
      <c r="J3313" s="118">
        <v>7.0717592592592594E-3</v>
      </c>
      <c r="K3313" s="118">
        <v>7.0717592592592594E-3</v>
      </c>
    </row>
    <row r="3314" spans="1:11" x14ac:dyDescent="0.25">
      <c r="A3314">
        <v>5</v>
      </c>
      <c r="B3314">
        <v>13</v>
      </c>
      <c r="C3314"/>
      <c r="D3314" t="s">
        <v>31</v>
      </c>
      <c r="E3314" t="s">
        <v>32</v>
      </c>
      <c r="F3314" t="s">
        <v>37</v>
      </c>
      <c r="G3314" s="118">
        <v>0.66372685185185187</v>
      </c>
      <c r="H3314" s="118">
        <v>3.4722222222222224E-4</v>
      </c>
      <c r="I3314" s="118">
        <v>9.0277777777777784E-4</v>
      </c>
      <c r="J3314" s="118">
        <v>7.0717592592592594E-3</v>
      </c>
      <c r="K3314" s="118">
        <v>7.0717592592592594E-3</v>
      </c>
    </row>
    <row r="3315" spans="1:11" x14ac:dyDescent="0.25">
      <c r="A3315">
        <v>3</v>
      </c>
      <c r="B3315">
        <v>13</v>
      </c>
      <c r="C3315"/>
      <c r="D3315" t="s">
        <v>31</v>
      </c>
      <c r="E3315" t="s">
        <v>35</v>
      </c>
      <c r="F3315" t="s">
        <v>52</v>
      </c>
      <c r="G3315" s="118">
        <v>0.66373842592592591</v>
      </c>
      <c r="H3315" s="118">
        <v>1.0416666666666667E-3</v>
      </c>
      <c r="I3315" s="118">
        <v>3.4722222222222224E-4</v>
      </c>
      <c r="J3315"/>
      <c r="K3315"/>
    </row>
    <row r="3316" spans="1:11" x14ac:dyDescent="0.25">
      <c r="A3316">
        <v>4</v>
      </c>
      <c r="B3316">
        <v>13</v>
      </c>
      <c r="C3316"/>
      <c r="D3316" t="s">
        <v>31</v>
      </c>
      <c r="E3316" t="s">
        <v>35</v>
      </c>
      <c r="F3316" t="s">
        <v>47</v>
      </c>
      <c r="G3316" s="118">
        <v>0.66398148148148151</v>
      </c>
      <c r="H3316" s="118">
        <v>8.564814814814815E-4</v>
      </c>
      <c r="I3316" s="118">
        <v>5.2083333333333333E-4</v>
      </c>
      <c r="J3316"/>
      <c r="K3316"/>
    </row>
    <row r="3317" spans="1:11" x14ac:dyDescent="0.25">
      <c r="A3317">
        <v>3</v>
      </c>
      <c r="B3317">
        <v>13</v>
      </c>
      <c r="C3317"/>
      <c r="D3317" t="s">
        <v>31</v>
      </c>
      <c r="E3317" t="s">
        <v>32</v>
      </c>
      <c r="F3317" t="s">
        <v>52</v>
      </c>
      <c r="G3317" s="118">
        <v>0.66408564814814819</v>
      </c>
      <c r="H3317" s="118">
        <v>3.4722222222222224E-4</v>
      </c>
      <c r="I3317" s="118">
        <v>1.0532407407407407E-3</v>
      </c>
      <c r="J3317" s="118">
        <v>7.0717592592592594E-3</v>
      </c>
      <c r="K3317" s="118">
        <v>7.0717592592592594E-3</v>
      </c>
    </row>
    <row r="3318" spans="1:11" x14ac:dyDescent="0.25">
      <c r="A3318">
        <v>2</v>
      </c>
      <c r="B3318">
        <v>13</v>
      </c>
      <c r="C3318"/>
      <c r="D3318" t="s">
        <v>31</v>
      </c>
      <c r="E3318" t="s">
        <v>35</v>
      </c>
      <c r="F3318" t="s">
        <v>55</v>
      </c>
      <c r="G3318" s="118">
        <v>0.66429398148148155</v>
      </c>
      <c r="H3318" s="118">
        <v>1.0069444444444444E-3</v>
      </c>
      <c r="I3318" s="118">
        <v>4.6296296296296293E-4</v>
      </c>
      <c r="J3318"/>
      <c r="K3318"/>
    </row>
    <row r="3319" spans="1:11" x14ac:dyDescent="0.25">
      <c r="A3319">
        <v>4</v>
      </c>
      <c r="B3319">
        <v>13</v>
      </c>
      <c r="C3319"/>
      <c r="D3319" t="s">
        <v>31</v>
      </c>
      <c r="E3319" t="s">
        <v>32</v>
      </c>
      <c r="F3319" t="s">
        <v>47</v>
      </c>
      <c r="G3319" s="118">
        <v>0.66450231481481481</v>
      </c>
      <c r="H3319" s="118">
        <v>5.2083333333333333E-4</v>
      </c>
      <c r="I3319" s="118">
        <v>8.7962962962962962E-4</v>
      </c>
      <c r="J3319" s="118">
        <v>7.0717592592592594E-3</v>
      </c>
      <c r="K3319" s="118">
        <v>7.0717592592592594E-3</v>
      </c>
    </row>
    <row r="3320" spans="1:11" x14ac:dyDescent="0.25">
      <c r="A3320">
        <v>1</v>
      </c>
      <c r="B3320">
        <v>12</v>
      </c>
      <c r="C3320"/>
      <c r="D3320" t="s">
        <v>31</v>
      </c>
      <c r="E3320" t="s">
        <v>35</v>
      </c>
      <c r="F3320" t="s">
        <v>36</v>
      </c>
      <c r="G3320" s="118">
        <v>0.66459490740740745</v>
      </c>
      <c r="H3320" s="118">
        <v>9.6064814814814808E-4</v>
      </c>
      <c r="I3320" s="118">
        <v>3.4722222222222224E-4</v>
      </c>
      <c r="J3320"/>
      <c r="K3320"/>
    </row>
    <row r="3321" spans="1:11" x14ac:dyDescent="0.25">
      <c r="A3321">
        <v>5</v>
      </c>
      <c r="B3321">
        <v>13</v>
      </c>
      <c r="C3321"/>
      <c r="D3321" t="s">
        <v>31</v>
      </c>
      <c r="E3321" t="s">
        <v>35</v>
      </c>
      <c r="F3321" t="s">
        <v>42</v>
      </c>
      <c r="G3321" s="118">
        <v>0.66462962962962957</v>
      </c>
      <c r="H3321" s="118">
        <v>9.0277777777777784E-4</v>
      </c>
      <c r="I3321" s="118">
        <v>3.4722222222222224E-4</v>
      </c>
      <c r="J3321"/>
      <c r="K3321"/>
    </row>
    <row r="3322" spans="1:11" x14ac:dyDescent="0.25">
      <c r="A3322">
        <v>2</v>
      </c>
      <c r="B3322">
        <v>13</v>
      </c>
      <c r="C3322"/>
      <c r="D3322" t="s">
        <v>31</v>
      </c>
      <c r="E3322" t="s">
        <v>32</v>
      </c>
      <c r="F3322" t="s">
        <v>55</v>
      </c>
      <c r="G3322" s="118">
        <v>0.66475694444444444</v>
      </c>
      <c r="H3322" s="118">
        <v>4.6296296296296293E-4</v>
      </c>
      <c r="I3322" s="118">
        <v>4.3981481481481481E-4</v>
      </c>
      <c r="J3322" s="118">
        <v>7.0717592592592594E-3</v>
      </c>
      <c r="K3322" s="118">
        <v>7.0717592592592594E-3</v>
      </c>
    </row>
    <row r="3323" spans="1:11" x14ac:dyDescent="0.25">
      <c r="A3323">
        <v>1</v>
      </c>
      <c r="B3323">
        <v>12</v>
      </c>
      <c r="C3323"/>
      <c r="D3323" t="s">
        <v>31</v>
      </c>
      <c r="E3323" t="s">
        <v>32</v>
      </c>
      <c r="F3323" t="s">
        <v>36</v>
      </c>
      <c r="G3323" s="118">
        <v>0.66494212962962962</v>
      </c>
      <c r="H3323" s="118">
        <v>3.4722222222222224E-4</v>
      </c>
      <c r="I3323" s="118">
        <v>1.0995370370370371E-3</v>
      </c>
      <c r="J3323" s="118">
        <v>7.0717592592592594E-3</v>
      </c>
      <c r="K3323" s="118">
        <v>7.0717592592592594E-3</v>
      </c>
    </row>
    <row r="3324" spans="1:11" x14ac:dyDescent="0.25">
      <c r="A3324">
        <v>5</v>
      </c>
      <c r="B3324">
        <v>13</v>
      </c>
      <c r="C3324"/>
      <c r="D3324" t="s">
        <v>31</v>
      </c>
      <c r="E3324" t="s">
        <v>32</v>
      </c>
      <c r="F3324" t="s">
        <v>42</v>
      </c>
      <c r="G3324" s="118">
        <v>0.66497685185185185</v>
      </c>
      <c r="H3324" s="118">
        <v>3.4722222222222224E-4</v>
      </c>
      <c r="I3324" s="118">
        <v>9.1435185185185185E-4</v>
      </c>
      <c r="J3324" s="118">
        <v>7.0717592592592594E-3</v>
      </c>
      <c r="K3324" s="118">
        <v>7.0717592592592594E-3</v>
      </c>
    </row>
    <row r="3325" spans="1:11" x14ac:dyDescent="0.25">
      <c r="A3325">
        <v>3</v>
      </c>
      <c r="B3325">
        <v>13</v>
      </c>
      <c r="C3325"/>
      <c r="D3325" t="s">
        <v>31</v>
      </c>
      <c r="E3325" t="s">
        <v>35</v>
      </c>
      <c r="F3325" t="s">
        <v>57</v>
      </c>
      <c r="G3325" s="118">
        <v>0.66513888888888884</v>
      </c>
      <c r="H3325" s="118">
        <v>1.0532407407407407E-3</v>
      </c>
      <c r="I3325" s="118">
        <v>3.4722222222222224E-4</v>
      </c>
      <c r="J3325"/>
      <c r="K3325"/>
    </row>
    <row r="3326" spans="1:11" x14ac:dyDescent="0.25">
      <c r="A3326">
        <v>2</v>
      </c>
      <c r="B3326">
        <v>13</v>
      </c>
      <c r="C3326"/>
      <c r="D3326" t="s">
        <v>31</v>
      </c>
      <c r="E3326" t="s">
        <v>35</v>
      </c>
      <c r="F3326" t="s">
        <v>58</v>
      </c>
      <c r="G3326" s="118">
        <v>0.66519675925925925</v>
      </c>
      <c r="H3326" s="118">
        <v>4.3981481481481481E-4</v>
      </c>
      <c r="I3326" s="118">
        <v>5.7870370370370366E-5</v>
      </c>
      <c r="J3326"/>
      <c r="K3326"/>
    </row>
    <row r="3327" spans="1:11" x14ac:dyDescent="0.25">
      <c r="A3327">
        <v>2</v>
      </c>
      <c r="B3327">
        <v>13</v>
      </c>
      <c r="C3327"/>
      <c r="D3327" t="s">
        <v>31</v>
      </c>
      <c r="E3327" t="s">
        <v>32</v>
      </c>
      <c r="F3327" t="s">
        <v>58</v>
      </c>
      <c r="G3327" s="118">
        <v>0.66525462962962967</v>
      </c>
      <c r="H3327" s="118">
        <v>5.7870370370370366E-5</v>
      </c>
      <c r="I3327" s="118">
        <v>4.8611111111111104E-4</v>
      </c>
      <c r="J3327" s="118">
        <v>7.0717592592592594E-3</v>
      </c>
      <c r="K3327" s="118">
        <v>7.0717592592592594E-3</v>
      </c>
    </row>
    <row r="3328" spans="1:11" x14ac:dyDescent="0.25">
      <c r="A3328">
        <v>4</v>
      </c>
      <c r="B3328">
        <v>13</v>
      </c>
      <c r="C3328"/>
      <c r="D3328" t="s">
        <v>31</v>
      </c>
      <c r="E3328" t="s">
        <v>35</v>
      </c>
      <c r="F3328" t="s">
        <v>53</v>
      </c>
      <c r="G3328" s="118">
        <v>0.66538194444444443</v>
      </c>
      <c r="H3328" s="118">
        <v>8.7962962962962962E-4</v>
      </c>
      <c r="I3328" s="118">
        <v>3.4722222222222224E-4</v>
      </c>
      <c r="J3328"/>
      <c r="K3328"/>
    </row>
    <row r="3329" spans="1:11" x14ac:dyDescent="0.25">
      <c r="A3329">
        <v>3</v>
      </c>
      <c r="B3329">
        <v>13</v>
      </c>
      <c r="C3329"/>
      <c r="D3329" t="s">
        <v>31</v>
      </c>
      <c r="E3329" t="s">
        <v>32</v>
      </c>
      <c r="F3329" t="s">
        <v>57</v>
      </c>
      <c r="G3329" s="118">
        <v>0.66548611111111111</v>
      </c>
      <c r="H3329" s="118">
        <v>3.4722222222222224E-4</v>
      </c>
      <c r="I3329" s="118">
        <v>9.3750000000000007E-4</v>
      </c>
      <c r="J3329" s="118">
        <v>7.0717592592592594E-3</v>
      </c>
      <c r="K3329" s="118">
        <v>7.0717592592592594E-3</v>
      </c>
    </row>
    <row r="3330" spans="1:11" x14ac:dyDescent="0.25">
      <c r="A3330">
        <v>4</v>
      </c>
      <c r="B3330">
        <v>13</v>
      </c>
      <c r="C3330"/>
      <c r="D3330" t="s">
        <v>31</v>
      </c>
      <c r="E3330" t="s">
        <v>32</v>
      </c>
      <c r="F3330" t="s">
        <v>53</v>
      </c>
      <c r="G3330" s="118">
        <v>0.66572916666666659</v>
      </c>
      <c r="H3330" s="118">
        <v>3.4722222222222224E-4</v>
      </c>
      <c r="I3330" s="118">
        <v>8.449074074074075E-4</v>
      </c>
      <c r="J3330" s="118">
        <v>7.0717592592592594E-3</v>
      </c>
      <c r="K3330" s="118">
        <v>7.0717592592592594E-3</v>
      </c>
    </row>
    <row r="3331" spans="1:11" x14ac:dyDescent="0.25">
      <c r="A3331">
        <v>2</v>
      </c>
      <c r="B3331">
        <v>13</v>
      </c>
      <c r="C3331"/>
      <c r="D3331" t="s">
        <v>31</v>
      </c>
      <c r="E3331" t="s">
        <v>35</v>
      </c>
      <c r="F3331" t="s">
        <v>40</v>
      </c>
      <c r="G3331" s="118">
        <v>0.66574074074074074</v>
      </c>
      <c r="H3331" s="118">
        <v>4.8611111111111104E-4</v>
      </c>
      <c r="I3331" s="118">
        <v>4.6296296296296293E-4</v>
      </c>
      <c r="J3331"/>
      <c r="K3331"/>
    </row>
    <row r="3332" spans="1:11" x14ac:dyDescent="0.25">
      <c r="A3332">
        <v>5</v>
      </c>
      <c r="B3332">
        <v>13</v>
      </c>
      <c r="C3332"/>
      <c r="D3332" t="s">
        <v>31</v>
      </c>
      <c r="E3332" t="s">
        <v>35</v>
      </c>
      <c r="F3332" t="s">
        <v>48</v>
      </c>
      <c r="G3332" s="118">
        <v>0.66589120370370369</v>
      </c>
      <c r="H3332" s="118">
        <v>9.1435185185185185E-4</v>
      </c>
      <c r="I3332" s="118">
        <v>5.2083333333333333E-4</v>
      </c>
      <c r="J3332"/>
      <c r="K3332"/>
    </row>
    <row r="3333" spans="1:11" x14ac:dyDescent="0.25">
      <c r="A3333">
        <v>1</v>
      </c>
      <c r="B3333">
        <v>12</v>
      </c>
      <c r="C3333"/>
      <c r="D3333" t="s">
        <v>31</v>
      </c>
      <c r="E3333" t="s">
        <v>35</v>
      </c>
      <c r="F3333" t="s">
        <v>43</v>
      </c>
      <c r="G3333" s="118">
        <v>0.66604166666666664</v>
      </c>
      <c r="H3333" s="118">
        <v>1.0995370370370371E-3</v>
      </c>
      <c r="I3333" s="118">
        <v>3.4722222222222224E-4</v>
      </c>
      <c r="J3333"/>
      <c r="K3333"/>
    </row>
    <row r="3334" spans="1:11" x14ac:dyDescent="0.25">
      <c r="A3334">
        <v>2</v>
      </c>
      <c r="B3334">
        <v>13</v>
      </c>
      <c r="C3334"/>
      <c r="D3334" t="s">
        <v>31</v>
      </c>
      <c r="E3334" t="s">
        <v>32</v>
      </c>
      <c r="F3334" t="s">
        <v>40</v>
      </c>
      <c r="G3334" s="118">
        <v>0.66620370370370374</v>
      </c>
      <c r="H3334" s="118">
        <v>4.6296296296296293E-4</v>
      </c>
      <c r="I3334" s="118">
        <v>1.0069444444444444E-3</v>
      </c>
      <c r="J3334" s="118">
        <v>7.0717592592592594E-3</v>
      </c>
      <c r="K3334" s="118">
        <v>7.0717592592592594E-3</v>
      </c>
    </row>
    <row r="3335" spans="1:11" x14ac:dyDescent="0.25">
      <c r="A3335">
        <v>1</v>
      </c>
      <c r="B3335">
        <v>12</v>
      </c>
      <c r="C3335"/>
      <c r="D3335" t="s">
        <v>31</v>
      </c>
      <c r="E3335" t="s">
        <v>32</v>
      </c>
      <c r="F3335" t="s">
        <v>43</v>
      </c>
      <c r="G3335" s="118">
        <v>0.66638888888888892</v>
      </c>
      <c r="H3335" s="118">
        <v>3.4722222222222224E-4</v>
      </c>
      <c r="I3335" s="118">
        <v>1.1458333333333333E-3</v>
      </c>
      <c r="J3335" s="118">
        <v>7.0717592592592594E-3</v>
      </c>
      <c r="K3335" s="118">
        <v>7.0717592592592594E-3</v>
      </c>
    </row>
    <row r="3336" spans="1:11" x14ac:dyDescent="0.25">
      <c r="A3336">
        <v>5</v>
      </c>
      <c r="B3336">
        <v>13</v>
      </c>
      <c r="C3336"/>
      <c r="D3336" t="s">
        <v>31</v>
      </c>
      <c r="E3336" t="s">
        <v>32</v>
      </c>
      <c r="F3336" t="s">
        <v>48</v>
      </c>
      <c r="G3336" s="118">
        <v>0.66641203703703711</v>
      </c>
      <c r="H3336" s="118">
        <v>5.2083333333333333E-4</v>
      </c>
      <c r="I3336" s="118">
        <v>8.6805555555555551E-4</v>
      </c>
      <c r="J3336" s="118">
        <v>7.0717592592592594E-3</v>
      </c>
      <c r="K3336" s="118">
        <v>7.0717592592592594E-3</v>
      </c>
    </row>
    <row r="3337" spans="1:11" x14ac:dyDescent="0.25">
      <c r="A3337">
        <v>3</v>
      </c>
      <c r="B3337">
        <v>13</v>
      </c>
      <c r="C3337"/>
      <c r="D3337" t="s">
        <v>31</v>
      </c>
      <c r="E3337" t="s">
        <v>35</v>
      </c>
      <c r="F3337" t="s">
        <v>39</v>
      </c>
      <c r="G3337" s="118">
        <v>0.66642361111111115</v>
      </c>
      <c r="H3337" s="118">
        <v>9.3750000000000007E-4</v>
      </c>
      <c r="I3337" s="118">
        <v>5.2083333333333333E-4</v>
      </c>
      <c r="J3337"/>
      <c r="K3337"/>
    </row>
    <row r="3338" spans="1:11" x14ac:dyDescent="0.25">
      <c r="A3338">
        <v>4</v>
      </c>
      <c r="B3338">
        <v>13</v>
      </c>
      <c r="C3338"/>
      <c r="D3338" t="s">
        <v>31</v>
      </c>
      <c r="E3338" t="s">
        <v>35</v>
      </c>
      <c r="F3338" t="s">
        <v>34</v>
      </c>
      <c r="G3338" s="118">
        <v>0.6665740740740741</v>
      </c>
      <c r="H3338" s="118">
        <v>8.449074074074075E-4</v>
      </c>
      <c r="I3338" s="118">
        <v>3.4722222222222224E-4</v>
      </c>
      <c r="J3338"/>
      <c r="K3338"/>
    </row>
    <row r="3339" spans="1:11" x14ac:dyDescent="0.25">
      <c r="A3339">
        <v>4</v>
      </c>
      <c r="B3339">
        <v>13</v>
      </c>
      <c r="C3339"/>
      <c r="D3339" t="s">
        <v>31</v>
      </c>
      <c r="E3339" t="s">
        <v>32</v>
      </c>
      <c r="F3339" t="s">
        <v>34</v>
      </c>
      <c r="G3339" s="118">
        <v>0.66692129629629626</v>
      </c>
      <c r="H3339" s="118">
        <v>3.4722222222222224E-4</v>
      </c>
      <c r="I3339" s="118">
        <v>9.1435185185185185E-4</v>
      </c>
      <c r="J3339" s="118">
        <v>7.0717592592592594E-3</v>
      </c>
      <c r="K3339" s="118">
        <v>7.0717592592592594E-3</v>
      </c>
    </row>
    <row r="3340" spans="1:11" x14ac:dyDescent="0.25">
      <c r="A3340">
        <v>3</v>
      </c>
      <c r="B3340">
        <v>13</v>
      </c>
      <c r="C3340"/>
      <c r="D3340" t="s">
        <v>31</v>
      </c>
      <c r="E3340" t="s">
        <v>32</v>
      </c>
      <c r="F3340" t="s">
        <v>39</v>
      </c>
      <c r="G3340" s="118">
        <v>0.66694444444444445</v>
      </c>
      <c r="H3340" s="118">
        <v>5.2083333333333333E-4</v>
      </c>
      <c r="I3340" s="118">
        <v>1.8055555555555557E-3</v>
      </c>
      <c r="J3340" s="118">
        <v>7.0717592592592594E-3</v>
      </c>
      <c r="K3340" s="118">
        <v>7.0717592592592594E-3</v>
      </c>
    </row>
    <row r="3341" spans="1:11" x14ac:dyDescent="0.25">
      <c r="A3341">
        <v>2</v>
      </c>
      <c r="B3341">
        <v>13</v>
      </c>
      <c r="C3341"/>
      <c r="D3341" t="s">
        <v>31</v>
      </c>
      <c r="E3341" t="s">
        <v>35</v>
      </c>
      <c r="F3341" t="s">
        <v>44</v>
      </c>
      <c r="G3341" s="118">
        <v>0.66721064814814823</v>
      </c>
      <c r="H3341" s="118">
        <v>1.0069444444444444E-3</v>
      </c>
      <c r="I3341" s="118">
        <v>3.4722222222222224E-4</v>
      </c>
      <c r="J3341"/>
      <c r="K3341"/>
    </row>
    <row r="3342" spans="1:11" x14ac:dyDescent="0.25">
      <c r="A3342">
        <v>5</v>
      </c>
      <c r="B3342">
        <v>13</v>
      </c>
      <c r="C3342"/>
      <c r="D3342" t="s">
        <v>31</v>
      </c>
      <c r="E3342" t="s">
        <v>35</v>
      </c>
      <c r="F3342" t="s">
        <v>54</v>
      </c>
      <c r="G3342" s="118">
        <v>0.66728009259259258</v>
      </c>
      <c r="H3342" s="118">
        <v>8.6805555555555551E-4</v>
      </c>
      <c r="I3342" s="118">
        <v>3.4722222222222224E-4</v>
      </c>
      <c r="J3342"/>
      <c r="K3342"/>
    </row>
    <row r="3343" spans="1:11" x14ac:dyDescent="0.25">
      <c r="A3343">
        <v>1</v>
      </c>
      <c r="B3343">
        <v>12</v>
      </c>
      <c r="C3343"/>
      <c r="D3343" t="s">
        <v>31</v>
      </c>
      <c r="E3343" t="s">
        <v>35</v>
      </c>
      <c r="F3343" t="s">
        <v>50</v>
      </c>
      <c r="G3343" s="118">
        <v>0.66753472222222221</v>
      </c>
      <c r="H3343" s="118">
        <v>1.1458333333333333E-3</v>
      </c>
      <c r="I3343" s="118">
        <v>3.4722222222222224E-4</v>
      </c>
      <c r="J3343"/>
      <c r="K3343"/>
    </row>
    <row r="3344" spans="1:11" x14ac:dyDescent="0.25">
      <c r="A3344">
        <v>2</v>
      </c>
      <c r="B3344">
        <v>13</v>
      </c>
      <c r="C3344"/>
      <c r="D3344" t="s">
        <v>31</v>
      </c>
      <c r="E3344" t="s">
        <v>32</v>
      </c>
      <c r="F3344" t="s">
        <v>44</v>
      </c>
      <c r="G3344" s="118">
        <v>0.6675578703703704</v>
      </c>
      <c r="H3344" s="118">
        <v>3.4722222222222224E-4</v>
      </c>
      <c r="I3344" s="118">
        <v>9.2592592592592585E-4</v>
      </c>
      <c r="J3344" s="118">
        <v>7.0717592592592594E-3</v>
      </c>
      <c r="K3344" s="118">
        <v>7.0717592592592594E-3</v>
      </c>
    </row>
    <row r="3345" spans="1:11" x14ac:dyDescent="0.25">
      <c r="A3345">
        <v>5</v>
      </c>
      <c r="B3345">
        <v>13</v>
      </c>
      <c r="C3345"/>
      <c r="D3345" t="s">
        <v>31</v>
      </c>
      <c r="E3345" t="s">
        <v>32</v>
      </c>
      <c r="F3345" t="s">
        <v>54</v>
      </c>
      <c r="G3345" s="118">
        <v>0.66762731481481474</v>
      </c>
      <c r="H3345" s="118">
        <v>3.4722222222222224E-4</v>
      </c>
      <c r="I3345" s="118">
        <v>6.9444444444444447E-4</v>
      </c>
      <c r="J3345" s="118">
        <v>7.0717592592592594E-3</v>
      </c>
      <c r="K3345" s="118">
        <v>7.0717592592592594E-3</v>
      </c>
    </row>
    <row r="3346" spans="1:11" x14ac:dyDescent="0.25">
      <c r="A3346">
        <v>4</v>
      </c>
      <c r="B3346">
        <v>13</v>
      </c>
      <c r="C3346"/>
      <c r="D3346" t="s">
        <v>31</v>
      </c>
      <c r="E3346" t="s">
        <v>35</v>
      </c>
      <c r="F3346" t="s">
        <v>38</v>
      </c>
      <c r="G3346" s="118">
        <v>0.66783564814814822</v>
      </c>
      <c r="H3346" s="118">
        <v>9.1435185185185185E-4</v>
      </c>
      <c r="I3346" s="118">
        <v>3.4722222222222224E-4</v>
      </c>
      <c r="J3346"/>
      <c r="K3346"/>
    </row>
    <row r="3347" spans="1:11" x14ac:dyDescent="0.25">
      <c r="A3347">
        <v>1</v>
      </c>
      <c r="B3347">
        <v>12</v>
      </c>
      <c r="C3347"/>
      <c r="D3347" t="s">
        <v>31</v>
      </c>
      <c r="E3347" t="s">
        <v>32</v>
      </c>
      <c r="F3347" t="s">
        <v>50</v>
      </c>
      <c r="G3347" s="118">
        <v>0.66788194444444438</v>
      </c>
      <c r="H3347" s="118">
        <v>3.4722222222222224E-4</v>
      </c>
      <c r="I3347" s="118">
        <v>1.261574074074074E-3</v>
      </c>
      <c r="J3347" s="118">
        <v>7.0717592592592594E-3</v>
      </c>
      <c r="K3347" s="118">
        <v>7.0717592592592594E-3</v>
      </c>
    </row>
    <row r="3348" spans="1:11" x14ac:dyDescent="0.25">
      <c r="A3348">
        <v>4</v>
      </c>
      <c r="B3348">
        <v>13</v>
      </c>
      <c r="C3348"/>
      <c r="D3348" t="s">
        <v>31</v>
      </c>
      <c r="E3348" t="s">
        <v>32</v>
      </c>
      <c r="F3348" t="s">
        <v>38</v>
      </c>
      <c r="G3348" s="118">
        <v>0.66818287037037039</v>
      </c>
      <c r="H3348" s="118">
        <v>3.4722222222222224E-4</v>
      </c>
      <c r="I3348" s="118">
        <v>1.2384259259259258E-3</v>
      </c>
      <c r="J3348" s="118">
        <v>7.0717592592592594E-3</v>
      </c>
      <c r="K3348" s="118">
        <v>7.0717592592592594E-3</v>
      </c>
    </row>
    <row r="3349" spans="1:11" x14ac:dyDescent="0.25">
      <c r="A3349">
        <v>5</v>
      </c>
      <c r="B3349">
        <v>13</v>
      </c>
      <c r="C3349"/>
      <c r="D3349" t="s">
        <v>31</v>
      </c>
      <c r="E3349" t="s">
        <v>35</v>
      </c>
      <c r="F3349" t="s">
        <v>92</v>
      </c>
      <c r="G3349" s="118">
        <v>0.6683217592592593</v>
      </c>
      <c r="H3349" s="118">
        <v>6.9444444444444447E-4</v>
      </c>
      <c r="I3349" s="118">
        <v>5.2083333333333333E-4</v>
      </c>
      <c r="J3349"/>
      <c r="K3349"/>
    </row>
    <row r="3350" spans="1:11" x14ac:dyDescent="0.25">
      <c r="A3350">
        <v>2</v>
      </c>
      <c r="B3350">
        <v>13</v>
      </c>
      <c r="C3350"/>
      <c r="D3350" t="s">
        <v>31</v>
      </c>
      <c r="E3350" t="s">
        <v>35</v>
      </c>
      <c r="F3350" t="s">
        <v>49</v>
      </c>
      <c r="G3350" s="118">
        <v>0.66848379629629628</v>
      </c>
      <c r="H3350" s="118">
        <v>9.2592592592592585E-4</v>
      </c>
      <c r="I3350" s="118">
        <v>3.4722222222222224E-4</v>
      </c>
      <c r="J3350"/>
      <c r="K3350"/>
    </row>
    <row r="3351" spans="1:11" x14ac:dyDescent="0.25">
      <c r="A3351">
        <v>3</v>
      </c>
      <c r="B3351">
        <v>13</v>
      </c>
      <c r="C3351"/>
      <c r="D3351" t="s">
        <v>31</v>
      </c>
      <c r="E3351" t="s">
        <v>35</v>
      </c>
      <c r="F3351" t="s">
        <v>46</v>
      </c>
      <c r="G3351" s="118">
        <v>0.66875000000000007</v>
      </c>
      <c r="H3351" s="118">
        <v>1.8055555555555557E-3</v>
      </c>
      <c r="I3351" s="118">
        <v>3.4722222222222224E-4</v>
      </c>
      <c r="J3351"/>
      <c r="K3351"/>
    </row>
    <row r="3352" spans="1:11" x14ac:dyDescent="0.25">
      <c r="A3352">
        <v>2</v>
      </c>
      <c r="B3352">
        <v>13</v>
      </c>
      <c r="C3352"/>
      <c r="D3352" t="s">
        <v>31</v>
      </c>
      <c r="E3352" t="s">
        <v>32</v>
      </c>
      <c r="F3352" t="s">
        <v>49</v>
      </c>
      <c r="G3352" s="118">
        <v>0.66883101851851856</v>
      </c>
      <c r="H3352" s="118">
        <v>3.4722222222222224E-4</v>
      </c>
      <c r="I3352" s="118">
        <v>1.3541666666666667E-3</v>
      </c>
      <c r="J3352" s="118">
        <v>7.0717592592592594E-3</v>
      </c>
      <c r="K3352" s="118">
        <v>7.0717592592592594E-3</v>
      </c>
    </row>
    <row r="3353" spans="1:11" x14ac:dyDescent="0.25">
      <c r="A3353">
        <v>5</v>
      </c>
      <c r="B3353">
        <v>14</v>
      </c>
      <c r="C3353"/>
      <c r="D3353" t="s">
        <v>31</v>
      </c>
      <c r="E3353" t="s">
        <v>32</v>
      </c>
      <c r="F3353" t="s">
        <v>92</v>
      </c>
      <c r="G3353" s="118">
        <v>0.6688425925925926</v>
      </c>
      <c r="H3353" s="118">
        <v>5.2083333333333333E-4</v>
      </c>
      <c r="I3353" s="118">
        <v>1.0069444444444444E-3</v>
      </c>
      <c r="J3353" s="118">
        <v>7.0717592592592594E-3</v>
      </c>
      <c r="K3353" s="118">
        <v>5.0462962962962961E-3</v>
      </c>
    </row>
    <row r="3354" spans="1:11" x14ac:dyDescent="0.25">
      <c r="A3354">
        <v>3</v>
      </c>
      <c r="B3354">
        <v>13</v>
      </c>
      <c r="C3354"/>
      <c r="D3354" t="s">
        <v>31</v>
      </c>
      <c r="E3354" t="s">
        <v>32</v>
      </c>
      <c r="F3354" t="s">
        <v>46</v>
      </c>
      <c r="G3354" s="118">
        <v>0.66909722222222223</v>
      </c>
      <c r="H3354" s="118">
        <v>3.4722222222222224E-4</v>
      </c>
      <c r="I3354" s="118">
        <v>9.1435185185185185E-4</v>
      </c>
      <c r="J3354" s="118">
        <v>7.0717592592592594E-3</v>
      </c>
      <c r="K3354" s="118">
        <v>7.0717592592592594E-3</v>
      </c>
    </row>
    <row r="3355" spans="1:11" x14ac:dyDescent="0.25">
      <c r="A3355">
        <v>1</v>
      </c>
      <c r="B3355">
        <v>12</v>
      </c>
      <c r="C3355"/>
      <c r="D3355" t="s">
        <v>31</v>
      </c>
      <c r="E3355" t="s">
        <v>35</v>
      </c>
      <c r="F3355" t="s">
        <v>56</v>
      </c>
      <c r="G3355" s="118">
        <v>0.6691435185185185</v>
      </c>
      <c r="H3355" s="118">
        <v>1.261574074074074E-3</v>
      </c>
      <c r="I3355" s="118">
        <v>3.4722222222222224E-4</v>
      </c>
      <c r="J3355"/>
      <c r="K3355"/>
    </row>
    <row r="3356" spans="1:11" x14ac:dyDescent="0.25">
      <c r="A3356">
        <v>4</v>
      </c>
      <c r="B3356">
        <v>13</v>
      </c>
      <c r="C3356"/>
      <c r="D3356" t="s">
        <v>31</v>
      </c>
      <c r="E3356" t="s">
        <v>35</v>
      </c>
      <c r="F3356" t="s">
        <v>45</v>
      </c>
      <c r="G3356" s="118">
        <v>0.66942129629629632</v>
      </c>
      <c r="H3356" s="118">
        <v>1.2384259259259258E-3</v>
      </c>
      <c r="I3356" s="118">
        <v>3.4722222222222224E-4</v>
      </c>
      <c r="J3356"/>
      <c r="K3356"/>
    </row>
    <row r="3357" spans="1:11" x14ac:dyDescent="0.25">
      <c r="A3357">
        <v>1</v>
      </c>
      <c r="B3357">
        <v>12</v>
      </c>
      <c r="C3357"/>
      <c r="D3357" t="s">
        <v>31</v>
      </c>
      <c r="E3357" t="s">
        <v>32</v>
      </c>
      <c r="F3357" t="s">
        <v>56</v>
      </c>
      <c r="G3357" s="118">
        <v>0.66949074074074078</v>
      </c>
      <c r="H3357" s="118">
        <v>3.4722222222222224E-4</v>
      </c>
      <c r="I3357" s="118">
        <v>9.6064814814814808E-4</v>
      </c>
      <c r="J3357" s="118">
        <v>7.0717592592592594E-3</v>
      </c>
      <c r="K3357" s="118">
        <v>7.0717592592592594E-3</v>
      </c>
    </row>
    <row r="3358" spans="1:11" x14ac:dyDescent="0.25">
      <c r="A3358">
        <v>4</v>
      </c>
      <c r="B3358">
        <v>13</v>
      </c>
      <c r="C3358"/>
      <c r="D3358" t="s">
        <v>31</v>
      </c>
      <c r="E3358" t="s">
        <v>32</v>
      </c>
      <c r="F3358" t="s">
        <v>45</v>
      </c>
      <c r="G3358" s="118">
        <v>0.6697685185185186</v>
      </c>
      <c r="H3358" s="118">
        <v>3.4722222222222224E-4</v>
      </c>
      <c r="I3358" s="118">
        <v>1.0416666666666667E-3</v>
      </c>
      <c r="J3358" s="118">
        <v>7.0717592592592594E-3</v>
      </c>
      <c r="K3358" s="118">
        <v>7.0717592592592594E-3</v>
      </c>
    </row>
    <row r="3359" spans="1:11" x14ac:dyDescent="0.25">
      <c r="A3359">
        <v>5</v>
      </c>
      <c r="B3359">
        <v>14</v>
      </c>
      <c r="C3359"/>
      <c r="D3359" t="s">
        <v>31</v>
      </c>
      <c r="E3359" t="s">
        <v>35</v>
      </c>
      <c r="F3359" t="s">
        <v>41</v>
      </c>
      <c r="G3359" s="118">
        <v>0.66984953703703709</v>
      </c>
      <c r="H3359" s="118">
        <v>1.0069444444444444E-3</v>
      </c>
      <c r="I3359" s="118">
        <v>3.4722222222222224E-4</v>
      </c>
      <c r="J3359"/>
      <c r="K3359"/>
    </row>
    <row r="3360" spans="1:11" x14ac:dyDescent="0.25">
      <c r="A3360">
        <v>3</v>
      </c>
      <c r="B3360">
        <v>13</v>
      </c>
      <c r="C3360"/>
      <c r="D3360" t="s">
        <v>31</v>
      </c>
      <c r="E3360" t="s">
        <v>35</v>
      </c>
      <c r="F3360" t="s">
        <v>51</v>
      </c>
      <c r="G3360" s="118">
        <v>0.67001157407407408</v>
      </c>
      <c r="H3360" s="118">
        <v>9.1435185185185185E-4</v>
      </c>
      <c r="I3360" s="118">
        <v>3.4722222222222224E-4</v>
      </c>
      <c r="J3360"/>
      <c r="K3360"/>
    </row>
    <row r="3361" spans="1:11" x14ac:dyDescent="0.25">
      <c r="A3361">
        <v>2</v>
      </c>
      <c r="B3361">
        <v>13</v>
      </c>
      <c r="C3361"/>
      <c r="D3361" t="s">
        <v>31</v>
      </c>
      <c r="E3361" t="s">
        <v>35</v>
      </c>
      <c r="F3361" t="s">
        <v>33</v>
      </c>
      <c r="G3361" s="118">
        <v>0.67018518518518511</v>
      </c>
      <c r="H3361" s="118">
        <v>1.3541666666666667E-3</v>
      </c>
      <c r="I3361" s="118">
        <v>5.2083333333333333E-4</v>
      </c>
      <c r="J3361"/>
      <c r="K3361"/>
    </row>
    <row r="3362" spans="1:11" x14ac:dyDescent="0.25">
      <c r="A3362">
        <v>5</v>
      </c>
      <c r="B3362">
        <v>14</v>
      </c>
      <c r="C3362"/>
      <c r="D3362" t="s">
        <v>31</v>
      </c>
      <c r="E3362" t="s">
        <v>32</v>
      </c>
      <c r="F3362" t="s">
        <v>41</v>
      </c>
      <c r="G3362" s="118">
        <v>0.67019675925925926</v>
      </c>
      <c r="H3362" s="118">
        <v>3.4722222222222224E-4</v>
      </c>
      <c r="I3362" s="118">
        <v>8.564814814814815E-4</v>
      </c>
      <c r="J3362" s="118">
        <v>7.0717592592592594E-3</v>
      </c>
      <c r="K3362" s="118">
        <v>5.0462962962962961E-3</v>
      </c>
    </row>
    <row r="3363" spans="1:11" x14ac:dyDescent="0.25">
      <c r="A3363">
        <v>3</v>
      </c>
      <c r="B3363">
        <v>13</v>
      </c>
      <c r="C3363"/>
      <c r="D3363" t="s">
        <v>31</v>
      </c>
      <c r="E3363" t="s">
        <v>32</v>
      </c>
      <c r="F3363" t="s">
        <v>51</v>
      </c>
      <c r="G3363" s="118">
        <v>0.67035879629629624</v>
      </c>
      <c r="H3363" s="118">
        <v>3.4722222222222224E-4</v>
      </c>
      <c r="I3363" s="118">
        <v>1.0069444444444444E-3</v>
      </c>
      <c r="J3363" s="118">
        <v>7.0717592592592594E-3</v>
      </c>
      <c r="K3363" s="118">
        <v>7.0717592592592594E-3</v>
      </c>
    </row>
    <row r="3364" spans="1:11" x14ac:dyDescent="0.25">
      <c r="A3364">
        <v>1</v>
      </c>
      <c r="B3364">
        <v>12</v>
      </c>
      <c r="C3364"/>
      <c r="D3364" t="s">
        <v>31</v>
      </c>
      <c r="E3364" t="s">
        <v>35</v>
      </c>
      <c r="F3364" t="s">
        <v>37</v>
      </c>
      <c r="G3364" s="118">
        <v>0.67045138888888889</v>
      </c>
      <c r="H3364" s="118">
        <v>9.6064814814814808E-4</v>
      </c>
      <c r="I3364" s="118">
        <v>3.4722222222222224E-4</v>
      </c>
      <c r="J3364"/>
      <c r="K3364"/>
    </row>
    <row r="3365" spans="1:11" x14ac:dyDescent="0.25">
      <c r="A3365">
        <v>2</v>
      </c>
      <c r="B3365">
        <v>13</v>
      </c>
      <c r="C3365"/>
      <c r="D3365" t="s">
        <v>31</v>
      </c>
      <c r="E3365" t="s">
        <v>32</v>
      </c>
      <c r="F3365" t="s">
        <v>33</v>
      </c>
      <c r="G3365" s="118">
        <v>0.67070601851851841</v>
      </c>
      <c r="H3365" s="118">
        <v>5.2083333333333333E-4</v>
      </c>
      <c r="I3365" s="118">
        <v>9.6064814814814808E-4</v>
      </c>
      <c r="J3365" s="118">
        <v>7.0717592592592594E-3</v>
      </c>
      <c r="K3365" s="118">
        <v>7.0717592592592594E-3</v>
      </c>
    </row>
    <row r="3366" spans="1:11" x14ac:dyDescent="0.25">
      <c r="A3366">
        <v>1</v>
      </c>
      <c r="B3366">
        <v>12</v>
      </c>
      <c r="C3366"/>
      <c r="D3366" t="s">
        <v>31</v>
      </c>
      <c r="E3366" t="s">
        <v>32</v>
      </c>
      <c r="F3366" t="s">
        <v>37</v>
      </c>
      <c r="G3366" s="118">
        <v>0.67079861111111105</v>
      </c>
      <c r="H3366" s="118">
        <v>3.4722222222222224E-4</v>
      </c>
      <c r="I3366" s="118">
        <v>9.0277777777777784E-4</v>
      </c>
      <c r="J3366" s="118">
        <v>7.0717592592592594E-3</v>
      </c>
      <c r="K3366" s="118">
        <v>7.0717592592592594E-3</v>
      </c>
    </row>
    <row r="3367" spans="1:11" x14ac:dyDescent="0.25">
      <c r="A3367">
        <v>4</v>
      </c>
      <c r="B3367">
        <v>13</v>
      </c>
      <c r="C3367"/>
      <c r="D3367" t="s">
        <v>31</v>
      </c>
      <c r="E3367" t="s">
        <v>35</v>
      </c>
      <c r="F3367" t="s">
        <v>52</v>
      </c>
      <c r="G3367" s="118">
        <v>0.6708101851851852</v>
      </c>
      <c r="H3367" s="118">
        <v>1.0416666666666667E-3</v>
      </c>
      <c r="I3367" s="118">
        <v>3.4722222222222224E-4</v>
      </c>
      <c r="J3367"/>
      <c r="K3367"/>
    </row>
    <row r="3368" spans="1:11" x14ac:dyDescent="0.25">
      <c r="A3368">
        <v>5</v>
      </c>
      <c r="B3368">
        <v>14</v>
      </c>
      <c r="C3368"/>
      <c r="D3368" t="s">
        <v>31</v>
      </c>
      <c r="E3368" t="s">
        <v>35</v>
      </c>
      <c r="F3368" t="s">
        <v>47</v>
      </c>
      <c r="G3368" s="118">
        <v>0.6710532407407408</v>
      </c>
      <c r="H3368" s="118">
        <v>8.564814814814815E-4</v>
      </c>
      <c r="I3368" s="118">
        <v>5.2083333333333333E-4</v>
      </c>
      <c r="J3368"/>
      <c r="K3368"/>
    </row>
    <row r="3369" spans="1:11" x14ac:dyDescent="0.25">
      <c r="A3369">
        <v>4</v>
      </c>
      <c r="B3369">
        <v>13</v>
      </c>
      <c r="C3369"/>
      <c r="D3369" t="s">
        <v>31</v>
      </c>
      <c r="E3369" t="s">
        <v>32</v>
      </c>
      <c r="F3369" t="s">
        <v>52</v>
      </c>
      <c r="G3369" s="118">
        <v>0.67115740740740737</v>
      </c>
      <c r="H3369" s="118">
        <v>3.4722222222222224E-4</v>
      </c>
      <c r="I3369" s="118">
        <v>1.0532407407407407E-3</v>
      </c>
      <c r="J3369" s="118">
        <v>7.0717592592592594E-3</v>
      </c>
      <c r="K3369" s="118">
        <v>7.0717592592592594E-3</v>
      </c>
    </row>
    <row r="3370" spans="1:11" x14ac:dyDescent="0.25">
      <c r="A3370">
        <v>3</v>
      </c>
      <c r="B3370">
        <v>13</v>
      </c>
      <c r="C3370"/>
      <c r="D3370" t="s">
        <v>31</v>
      </c>
      <c r="E3370" t="s">
        <v>35</v>
      </c>
      <c r="F3370" t="s">
        <v>55</v>
      </c>
      <c r="G3370" s="118">
        <v>0.67136574074074085</v>
      </c>
      <c r="H3370" s="118">
        <v>1.0069444444444444E-3</v>
      </c>
      <c r="I3370" s="118">
        <v>4.6296296296296293E-4</v>
      </c>
      <c r="J3370"/>
      <c r="K3370"/>
    </row>
    <row r="3371" spans="1:11" x14ac:dyDescent="0.25">
      <c r="A3371">
        <v>5</v>
      </c>
      <c r="B3371">
        <v>14</v>
      </c>
      <c r="C3371"/>
      <c r="D3371" t="s">
        <v>31</v>
      </c>
      <c r="E3371" t="s">
        <v>32</v>
      </c>
      <c r="F3371" t="s">
        <v>47</v>
      </c>
      <c r="G3371" s="118">
        <v>0.6715740740740741</v>
      </c>
      <c r="H3371" s="118">
        <v>5.2083333333333333E-4</v>
      </c>
      <c r="I3371" s="118">
        <v>8.7962962962962962E-4</v>
      </c>
      <c r="J3371" s="118">
        <v>7.0717592592592594E-3</v>
      </c>
      <c r="K3371" s="118">
        <v>5.0462962962962961E-3</v>
      </c>
    </row>
    <row r="3372" spans="1:11" x14ac:dyDescent="0.25">
      <c r="A3372">
        <v>2</v>
      </c>
      <c r="B3372">
        <v>13</v>
      </c>
      <c r="C3372"/>
      <c r="D3372" t="s">
        <v>31</v>
      </c>
      <c r="E3372" t="s">
        <v>35</v>
      </c>
      <c r="F3372" t="s">
        <v>36</v>
      </c>
      <c r="G3372" s="118">
        <v>0.67166666666666675</v>
      </c>
      <c r="H3372" s="118">
        <v>9.6064814814814808E-4</v>
      </c>
      <c r="I3372" s="118">
        <v>3.4722222222222224E-4</v>
      </c>
      <c r="J3372"/>
      <c r="K3372"/>
    </row>
    <row r="3373" spans="1:11" x14ac:dyDescent="0.25">
      <c r="A3373">
        <v>1</v>
      </c>
      <c r="B3373">
        <v>12</v>
      </c>
      <c r="C3373"/>
      <c r="D3373" t="s">
        <v>31</v>
      </c>
      <c r="E3373" t="s">
        <v>35</v>
      </c>
      <c r="F3373" t="s">
        <v>42</v>
      </c>
      <c r="G3373" s="118">
        <v>0.67170138888888886</v>
      </c>
      <c r="H3373" s="118">
        <v>9.0277777777777784E-4</v>
      </c>
      <c r="I3373" s="118">
        <v>3.4722222222222224E-4</v>
      </c>
      <c r="J3373"/>
      <c r="K3373"/>
    </row>
    <row r="3374" spans="1:11" x14ac:dyDescent="0.25">
      <c r="A3374">
        <v>3</v>
      </c>
      <c r="B3374">
        <v>13</v>
      </c>
      <c r="C3374"/>
      <c r="D3374" t="s">
        <v>31</v>
      </c>
      <c r="E3374" t="s">
        <v>32</v>
      </c>
      <c r="F3374" t="s">
        <v>55</v>
      </c>
      <c r="G3374" s="118">
        <v>0.67182870370370373</v>
      </c>
      <c r="H3374" s="118">
        <v>4.6296296296296293E-4</v>
      </c>
      <c r="I3374" s="118">
        <v>4.3981481481481481E-4</v>
      </c>
      <c r="J3374" s="118">
        <v>7.0717592592592594E-3</v>
      </c>
      <c r="K3374" s="118">
        <v>7.0717592592592594E-3</v>
      </c>
    </row>
    <row r="3375" spans="1:11" x14ac:dyDescent="0.25">
      <c r="A3375">
        <v>2</v>
      </c>
      <c r="B3375">
        <v>13</v>
      </c>
      <c r="C3375"/>
      <c r="D3375" t="s">
        <v>31</v>
      </c>
      <c r="E3375" t="s">
        <v>32</v>
      </c>
      <c r="F3375" t="s">
        <v>36</v>
      </c>
      <c r="G3375" s="118">
        <v>0.67201388888888891</v>
      </c>
      <c r="H3375" s="118">
        <v>3.4722222222222224E-4</v>
      </c>
      <c r="I3375" s="118">
        <v>1.0995370370370371E-3</v>
      </c>
      <c r="J3375" s="118">
        <v>7.0717592592592594E-3</v>
      </c>
      <c r="K3375" s="118">
        <v>7.0717592592592594E-3</v>
      </c>
    </row>
    <row r="3376" spans="1:11" x14ac:dyDescent="0.25">
      <c r="A3376">
        <v>1</v>
      </c>
      <c r="B3376">
        <v>12</v>
      </c>
      <c r="C3376"/>
      <c r="D3376" t="s">
        <v>31</v>
      </c>
      <c r="E3376" t="s">
        <v>32</v>
      </c>
      <c r="F3376" t="s">
        <v>42</v>
      </c>
      <c r="G3376" s="118">
        <v>0.67204861111111114</v>
      </c>
      <c r="H3376" s="118">
        <v>3.4722222222222224E-4</v>
      </c>
      <c r="I3376" s="118">
        <v>9.1435185185185185E-4</v>
      </c>
      <c r="J3376" s="118">
        <v>7.0717592592592594E-3</v>
      </c>
      <c r="K3376" s="118">
        <v>7.0717592592592594E-3</v>
      </c>
    </row>
    <row r="3377" spans="1:11" x14ac:dyDescent="0.25">
      <c r="A3377">
        <v>4</v>
      </c>
      <c r="B3377">
        <v>13</v>
      </c>
      <c r="C3377"/>
      <c r="D3377" t="s">
        <v>31</v>
      </c>
      <c r="E3377" t="s">
        <v>35</v>
      </c>
      <c r="F3377" t="s">
        <v>57</v>
      </c>
      <c r="G3377" s="118">
        <v>0.67221064814814813</v>
      </c>
      <c r="H3377" s="118">
        <v>1.0532407407407407E-3</v>
      </c>
      <c r="I3377" s="118">
        <v>3.4722222222222224E-4</v>
      </c>
      <c r="J3377"/>
      <c r="K3377"/>
    </row>
    <row r="3378" spans="1:11" x14ac:dyDescent="0.25">
      <c r="A3378">
        <v>3</v>
      </c>
      <c r="B3378">
        <v>13</v>
      </c>
      <c r="C3378"/>
      <c r="D3378" t="s">
        <v>31</v>
      </c>
      <c r="E3378" t="s">
        <v>35</v>
      </c>
      <c r="F3378" t="s">
        <v>58</v>
      </c>
      <c r="G3378" s="118">
        <v>0.67226851851851854</v>
      </c>
      <c r="H3378" s="118">
        <v>4.3981481481481481E-4</v>
      </c>
      <c r="I3378" s="118">
        <v>5.7870370370370366E-5</v>
      </c>
      <c r="J3378"/>
      <c r="K3378"/>
    </row>
    <row r="3379" spans="1:11" x14ac:dyDescent="0.25">
      <c r="A3379">
        <v>3</v>
      </c>
      <c r="B3379">
        <v>13</v>
      </c>
      <c r="C3379"/>
      <c r="D3379" t="s">
        <v>31</v>
      </c>
      <c r="E3379" t="s">
        <v>32</v>
      </c>
      <c r="F3379" t="s">
        <v>58</v>
      </c>
      <c r="G3379" s="118">
        <v>0.67232638888888896</v>
      </c>
      <c r="H3379" s="118">
        <v>5.7870370370370366E-5</v>
      </c>
      <c r="I3379" s="118">
        <v>4.8611111111111104E-4</v>
      </c>
      <c r="J3379" s="118">
        <v>7.0717592592592594E-3</v>
      </c>
      <c r="K3379" s="118">
        <v>7.0717592592592594E-3</v>
      </c>
    </row>
    <row r="3380" spans="1:11" x14ac:dyDescent="0.25">
      <c r="A3380">
        <v>5</v>
      </c>
      <c r="B3380">
        <v>14</v>
      </c>
      <c r="C3380"/>
      <c r="D3380" t="s">
        <v>31</v>
      </c>
      <c r="E3380" t="s">
        <v>35</v>
      </c>
      <c r="F3380" t="s">
        <v>53</v>
      </c>
      <c r="G3380" s="118">
        <v>0.67245370370370372</v>
      </c>
      <c r="H3380" s="118">
        <v>8.7962962962962962E-4</v>
      </c>
      <c r="I3380" s="118">
        <v>3.4722222222222224E-4</v>
      </c>
      <c r="J3380"/>
      <c r="K3380"/>
    </row>
    <row r="3381" spans="1:11" x14ac:dyDescent="0.25">
      <c r="A3381">
        <v>4</v>
      </c>
      <c r="B3381">
        <v>13</v>
      </c>
      <c r="C3381"/>
      <c r="D3381" t="s">
        <v>31</v>
      </c>
      <c r="E3381" t="s">
        <v>32</v>
      </c>
      <c r="F3381" t="s">
        <v>57</v>
      </c>
      <c r="G3381" s="118">
        <v>0.6725578703703704</v>
      </c>
      <c r="H3381" s="118">
        <v>3.4722222222222224E-4</v>
      </c>
      <c r="I3381" s="118">
        <v>9.3750000000000007E-4</v>
      </c>
      <c r="J3381" s="118">
        <v>7.0717592592592594E-3</v>
      </c>
      <c r="K3381" s="118">
        <v>7.0717592592592594E-3</v>
      </c>
    </row>
    <row r="3382" spans="1:11" x14ac:dyDescent="0.25">
      <c r="A3382">
        <v>5</v>
      </c>
      <c r="B3382">
        <v>14</v>
      </c>
      <c r="C3382"/>
      <c r="D3382" t="s">
        <v>31</v>
      </c>
      <c r="E3382" t="s">
        <v>32</v>
      </c>
      <c r="F3382" t="s">
        <v>53</v>
      </c>
      <c r="G3382" s="118">
        <v>0.67280092592592589</v>
      </c>
      <c r="H3382" s="118">
        <v>3.4722222222222224E-4</v>
      </c>
      <c r="I3382" s="118">
        <v>8.449074074074075E-4</v>
      </c>
      <c r="J3382" s="118">
        <v>7.0717592592592594E-3</v>
      </c>
      <c r="K3382" s="118">
        <v>5.0462962962962961E-3</v>
      </c>
    </row>
    <row r="3383" spans="1:11" x14ac:dyDescent="0.25">
      <c r="A3383">
        <v>3</v>
      </c>
      <c r="B3383">
        <v>13</v>
      </c>
      <c r="C3383"/>
      <c r="D3383" t="s">
        <v>31</v>
      </c>
      <c r="E3383" t="s">
        <v>35</v>
      </c>
      <c r="F3383" t="s">
        <v>40</v>
      </c>
      <c r="G3383" s="118">
        <v>0.67281250000000004</v>
      </c>
      <c r="H3383" s="118">
        <v>4.8611111111111104E-4</v>
      </c>
      <c r="I3383" s="118">
        <v>4.6296296296296293E-4</v>
      </c>
      <c r="J3383"/>
      <c r="K3383"/>
    </row>
    <row r="3384" spans="1:11" x14ac:dyDescent="0.25">
      <c r="A3384">
        <v>1</v>
      </c>
      <c r="B3384">
        <v>12</v>
      </c>
      <c r="C3384"/>
      <c r="D3384" t="s">
        <v>31</v>
      </c>
      <c r="E3384" t="s">
        <v>35</v>
      </c>
      <c r="F3384" t="s">
        <v>48</v>
      </c>
      <c r="G3384" s="118">
        <v>0.67296296296296287</v>
      </c>
      <c r="H3384" s="118">
        <v>9.1435185185185185E-4</v>
      </c>
      <c r="I3384" s="118">
        <v>5.2083333333333333E-4</v>
      </c>
      <c r="J3384"/>
      <c r="K3384"/>
    </row>
    <row r="3385" spans="1:11" x14ac:dyDescent="0.25">
      <c r="A3385">
        <v>2</v>
      </c>
      <c r="B3385">
        <v>13</v>
      </c>
      <c r="C3385"/>
      <c r="D3385" t="s">
        <v>31</v>
      </c>
      <c r="E3385" t="s">
        <v>35</v>
      </c>
      <c r="F3385" t="s">
        <v>43</v>
      </c>
      <c r="G3385" s="118">
        <v>0.67311342592592593</v>
      </c>
      <c r="H3385" s="118">
        <v>1.0995370370370371E-3</v>
      </c>
      <c r="I3385" s="118">
        <v>3.4722222222222224E-4</v>
      </c>
      <c r="J3385"/>
      <c r="K3385"/>
    </row>
    <row r="3386" spans="1:11" x14ac:dyDescent="0.25">
      <c r="A3386">
        <v>3</v>
      </c>
      <c r="B3386">
        <v>13</v>
      </c>
      <c r="C3386"/>
      <c r="D3386" t="s">
        <v>31</v>
      </c>
      <c r="E3386" t="s">
        <v>32</v>
      </c>
      <c r="F3386" t="s">
        <v>40</v>
      </c>
      <c r="G3386" s="118">
        <v>0.67327546296296292</v>
      </c>
      <c r="H3386" s="118">
        <v>4.6296296296296293E-4</v>
      </c>
      <c r="I3386" s="118">
        <v>1.0069444444444444E-3</v>
      </c>
      <c r="J3386" s="118">
        <v>7.0717592592592594E-3</v>
      </c>
      <c r="K3386" s="118">
        <v>7.0717592592592594E-3</v>
      </c>
    </row>
    <row r="3387" spans="1:11" x14ac:dyDescent="0.25">
      <c r="A3387">
        <v>2</v>
      </c>
      <c r="B3387">
        <v>13</v>
      </c>
      <c r="C3387"/>
      <c r="D3387" t="s">
        <v>31</v>
      </c>
      <c r="E3387" t="s">
        <v>32</v>
      </c>
      <c r="F3387" t="s">
        <v>43</v>
      </c>
      <c r="G3387" s="118">
        <v>0.6734606481481481</v>
      </c>
      <c r="H3387" s="118">
        <v>3.4722222222222224E-4</v>
      </c>
      <c r="I3387" s="118">
        <v>1.1458333333333333E-3</v>
      </c>
      <c r="J3387" s="118">
        <v>7.0717592592592594E-3</v>
      </c>
      <c r="K3387" s="118">
        <v>7.0717592592592594E-3</v>
      </c>
    </row>
    <row r="3388" spans="1:11" x14ac:dyDescent="0.25">
      <c r="A3388">
        <v>1</v>
      </c>
      <c r="B3388">
        <v>12</v>
      </c>
      <c r="C3388"/>
      <c r="D3388" t="s">
        <v>31</v>
      </c>
      <c r="E3388" t="s">
        <v>32</v>
      </c>
      <c r="F3388" t="s">
        <v>48</v>
      </c>
      <c r="G3388" s="118">
        <v>0.6734837962962964</v>
      </c>
      <c r="H3388" s="118">
        <v>5.2083333333333333E-4</v>
      </c>
      <c r="I3388" s="118">
        <v>8.6805555555555551E-4</v>
      </c>
      <c r="J3388" s="118">
        <v>7.0717592592592594E-3</v>
      </c>
      <c r="K3388" s="118">
        <v>7.0717592592592594E-3</v>
      </c>
    </row>
    <row r="3389" spans="1:11" x14ac:dyDescent="0.25">
      <c r="A3389">
        <v>4</v>
      </c>
      <c r="B3389">
        <v>13</v>
      </c>
      <c r="C3389"/>
      <c r="D3389" t="s">
        <v>31</v>
      </c>
      <c r="E3389" t="s">
        <v>35</v>
      </c>
      <c r="F3389" t="s">
        <v>39</v>
      </c>
      <c r="G3389" s="118">
        <v>0.67349537037037033</v>
      </c>
      <c r="H3389" s="118">
        <v>9.3750000000000007E-4</v>
      </c>
      <c r="I3389" s="118">
        <v>5.2083333333333333E-4</v>
      </c>
      <c r="J3389"/>
      <c r="K3389"/>
    </row>
    <row r="3390" spans="1:11" x14ac:dyDescent="0.25">
      <c r="A3390">
        <v>5</v>
      </c>
      <c r="B3390">
        <v>14</v>
      </c>
      <c r="C3390"/>
      <c r="D3390" t="s">
        <v>31</v>
      </c>
      <c r="E3390" t="s">
        <v>35</v>
      </c>
      <c r="F3390" t="s">
        <v>34</v>
      </c>
      <c r="G3390" s="118">
        <v>0.67364583333333339</v>
      </c>
      <c r="H3390" s="118">
        <v>8.449074074074075E-4</v>
      </c>
      <c r="I3390" s="118">
        <v>3.4722222222222224E-4</v>
      </c>
      <c r="J3390"/>
      <c r="K3390"/>
    </row>
    <row r="3391" spans="1:11" x14ac:dyDescent="0.25">
      <c r="A3391">
        <v>8</v>
      </c>
      <c r="B3391">
        <v>1</v>
      </c>
      <c r="C3391"/>
      <c r="D3391" t="s">
        <v>31</v>
      </c>
      <c r="E3391" t="s">
        <v>32</v>
      </c>
      <c r="F3391" t="s">
        <v>92</v>
      </c>
      <c r="G3391" s="118">
        <v>0.67388888888888887</v>
      </c>
      <c r="H3391"/>
      <c r="I3391" s="118">
        <v>1.0069444444444444E-3</v>
      </c>
      <c r="J3391" s="118">
        <v>5.0462962962962961E-3</v>
      </c>
      <c r="K3391" s="118">
        <v>5.0462962962962961E-3</v>
      </c>
    </row>
    <row r="3392" spans="1:11" x14ac:dyDescent="0.25">
      <c r="A3392">
        <v>5</v>
      </c>
      <c r="B3392">
        <v>14</v>
      </c>
      <c r="C3392"/>
      <c r="D3392" t="s">
        <v>31</v>
      </c>
      <c r="E3392" t="s">
        <v>32</v>
      </c>
      <c r="F3392" t="s">
        <v>34</v>
      </c>
      <c r="G3392" s="118">
        <v>0.67399305555555555</v>
      </c>
      <c r="H3392" s="118">
        <v>3.4722222222222224E-4</v>
      </c>
      <c r="I3392" s="118">
        <v>9.1435185185185185E-4</v>
      </c>
      <c r="J3392" s="118">
        <v>7.0717592592592594E-3</v>
      </c>
      <c r="K3392" s="118">
        <v>5.0462962962962961E-3</v>
      </c>
    </row>
    <row r="3393" spans="1:11" x14ac:dyDescent="0.25">
      <c r="A3393">
        <v>4</v>
      </c>
      <c r="B3393">
        <v>13</v>
      </c>
      <c r="C3393"/>
      <c r="D3393" t="s">
        <v>31</v>
      </c>
      <c r="E3393" t="s">
        <v>32</v>
      </c>
      <c r="F3393" t="s">
        <v>39</v>
      </c>
      <c r="G3393" s="118">
        <v>0.67401620370370363</v>
      </c>
      <c r="H3393" s="118">
        <v>5.2083333333333333E-4</v>
      </c>
      <c r="I3393" s="118">
        <v>1.8055555555555557E-3</v>
      </c>
      <c r="J3393" s="118">
        <v>7.0717592592592594E-3</v>
      </c>
      <c r="K3393" s="118">
        <v>7.0717592592592594E-3</v>
      </c>
    </row>
    <row r="3394" spans="1:11" x14ac:dyDescent="0.25">
      <c r="A3394">
        <v>3</v>
      </c>
      <c r="B3394">
        <v>13</v>
      </c>
      <c r="C3394"/>
      <c r="D3394" t="s">
        <v>31</v>
      </c>
      <c r="E3394" t="s">
        <v>35</v>
      </c>
      <c r="F3394" t="s">
        <v>44</v>
      </c>
      <c r="G3394" s="118">
        <v>0.6742824074074073</v>
      </c>
      <c r="H3394" s="118">
        <v>1.0069444444444444E-3</v>
      </c>
      <c r="I3394" s="118">
        <v>3.4722222222222224E-4</v>
      </c>
      <c r="J3394"/>
      <c r="K3394"/>
    </row>
    <row r="3395" spans="1:11" x14ac:dyDescent="0.25">
      <c r="A3395">
        <v>1</v>
      </c>
      <c r="B3395">
        <v>12</v>
      </c>
      <c r="C3395"/>
      <c r="D3395" t="s">
        <v>31</v>
      </c>
      <c r="E3395" t="s">
        <v>35</v>
      </c>
      <c r="F3395" t="s">
        <v>54</v>
      </c>
      <c r="G3395" s="118">
        <v>0.67435185185185187</v>
      </c>
      <c r="H3395" s="118">
        <v>8.6805555555555551E-4</v>
      </c>
      <c r="I3395" s="118">
        <v>3.4722222222222224E-4</v>
      </c>
      <c r="J3395"/>
      <c r="K3395"/>
    </row>
    <row r="3396" spans="1:11" x14ac:dyDescent="0.25">
      <c r="A3396">
        <v>2</v>
      </c>
      <c r="B3396">
        <v>13</v>
      </c>
      <c r="C3396"/>
      <c r="D3396" t="s">
        <v>31</v>
      </c>
      <c r="E3396" t="s">
        <v>35</v>
      </c>
      <c r="F3396" t="s">
        <v>50</v>
      </c>
      <c r="G3396" s="118">
        <v>0.6746064814814815</v>
      </c>
      <c r="H3396" s="118">
        <v>1.1458333333333333E-3</v>
      </c>
      <c r="I3396" s="118">
        <v>3.4722222222222224E-4</v>
      </c>
      <c r="J3396"/>
      <c r="K3396"/>
    </row>
    <row r="3397" spans="1:11" x14ac:dyDescent="0.25">
      <c r="A3397">
        <v>3</v>
      </c>
      <c r="B3397">
        <v>13</v>
      </c>
      <c r="C3397"/>
      <c r="D3397" t="s">
        <v>31</v>
      </c>
      <c r="E3397" t="s">
        <v>32</v>
      </c>
      <c r="F3397" t="s">
        <v>44</v>
      </c>
      <c r="G3397" s="118">
        <v>0.67462962962962969</v>
      </c>
      <c r="H3397" s="118">
        <v>3.4722222222222224E-4</v>
      </c>
      <c r="I3397" s="118">
        <v>9.2592592592592585E-4</v>
      </c>
      <c r="J3397" s="118">
        <v>7.0717592592592594E-3</v>
      </c>
      <c r="K3397" s="118">
        <v>7.0717592592592594E-3</v>
      </c>
    </row>
    <row r="3398" spans="1:11" x14ac:dyDescent="0.25">
      <c r="A3398">
        <v>1</v>
      </c>
      <c r="B3398">
        <v>12</v>
      </c>
      <c r="C3398"/>
      <c r="D3398" t="s">
        <v>31</v>
      </c>
      <c r="E3398" t="s">
        <v>32</v>
      </c>
      <c r="F3398" t="s">
        <v>54</v>
      </c>
      <c r="G3398" s="118">
        <v>0.67469907407407403</v>
      </c>
      <c r="H3398" s="118">
        <v>3.4722222222222224E-4</v>
      </c>
      <c r="I3398" s="118">
        <v>1.1921296296296296E-3</v>
      </c>
      <c r="J3398" s="118">
        <v>7.0717592592592594E-3</v>
      </c>
      <c r="K3398" s="118">
        <v>7.0717592592592594E-3</v>
      </c>
    </row>
    <row r="3399" spans="1:11" x14ac:dyDescent="0.25">
      <c r="A3399">
        <v>8</v>
      </c>
      <c r="B3399">
        <v>1</v>
      </c>
      <c r="C3399"/>
      <c r="D3399" t="s">
        <v>31</v>
      </c>
      <c r="E3399" t="s">
        <v>35</v>
      </c>
      <c r="F3399" t="s">
        <v>41</v>
      </c>
      <c r="G3399" s="118">
        <v>0.67489583333333336</v>
      </c>
      <c r="H3399" s="118">
        <v>1.0069444444444444E-3</v>
      </c>
      <c r="I3399" s="118">
        <v>3.4722222222222224E-4</v>
      </c>
      <c r="J3399"/>
      <c r="K3399"/>
    </row>
    <row r="3400" spans="1:11" x14ac:dyDescent="0.25">
      <c r="A3400">
        <v>5</v>
      </c>
      <c r="B3400">
        <v>14</v>
      </c>
      <c r="C3400"/>
      <c r="D3400" t="s">
        <v>31</v>
      </c>
      <c r="E3400" t="s">
        <v>35</v>
      </c>
      <c r="F3400" t="s">
        <v>38</v>
      </c>
      <c r="G3400" s="118">
        <v>0.6749074074074074</v>
      </c>
      <c r="H3400" s="118">
        <v>9.1435185185185185E-4</v>
      </c>
      <c r="I3400" s="118">
        <v>3.4722222222222224E-4</v>
      </c>
      <c r="J3400"/>
      <c r="K3400"/>
    </row>
    <row r="3401" spans="1:11" x14ac:dyDescent="0.25">
      <c r="A3401">
        <v>2</v>
      </c>
      <c r="B3401">
        <v>13</v>
      </c>
      <c r="C3401"/>
      <c r="D3401" t="s">
        <v>31</v>
      </c>
      <c r="E3401" t="s">
        <v>32</v>
      </c>
      <c r="F3401" t="s">
        <v>50</v>
      </c>
      <c r="G3401" s="118">
        <v>0.67495370370370367</v>
      </c>
      <c r="H3401" s="118">
        <v>3.4722222222222224E-4</v>
      </c>
      <c r="I3401" s="118">
        <v>1.261574074074074E-3</v>
      </c>
      <c r="J3401" s="118">
        <v>7.0717592592592594E-3</v>
      </c>
      <c r="K3401" s="118">
        <v>7.0717592592592594E-3</v>
      </c>
    </row>
    <row r="3402" spans="1:11" x14ac:dyDescent="0.25">
      <c r="A3402">
        <v>8</v>
      </c>
      <c r="B3402">
        <v>1</v>
      </c>
      <c r="C3402"/>
      <c r="D3402" t="s">
        <v>31</v>
      </c>
      <c r="E3402" t="s">
        <v>32</v>
      </c>
      <c r="F3402" t="s">
        <v>41</v>
      </c>
      <c r="G3402" s="118">
        <v>0.67524305555555564</v>
      </c>
      <c r="H3402" s="118">
        <v>3.4722222222222224E-4</v>
      </c>
      <c r="I3402" s="118">
        <v>8.564814814814815E-4</v>
      </c>
      <c r="J3402" s="118">
        <v>5.0462962962962961E-3</v>
      </c>
      <c r="K3402" s="118">
        <v>5.0462962962962961E-3</v>
      </c>
    </row>
    <row r="3403" spans="1:11" x14ac:dyDescent="0.25">
      <c r="A3403">
        <v>5</v>
      </c>
      <c r="B3403">
        <v>14</v>
      </c>
      <c r="C3403"/>
      <c r="D3403" t="s">
        <v>31</v>
      </c>
      <c r="E3403" t="s">
        <v>32</v>
      </c>
      <c r="F3403" t="s">
        <v>38</v>
      </c>
      <c r="G3403" s="118">
        <v>0.67525462962962957</v>
      </c>
      <c r="H3403" s="118">
        <v>3.4722222222222224E-4</v>
      </c>
      <c r="I3403" s="118">
        <v>1.2384259259259258E-3</v>
      </c>
      <c r="J3403" s="118">
        <v>7.0717592592592594E-3</v>
      </c>
      <c r="K3403" s="118">
        <v>5.0462962962962961E-3</v>
      </c>
    </row>
    <row r="3404" spans="1:11" x14ac:dyDescent="0.25">
      <c r="A3404">
        <v>3</v>
      </c>
      <c r="B3404">
        <v>13</v>
      </c>
      <c r="C3404"/>
      <c r="D3404" t="s">
        <v>31</v>
      </c>
      <c r="E3404" t="s">
        <v>35</v>
      </c>
      <c r="F3404" t="s">
        <v>49</v>
      </c>
      <c r="G3404" s="118">
        <v>0.67555555555555558</v>
      </c>
      <c r="H3404" s="118">
        <v>9.2592592592592585E-4</v>
      </c>
      <c r="I3404" s="118">
        <v>3.4722222222222224E-4</v>
      </c>
      <c r="J3404"/>
      <c r="K3404"/>
    </row>
    <row r="3405" spans="1:11" x14ac:dyDescent="0.25">
      <c r="A3405">
        <v>4</v>
      </c>
      <c r="B3405">
        <v>13</v>
      </c>
      <c r="C3405"/>
      <c r="D3405" t="s">
        <v>31</v>
      </c>
      <c r="E3405" t="s">
        <v>35</v>
      </c>
      <c r="F3405" t="s">
        <v>46</v>
      </c>
      <c r="G3405" s="118">
        <v>0.67582175925925936</v>
      </c>
      <c r="H3405" s="118">
        <v>1.8055555555555557E-3</v>
      </c>
      <c r="I3405" s="118">
        <v>3.4722222222222224E-4</v>
      </c>
      <c r="J3405"/>
      <c r="K3405"/>
    </row>
    <row r="3406" spans="1:11" x14ac:dyDescent="0.25">
      <c r="A3406">
        <v>1</v>
      </c>
      <c r="B3406">
        <v>12</v>
      </c>
      <c r="C3406"/>
      <c r="D3406" t="s">
        <v>31</v>
      </c>
      <c r="E3406" t="s">
        <v>35</v>
      </c>
      <c r="F3406" t="s">
        <v>92</v>
      </c>
      <c r="G3406" s="118">
        <v>0.6758912037037037</v>
      </c>
      <c r="H3406" s="118">
        <v>1.1921296296296296E-3</v>
      </c>
      <c r="I3406" s="118">
        <v>3.0439814814814821E-3</v>
      </c>
      <c r="J3406"/>
      <c r="K3406"/>
    </row>
    <row r="3407" spans="1:11" x14ac:dyDescent="0.25">
      <c r="A3407">
        <v>3</v>
      </c>
      <c r="B3407">
        <v>13</v>
      </c>
      <c r="C3407"/>
      <c r="D3407" t="s">
        <v>31</v>
      </c>
      <c r="E3407" t="s">
        <v>32</v>
      </c>
      <c r="F3407" t="s">
        <v>49</v>
      </c>
      <c r="G3407" s="118">
        <v>0.67590277777777785</v>
      </c>
      <c r="H3407" s="118">
        <v>3.4722222222222224E-4</v>
      </c>
      <c r="I3407" s="118">
        <v>1.3541666666666667E-3</v>
      </c>
      <c r="J3407" s="118">
        <v>7.0717592592592594E-3</v>
      </c>
      <c r="K3407" s="118">
        <v>7.0717592592592594E-3</v>
      </c>
    </row>
    <row r="3408" spans="1:11" x14ac:dyDescent="0.25">
      <c r="A3408">
        <v>8</v>
      </c>
      <c r="B3408">
        <v>1</v>
      </c>
      <c r="C3408"/>
      <c r="D3408" t="s">
        <v>31</v>
      </c>
      <c r="E3408" t="s">
        <v>35</v>
      </c>
      <c r="F3408" t="s">
        <v>47</v>
      </c>
      <c r="G3408" s="118">
        <v>0.67609953703703696</v>
      </c>
      <c r="H3408" s="118">
        <v>8.564814814814815E-4</v>
      </c>
      <c r="I3408" s="118">
        <v>5.2083333333333333E-4</v>
      </c>
      <c r="J3408"/>
      <c r="K3408"/>
    </row>
    <row r="3409" spans="1:11" x14ac:dyDescent="0.25">
      <c r="A3409">
        <v>4</v>
      </c>
      <c r="B3409">
        <v>13</v>
      </c>
      <c r="C3409"/>
      <c r="D3409" t="s">
        <v>31</v>
      </c>
      <c r="E3409" t="s">
        <v>32</v>
      </c>
      <c r="F3409" t="s">
        <v>46</v>
      </c>
      <c r="G3409" s="118">
        <v>0.67616898148148152</v>
      </c>
      <c r="H3409" s="118">
        <v>3.4722222222222224E-4</v>
      </c>
      <c r="I3409" s="118">
        <v>9.1435185185185185E-4</v>
      </c>
      <c r="J3409" s="118">
        <v>7.0717592592592594E-3</v>
      </c>
      <c r="K3409" s="118">
        <v>7.0717592592592594E-3</v>
      </c>
    </row>
    <row r="3410" spans="1:11" x14ac:dyDescent="0.25">
      <c r="A3410">
        <v>2</v>
      </c>
      <c r="B3410">
        <v>13</v>
      </c>
      <c r="C3410"/>
      <c r="D3410" t="s">
        <v>31</v>
      </c>
      <c r="E3410" t="s">
        <v>35</v>
      </c>
      <c r="F3410" t="s">
        <v>56</v>
      </c>
      <c r="G3410" s="118">
        <v>0.67621527777777779</v>
      </c>
      <c r="H3410" s="118">
        <v>1.261574074074074E-3</v>
      </c>
      <c r="I3410" s="118">
        <v>3.4722222222222224E-4</v>
      </c>
      <c r="J3410"/>
      <c r="K3410"/>
    </row>
    <row r="3411" spans="1:11" x14ac:dyDescent="0.25">
      <c r="A3411">
        <v>5</v>
      </c>
      <c r="B3411">
        <v>14</v>
      </c>
      <c r="C3411"/>
      <c r="D3411" t="s">
        <v>31</v>
      </c>
      <c r="E3411" t="s">
        <v>35</v>
      </c>
      <c r="F3411" t="s">
        <v>45</v>
      </c>
      <c r="G3411" s="118">
        <v>0.6764930555555555</v>
      </c>
      <c r="H3411" s="118">
        <v>1.2384259259259258E-3</v>
      </c>
      <c r="I3411" s="118">
        <v>3.4722222222222224E-4</v>
      </c>
      <c r="J3411"/>
      <c r="K3411"/>
    </row>
    <row r="3412" spans="1:11" x14ac:dyDescent="0.25">
      <c r="A3412">
        <v>2</v>
      </c>
      <c r="B3412">
        <v>13</v>
      </c>
      <c r="C3412"/>
      <c r="D3412" t="s">
        <v>31</v>
      </c>
      <c r="E3412" t="s">
        <v>32</v>
      </c>
      <c r="F3412" t="s">
        <v>56</v>
      </c>
      <c r="G3412" s="118">
        <v>0.67656250000000007</v>
      </c>
      <c r="H3412" s="118">
        <v>3.4722222222222224E-4</v>
      </c>
      <c r="I3412" s="118">
        <v>9.6064814814814808E-4</v>
      </c>
      <c r="J3412" s="118">
        <v>7.0717592592592594E-3</v>
      </c>
      <c r="K3412" s="118">
        <v>7.0717592592592594E-3</v>
      </c>
    </row>
    <row r="3413" spans="1:11" x14ac:dyDescent="0.25">
      <c r="A3413">
        <v>8</v>
      </c>
      <c r="B3413">
        <v>1</v>
      </c>
      <c r="C3413"/>
      <c r="D3413" t="s">
        <v>31</v>
      </c>
      <c r="E3413" t="s">
        <v>32</v>
      </c>
      <c r="F3413" t="s">
        <v>47</v>
      </c>
      <c r="G3413" s="118">
        <v>0.67662037037037026</v>
      </c>
      <c r="H3413" s="118">
        <v>5.2083333333333333E-4</v>
      </c>
      <c r="I3413" s="118">
        <v>8.7962962962962962E-4</v>
      </c>
      <c r="J3413" s="118">
        <v>5.0462962962962961E-3</v>
      </c>
      <c r="K3413" s="118">
        <v>5.0462962962962961E-3</v>
      </c>
    </row>
    <row r="3414" spans="1:11" x14ac:dyDescent="0.25">
      <c r="A3414">
        <v>5</v>
      </c>
      <c r="B3414">
        <v>14</v>
      </c>
      <c r="C3414"/>
      <c r="D3414" t="s">
        <v>31</v>
      </c>
      <c r="E3414" t="s">
        <v>32</v>
      </c>
      <c r="F3414" t="s">
        <v>45</v>
      </c>
      <c r="G3414" s="118">
        <v>0.67684027777777789</v>
      </c>
      <c r="H3414" s="118">
        <v>3.4722222222222224E-4</v>
      </c>
      <c r="I3414" s="118">
        <v>1.0416666666666667E-3</v>
      </c>
      <c r="J3414" s="118">
        <v>7.0717592592592594E-3</v>
      </c>
      <c r="K3414" s="118">
        <v>5.0462962962962961E-3</v>
      </c>
    </row>
    <row r="3415" spans="1:11" x14ac:dyDescent="0.25">
      <c r="A3415">
        <v>4</v>
      </c>
      <c r="B3415">
        <v>13</v>
      </c>
      <c r="C3415"/>
      <c r="D3415" t="s">
        <v>31</v>
      </c>
      <c r="E3415" t="s">
        <v>35</v>
      </c>
      <c r="F3415" t="s">
        <v>51</v>
      </c>
      <c r="G3415" s="118">
        <v>0.67708333333333337</v>
      </c>
      <c r="H3415" s="118">
        <v>9.1435185185185185E-4</v>
      </c>
      <c r="I3415" s="118">
        <v>3.4722222222222224E-4</v>
      </c>
      <c r="J3415"/>
      <c r="K3415"/>
    </row>
    <row r="3416" spans="1:11" x14ac:dyDescent="0.25">
      <c r="A3416">
        <v>3</v>
      </c>
      <c r="B3416">
        <v>13</v>
      </c>
      <c r="C3416"/>
      <c r="D3416" t="s">
        <v>31</v>
      </c>
      <c r="E3416" t="s">
        <v>35</v>
      </c>
      <c r="F3416" t="s">
        <v>33</v>
      </c>
      <c r="G3416" s="118">
        <v>0.6772569444444444</v>
      </c>
      <c r="H3416" s="118">
        <v>1.3541666666666667E-3</v>
      </c>
      <c r="I3416" s="118">
        <v>5.2083333333333333E-4</v>
      </c>
      <c r="J3416"/>
      <c r="K3416"/>
    </row>
    <row r="3417" spans="1:11" x14ac:dyDescent="0.25">
      <c r="A3417">
        <v>4</v>
      </c>
      <c r="B3417">
        <v>13</v>
      </c>
      <c r="C3417"/>
      <c r="D3417" t="s">
        <v>31</v>
      </c>
      <c r="E3417" t="s">
        <v>32</v>
      </c>
      <c r="F3417" t="s">
        <v>51</v>
      </c>
      <c r="G3417" s="118">
        <v>0.67743055555555554</v>
      </c>
      <c r="H3417" s="118">
        <v>3.4722222222222224E-4</v>
      </c>
      <c r="I3417" s="118">
        <v>1.0069444444444444E-3</v>
      </c>
      <c r="J3417" s="118">
        <v>7.0717592592592594E-3</v>
      </c>
      <c r="K3417" s="118">
        <v>7.0717592592592594E-3</v>
      </c>
    </row>
    <row r="3418" spans="1:11" x14ac:dyDescent="0.25">
      <c r="A3418">
        <v>8</v>
      </c>
      <c r="B3418">
        <v>1</v>
      </c>
      <c r="C3418"/>
      <c r="D3418" t="s">
        <v>31</v>
      </c>
      <c r="E3418" t="s">
        <v>35</v>
      </c>
      <c r="F3418" t="s">
        <v>53</v>
      </c>
      <c r="G3418" s="118">
        <v>0.6775000000000001</v>
      </c>
      <c r="H3418" s="118">
        <v>8.7962962962962962E-4</v>
      </c>
      <c r="I3418" s="118">
        <v>3.4722222222222224E-4</v>
      </c>
      <c r="J3418"/>
      <c r="K3418"/>
    </row>
    <row r="3419" spans="1:11" x14ac:dyDescent="0.25">
      <c r="A3419">
        <v>2</v>
      </c>
      <c r="B3419">
        <v>13</v>
      </c>
      <c r="C3419"/>
      <c r="D3419" t="s">
        <v>31</v>
      </c>
      <c r="E3419" t="s">
        <v>35</v>
      </c>
      <c r="F3419" t="s">
        <v>37</v>
      </c>
      <c r="G3419" s="118">
        <v>0.67752314814814818</v>
      </c>
      <c r="H3419" s="118">
        <v>9.6064814814814808E-4</v>
      </c>
      <c r="I3419" s="118">
        <v>3.4722222222222224E-4</v>
      </c>
      <c r="J3419"/>
      <c r="K3419"/>
    </row>
    <row r="3420" spans="1:11" x14ac:dyDescent="0.25">
      <c r="A3420">
        <v>3</v>
      </c>
      <c r="B3420">
        <v>13</v>
      </c>
      <c r="C3420"/>
      <c r="D3420" t="s">
        <v>31</v>
      </c>
      <c r="E3420" t="s">
        <v>32</v>
      </c>
      <c r="F3420" t="s">
        <v>33</v>
      </c>
      <c r="G3420" s="118">
        <v>0.6777777777777777</v>
      </c>
      <c r="H3420" s="118">
        <v>5.2083333333333333E-4</v>
      </c>
      <c r="I3420" s="118">
        <v>9.6064814814814808E-4</v>
      </c>
      <c r="J3420" s="118">
        <v>7.0717592592592594E-3</v>
      </c>
      <c r="K3420" s="118">
        <v>7.0717592592592594E-3</v>
      </c>
    </row>
    <row r="3421" spans="1:11" x14ac:dyDescent="0.25">
      <c r="A3421">
        <v>8</v>
      </c>
      <c r="B3421">
        <v>1</v>
      </c>
      <c r="C3421"/>
      <c r="D3421" t="s">
        <v>31</v>
      </c>
      <c r="E3421" t="s">
        <v>32</v>
      </c>
      <c r="F3421" t="s">
        <v>53</v>
      </c>
      <c r="G3421" s="118">
        <v>0.67784722222222227</v>
      </c>
      <c r="H3421" s="118">
        <v>3.4722222222222224E-4</v>
      </c>
      <c r="I3421" s="118">
        <v>8.449074074074075E-4</v>
      </c>
      <c r="J3421" s="118">
        <v>5.0462962962962961E-3</v>
      </c>
      <c r="K3421" s="118">
        <v>5.0462962962962961E-3</v>
      </c>
    </row>
    <row r="3422" spans="1:11" x14ac:dyDescent="0.25">
      <c r="A3422">
        <v>2</v>
      </c>
      <c r="B3422">
        <v>13</v>
      </c>
      <c r="C3422"/>
      <c r="D3422" t="s">
        <v>31</v>
      </c>
      <c r="E3422" t="s">
        <v>32</v>
      </c>
      <c r="F3422" t="s">
        <v>37</v>
      </c>
      <c r="G3422" s="118">
        <v>0.67787037037037035</v>
      </c>
      <c r="H3422" s="118">
        <v>3.4722222222222224E-4</v>
      </c>
      <c r="I3422" s="118">
        <v>9.0277777777777784E-4</v>
      </c>
      <c r="J3422" s="118">
        <v>7.0717592592592594E-3</v>
      </c>
      <c r="K3422" s="118">
        <v>7.0717592592592594E-3</v>
      </c>
    </row>
    <row r="3423" spans="1:11" x14ac:dyDescent="0.25">
      <c r="A3423">
        <v>5</v>
      </c>
      <c r="B3423">
        <v>14</v>
      </c>
      <c r="C3423"/>
      <c r="D3423" t="s">
        <v>31</v>
      </c>
      <c r="E3423" t="s">
        <v>35</v>
      </c>
      <c r="F3423" t="s">
        <v>52</v>
      </c>
      <c r="G3423" s="118">
        <v>0.6778819444444445</v>
      </c>
      <c r="H3423" s="118">
        <v>1.0416666666666667E-3</v>
      </c>
      <c r="I3423" s="118">
        <v>3.4722222222222224E-4</v>
      </c>
      <c r="J3423"/>
      <c r="K3423"/>
    </row>
    <row r="3424" spans="1:11" x14ac:dyDescent="0.25">
      <c r="A3424">
        <v>5</v>
      </c>
      <c r="B3424">
        <v>14</v>
      </c>
      <c r="C3424"/>
      <c r="D3424" t="s">
        <v>31</v>
      </c>
      <c r="E3424" t="s">
        <v>32</v>
      </c>
      <c r="F3424" t="s">
        <v>52</v>
      </c>
      <c r="G3424" s="118">
        <v>0.67822916666666666</v>
      </c>
      <c r="H3424" s="118">
        <v>3.4722222222222224E-4</v>
      </c>
      <c r="I3424" s="118">
        <v>1.0532407407407407E-3</v>
      </c>
      <c r="J3424" s="118">
        <v>7.0717592592592594E-3</v>
      </c>
      <c r="K3424" s="118">
        <v>5.0462962962962961E-3</v>
      </c>
    </row>
    <row r="3425" spans="1:11" x14ac:dyDescent="0.25">
      <c r="A3425">
        <v>4</v>
      </c>
      <c r="B3425">
        <v>13</v>
      </c>
      <c r="C3425"/>
      <c r="D3425" t="s">
        <v>31</v>
      </c>
      <c r="E3425" t="s">
        <v>35</v>
      </c>
      <c r="F3425" t="s">
        <v>55</v>
      </c>
      <c r="G3425" s="118">
        <v>0.67843749999999992</v>
      </c>
      <c r="H3425" s="118">
        <v>1.0069444444444444E-3</v>
      </c>
      <c r="I3425" s="118">
        <v>4.6296296296296293E-4</v>
      </c>
      <c r="J3425"/>
      <c r="K3425"/>
    </row>
    <row r="3426" spans="1:11" x14ac:dyDescent="0.25">
      <c r="A3426">
        <v>8</v>
      </c>
      <c r="B3426">
        <v>1</v>
      </c>
      <c r="C3426"/>
      <c r="D3426" t="s">
        <v>31</v>
      </c>
      <c r="E3426" t="s">
        <v>35</v>
      </c>
      <c r="F3426" t="s">
        <v>34</v>
      </c>
      <c r="G3426" s="118">
        <v>0.67869212962962966</v>
      </c>
      <c r="H3426" s="118">
        <v>8.449074074074075E-4</v>
      </c>
      <c r="I3426" s="118">
        <v>3.4722222222222224E-4</v>
      </c>
      <c r="J3426"/>
      <c r="K3426"/>
    </row>
    <row r="3427" spans="1:11" x14ac:dyDescent="0.25">
      <c r="A3427">
        <v>3</v>
      </c>
      <c r="B3427">
        <v>13</v>
      </c>
      <c r="C3427"/>
      <c r="D3427" t="s">
        <v>31</v>
      </c>
      <c r="E3427" t="s">
        <v>35</v>
      </c>
      <c r="F3427" t="s">
        <v>36</v>
      </c>
      <c r="G3427" s="118">
        <v>0.67873842592592604</v>
      </c>
      <c r="H3427" s="118">
        <v>9.6064814814814808E-4</v>
      </c>
      <c r="I3427" s="118">
        <v>3.4722222222222224E-4</v>
      </c>
      <c r="J3427"/>
      <c r="K3427"/>
    </row>
    <row r="3428" spans="1:11" x14ac:dyDescent="0.25">
      <c r="A3428">
        <v>2</v>
      </c>
      <c r="B3428">
        <v>13</v>
      </c>
      <c r="C3428"/>
      <c r="D3428" t="s">
        <v>31</v>
      </c>
      <c r="E3428" t="s">
        <v>35</v>
      </c>
      <c r="F3428" t="s">
        <v>42</v>
      </c>
      <c r="G3428" s="118">
        <v>0.67877314814814815</v>
      </c>
      <c r="H3428" s="118">
        <v>9.0277777777777784E-4</v>
      </c>
      <c r="I3428" s="118">
        <v>3.4722222222222224E-4</v>
      </c>
      <c r="J3428"/>
      <c r="K3428"/>
    </row>
    <row r="3429" spans="1:11" x14ac:dyDescent="0.25">
      <c r="A3429">
        <v>4</v>
      </c>
      <c r="B3429">
        <v>13</v>
      </c>
      <c r="C3429"/>
      <c r="D3429" t="s">
        <v>31</v>
      </c>
      <c r="E3429" t="s">
        <v>32</v>
      </c>
      <c r="F3429" t="s">
        <v>55</v>
      </c>
      <c r="G3429" s="118">
        <v>0.67890046296296302</v>
      </c>
      <c r="H3429" s="118">
        <v>4.6296296296296293E-4</v>
      </c>
      <c r="I3429" s="118">
        <v>4.3981481481481481E-4</v>
      </c>
      <c r="J3429" s="118">
        <v>7.0717592592592594E-3</v>
      </c>
      <c r="K3429" s="118">
        <v>7.0717592592592594E-3</v>
      </c>
    </row>
    <row r="3430" spans="1:11" x14ac:dyDescent="0.25">
      <c r="A3430">
        <v>1</v>
      </c>
      <c r="B3430">
        <v>13</v>
      </c>
      <c r="C3430"/>
      <c r="D3430" t="s">
        <v>31</v>
      </c>
      <c r="E3430" t="s">
        <v>32</v>
      </c>
      <c r="F3430" t="s">
        <v>92</v>
      </c>
      <c r="G3430" s="118">
        <v>0.67893518518518514</v>
      </c>
      <c r="H3430" s="118">
        <v>3.0439814814814821E-3</v>
      </c>
      <c r="I3430" s="118">
        <v>1.0069444444444444E-3</v>
      </c>
      <c r="J3430" s="118">
        <v>5.0462962962962961E-3</v>
      </c>
      <c r="K3430" s="118">
        <v>5.0462962962962961E-3</v>
      </c>
    </row>
    <row r="3431" spans="1:11" x14ac:dyDescent="0.25">
      <c r="A3431">
        <v>8</v>
      </c>
      <c r="B3431">
        <v>1</v>
      </c>
      <c r="C3431"/>
      <c r="D3431" t="s">
        <v>31</v>
      </c>
      <c r="E3431" t="s">
        <v>32</v>
      </c>
      <c r="F3431" t="s">
        <v>34</v>
      </c>
      <c r="G3431" s="118">
        <v>0.67903935185185194</v>
      </c>
      <c r="H3431" s="118">
        <v>3.4722222222222224E-4</v>
      </c>
      <c r="I3431" s="118">
        <v>9.1435185185185185E-4</v>
      </c>
      <c r="J3431" s="118">
        <v>5.0462962962962961E-3</v>
      </c>
      <c r="K3431" s="118">
        <v>5.0462962962962961E-3</v>
      </c>
    </row>
    <row r="3432" spans="1:11" x14ac:dyDescent="0.25">
      <c r="A3432">
        <v>3</v>
      </c>
      <c r="B3432">
        <v>13</v>
      </c>
      <c r="C3432"/>
      <c r="D3432" t="s">
        <v>31</v>
      </c>
      <c r="E3432" t="s">
        <v>32</v>
      </c>
      <c r="F3432" t="s">
        <v>36</v>
      </c>
      <c r="G3432" s="118">
        <v>0.6790856481481482</v>
      </c>
      <c r="H3432" s="118">
        <v>3.4722222222222224E-4</v>
      </c>
      <c r="I3432" s="118">
        <v>1.0995370370370371E-3</v>
      </c>
      <c r="J3432" s="118">
        <v>7.0717592592592594E-3</v>
      </c>
      <c r="K3432" s="118">
        <v>7.0717592592592594E-3</v>
      </c>
    </row>
    <row r="3433" spans="1:11" x14ac:dyDescent="0.25">
      <c r="A3433">
        <v>2</v>
      </c>
      <c r="B3433">
        <v>13</v>
      </c>
      <c r="C3433"/>
      <c r="D3433" t="s">
        <v>31</v>
      </c>
      <c r="E3433" t="s">
        <v>32</v>
      </c>
      <c r="F3433" t="s">
        <v>42</v>
      </c>
      <c r="G3433" s="118">
        <v>0.67912037037037043</v>
      </c>
      <c r="H3433" s="118">
        <v>3.4722222222222224E-4</v>
      </c>
      <c r="I3433" s="118">
        <v>9.1435185185185185E-4</v>
      </c>
      <c r="J3433" s="118">
        <v>7.0717592592592594E-3</v>
      </c>
      <c r="K3433" s="118">
        <v>7.0717592592592594E-3</v>
      </c>
    </row>
    <row r="3434" spans="1:11" x14ac:dyDescent="0.25">
      <c r="A3434">
        <v>5</v>
      </c>
      <c r="B3434">
        <v>14</v>
      </c>
      <c r="C3434"/>
      <c r="D3434" t="s">
        <v>31</v>
      </c>
      <c r="E3434" t="s">
        <v>35</v>
      </c>
      <c r="F3434" t="s">
        <v>57</v>
      </c>
      <c r="G3434" s="118">
        <v>0.67928240740740742</v>
      </c>
      <c r="H3434" s="118">
        <v>1.0532407407407407E-3</v>
      </c>
      <c r="I3434" s="118">
        <v>3.4722222222222224E-4</v>
      </c>
      <c r="J3434"/>
      <c r="K3434"/>
    </row>
    <row r="3435" spans="1:11" x14ac:dyDescent="0.25">
      <c r="A3435">
        <v>4</v>
      </c>
      <c r="B3435">
        <v>13</v>
      </c>
      <c r="C3435"/>
      <c r="D3435" t="s">
        <v>31</v>
      </c>
      <c r="E3435" t="s">
        <v>35</v>
      </c>
      <c r="F3435" t="s">
        <v>58</v>
      </c>
      <c r="G3435" s="118">
        <v>0.67934027777777783</v>
      </c>
      <c r="H3435" s="118">
        <v>4.3981481481481481E-4</v>
      </c>
      <c r="I3435" s="118">
        <v>5.7870370370370366E-5</v>
      </c>
      <c r="J3435"/>
      <c r="K3435"/>
    </row>
    <row r="3436" spans="1:11" x14ac:dyDescent="0.25">
      <c r="A3436">
        <v>4</v>
      </c>
      <c r="B3436">
        <v>13</v>
      </c>
      <c r="C3436"/>
      <c r="D3436" t="s">
        <v>31</v>
      </c>
      <c r="E3436" t="s">
        <v>32</v>
      </c>
      <c r="F3436" t="s">
        <v>58</v>
      </c>
      <c r="G3436" s="118">
        <v>0.67939814814814825</v>
      </c>
      <c r="H3436" s="118">
        <v>5.7870370370370366E-5</v>
      </c>
      <c r="I3436" s="118">
        <v>4.8611111111111104E-4</v>
      </c>
      <c r="J3436" s="118">
        <v>7.0717592592592594E-3</v>
      </c>
      <c r="K3436" s="118">
        <v>7.0717592592592594E-3</v>
      </c>
    </row>
    <row r="3437" spans="1:11" x14ac:dyDescent="0.25">
      <c r="A3437">
        <v>5</v>
      </c>
      <c r="B3437">
        <v>14</v>
      </c>
      <c r="C3437"/>
      <c r="D3437" t="s">
        <v>31</v>
      </c>
      <c r="E3437" t="s">
        <v>32</v>
      </c>
      <c r="F3437" t="s">
        <v>57</v>
      </c>
      <c r="G3437" s="118">
        <v>0.67962962962962958</v>
      </c>
      <c r="H3437" s="118">
        <v>3.4722222222222224E-4</v>
      </c>
      <c r="I3437" s="118">
        <v>9.3750000000000007E-4</v>
      </c>
      <c r="J3437" s="118">
        <v>7.0717592592592594E-3</v>
      </c>
      <c r="K3437" s="118">
        <v>5.0462962962962961E-3</v>
      </c>
    </row>
    <row r="3438" spans="1:11" x14ac:dyDescent="0.25">
      <c r="A3438">
        <v>4</v>
      </c>
      <c r="B3438">
        <v>13</v>
      </c>
      <c r="C3438"/>
      <c r="D3438" t="s">
        <v>31</v>
      </c>
      <c r="E3438" t="s">
        <v>35</v>
      </c>
      <c r="F3438" t="s">
        <v>40</v>
      </c>
      <c r="G3438" s="118">
        <v>0.67988425925925933</v>
      </c>
      <c r="H3438" s="118">
        <v>4.8611111111111104E-4</v>
      </c>
      <c r="I3438" s="118">
        <v>4.6296296296296293E-4</v>
      </c>
      <c r="J3438"/>
      <c r="K3438"/>
    </row>
    <row r="3439" spans="1:11" x14ac:dyDescent="0.25">
      <c r="A3439">
        <v>1</v>
      </c>
      <c r="B3439">
        <v>13</v>
      </c>
      <c r="C3439"/>
      <c r="D3439" t="s">
        <v>31</v>
      </c>
      <c r="E3439" t="s">
        <v>35</v>
      </c>
      <c r="F3439" t="s">
        <v>41</v>
      </c>
      <c r="G3439" s="118">
        <v>0.67994212962962963</v>
      </c>
      <c r="H3439" s="118">
        <v>1.0069444444444444E-3</v>
      </c>
      <c r="I3439" s="118">
        <v>3.4722222222222224E-4</v>
      </c>
      <c r="J3439"/>
      <c r="K3439"/>
    </row>
    <row r="3440" spans="1:11" x14ac:dyDescent="0.25">
      <c r="A3440">
        <v>8</v>
      </c>
      <c r="B3440">
        <v>1</v>
      </c>
      <c r="C3440"/>
      <c r="D3440" t="s">
        <v>31</v>
      </c>
      <c r="E3440" t="s">
        <v>35</v>
      </c>
      <c r="F3440" t="s">
        <v>38</v>
      </c>
      <c r="G3440" s="118">
        <v>0.67995370370370367</v>
      </c>
      <c r="H3440" s="118">
        <v>9.1435185185185185E-4</v>
      </c>
      <c r="I3440" s="118">
        <v>3.4722222222222224E-4</v>
      </c>
      <c r="J3440"/>
      <c r="K3440"/>
    </row>
    <row r="3441" spans="1:11" x14ac:dyDescent="0.25">
      <c r="A3441">
        <v>2</v>
      </c>
      <c r="B3441">
        <v>13</v>
      </c>
      <c r="C3441"/>
      <c r="D3441" t="s">
        <v>31</v>
      </c>
      <c r="E3441" t="s">
        <v>35</v>
      </c>
      <c r="F3441" t="s">
        <v>48</v>
      </c>
      <c r="G3441" s="118">
        <v>0.68003472222222217</v>
      </c>
      <c r="H3441" s="118">
        <v>9.1435185185185185E-4</v>
      </c>
      <c r="I3441" s="118">
        <v>5.2083333333333333E-4</v>
      </c>
      <c r="J3441"/>
      <c r="K3441"/>
    </row>
    <row r="3442" spans="1:11" x14ac:dyDescent="0.25">
      <c r="A3442">
        <v>3</v>
      </c>
      <c r="B3442">
        <v>13</v>
      </c>
      <c r="C3442"/>
      <c r="D3442" t="s">
        <v>31</v>
      </c>
      <c r="E3442" t="s">
        <v>35</v>
      </c>
      <c r="F3442" t="s">
        <v>43</v>
      </c>
      <c r="G3442" s="118">
        <v>0.68018518518518523</v>
      </c>
      <c r="H3442" s="118">
        <v>1.0995370370370371E-3</v>
      </c>
      <c r="I3442" s="118">
        <v>3.4722222222222224E-4</v>
      </c>
      <c r="J3442"/>
      <c r="K3442"/>
    </row>
    <row r="3443" spans="1:11" x14ac:dyDescent="0.25">
      <c r="A3443">
        <v>1</v>
      </c>
      <c r="B3443">
        <v>13</v>
      </c>
      <c r="C3443"/>
      <c r="D3443" t="s">
        <v>31</v>
      </c>
      <c r="E3443" t="s">
        <v>32</v>
      </c>
      <c r="F3443" t="s">
        <v>41</v>
      </c>
      <c r="G3443" s="118">
        <v>0.6802893518518518</v>
      </c>
      <c r="H3443" s="118">
        <v>3.4722222222222224E-4</v>
      </c>
      <c r="I3443" s="118">
        <v>8.564814814814815E-4</v>
      </c>
      <c r="J3443" s="118">
        <v>5.0462962962962961E-3</v>
      </c>
      <c r="K3443" s="118">
        <v>5.0462962962962961E-3</v>
      </c>
    </row>
    <row r="3444" spans="1:11" x14ac:dyDescent="0.25">
      <c r="A3444">
        <v>8</v>
      </c>
      <c r="B3444">
        <v>1</v>
      </c>
      <c r="C3444"/>
      <c r="D3444" t="s">
        <v>31</v>
      </c>
      <c r="E3444" t="s">
        <v>32</v>
      </c>
      <c r="F3444" t="s">
        <v>38</v>
      </c>
      <c r="G3444" s="118">
        <v>0.68030092592592595</v>
      </c>
      <c r="H3444" s="118">
        <v>3.4722222222222224E-4</v>
      </c>
      <c r="I3444" s="118">
        <v>1.2384259259259258E-3</v>
      </c>
      <c r="J3444" s="118">
        <v>5.0462962962962961E-3</v>
      </c>
      <c r="K3444" s="118">
        <v>5.0462962962962961E-3</v>
      </c>
    </row>
    <row r="3445" spans="1:11" x14ac:dyDescent="0.25">
      <c r="A3445">
        <v>4</v>
      </c>
      <c r="B3445">
        <v>13</v>
      </c>
      <c r="C3445"/>
      <c r="D3445" t="s">
        <v>31</v>
      </c>
      <c r="E3445" t="s">
        <v>32</v>
      </c>
      <c r="F3445" t="s">
        <v>40</v>
      </c>
      <c r="G3445" s="118">
        <v>0.68034722222222221</v>
      </c>
      <c r="H3445" s="118">
        <v>4.6296296296296293E-4</v>
      </c>
      <c r="I3445" s="118">
        <v>1.0069444444444444E-3</v>
      </c>
      <c r="J3445" s="118">
        <v>7.0717592592592594E-3</v>
      </c>
      <c r="K3445" s="118">
        <v>7.0717592592592594E-3</v>
      </c>
    </row>
    <row r="3446" spans="1:11" x14ac:dyDescent="0.25">
      <c r="A3446">
        <v>3</v>
      </c>
      <c r="B3446">
        <v>13</v>
      </c>
      <c r="C3446"/>
      <c r="D3446" t="s">
        <v>31</v>
      </c>
      <c r="E3446" t="s">
        <v>32</v>
      </c>
      <c r="F3446" t="s">
        <v>43</v>
      </c>
      <c r="G3446" s="118">
        <v>0.68053240740740739</v>
      </c>
      <c r="H3446" s="118">
        <v>3.4722222222222224E-4</v>
      </c>
      <c r="I3446" s="118">
        <v>1.1458333333333333E-3</v>
      </c>
      <c r="J3446" s="118">
        <v>7.0717592592592594E-3</v>
      </c>
      <c r="K3446" s="118">
        <v>7.0717592592592594E-3</v>
      </c>
    </row>
    <row r="3447" spans="1:11" x14ac:dyDescent="0.25">
      <c r="A3447">
        <v>2</v>
      </c>
      <c r="B3447">
        <v>13</v>
      </c>
      <c r="C3447"/>
      <c r="D3447" t="s">
        <v>31</v>
      </c>
      <c r="E3447" t="s">
        <v>32</v>
      </c>
      <c r="F3447" t="s">
        <v>48</v>
      </c>
      <c r="G3447" s="118">
        <v>0.68055555555555547</v>
      </c>
      <c r="H3447" s="118">
        <v>5.2083333333333333E-4</v>
      </c>
      <c r="I3447" s="118">
        <v>8.6805555555555551E-4</v>
      </c>
      <c r="J3447" s="118">
        <v>7.0717592592592594E-3</v>
      </c>
      <c r="K3447" s="118">
        <v>7.0717592592592594E-3</v>
      </c>
    </row>
    <row r="3448" spans="1:11" x14ac:dyDescent="0.25">
      <c r="A3448">
        <v>5</v>
      </c>
      <c r="B3448">
        <v>14</v>
      </c>
      <c r="C3448"/>
      <c r="D3448" t="s">
        <v>31</v>
      </c>
      <c r="E3448" t="s">
        <v>35</v>
      </c>
      <c r="F3448" t="s">
        <v>39</v>
      </c>
      <c r="G3448" s="118">
        <v>0.68056712962962962</v>
      </c>
      <c r="H3448" s="118">
        <v>9.3750000000000007E-4</v>
      </c>
      <c r="I3448" s="118">
        <v>5.2083333333333333E-4</v>
      </c>
      <c r="J3448"/>
      <c r="K3448"/>
    </row>
    <row r="3449" spans="1:11" x14ac:dyDescent="0.25">
      <c r="A3449">
        <v>5</v>
      </c>
      <c r="B3449">
        <v>14</v>
      </c>
      <c r="C3449"/>
      <c r="D3449" t="s">
        <v>31</v>
      </c>
      <c r="E3449" t="s">
        <v>32</v>
      </c>
      <c r="F3449" t="s">
        <v>39</v>
      </c>
      <c r="G3449" s="118">
        <v>0.68108796296296292</v>
      </c>
      <c r="H3449" s="118">
        <v>5.2083333333333333E-4</v>
      </c>
      <c r="I3449" s="118">
        <v>1.8055555555555557E-3</v>
      </c>
      <c r="J3449" s="118">
        <v>7.0717592592592594E-3</v>
      </c>
      <c r="K3449" s="118">
        <v>5.0462962962962961E-3</v>
      </c>
    </row>
    <row r="3450" spans="1:11" x14ac:dyDescent="0.25">
      <c r="A3450">
        <v>1</v>
      </c>
      <c r="B3450">
        <v>13</v>
      </c>
      <c r="C3450"/>
      <c r="D3450" t="s">
        <v>31</v>
      </c>
      <c r="E3450" t="s">
        <v>35</v>
      </c>
      <c r="F3450" t="s">
        <v>47</v>
      </c>
      <c r="G3450" s="118">
        <v>0.68114583333333334</v>
      </c>
      <c r="H3450" s="118">
        <v>8.564814814814815E-4</v>
      </c>
      <c r="I3450" s="118">
        <v>5.2083333333333333E-4</v>
      </c>
      <c r="J3450"/>
      <c r="K3450"/>
    </row>
    <row r="3451" spans="1:11" x14ac:dyDescent="0.25">
      <c r="A3451">
        <v>4</v>
      </c>
      <c r="B3451">
        <v>13</v>
      </c>
      <c r="C3451"/>
      <c r="D3451" t="s">
        <v>31</v>
      </c>
      <c r="E3451" t="s">
        <v>35</v>
      </c>
      <c r="F3451" t="s">
        <v>44</v>
      </c>
      <c r="G3451" s="118">
        <v>0.68135416666666659</v>
      </c>
      <c r="H3451" s="118">
        <v>1.0069444444444444E-3</v>
      </c>
      <c r="I3451" s="118">
        <v>3.4722222222222224E-4</v>
      </c>
      <c r="J3451"/>
      <c r="K3451"/>
    </row>
    <row r="3452" spans="1:11" x14ac:dyDescent="0.25">
      <c r="A3452">
        <v>2</v>
      </c>
      <c r="B3452">
        <v>13</v>
      </c>
      <c r="C3452"/>
      <c r="D3452" t="s">
        <v>31</v>
      </c>
      <c r="E3452" t="s">
        <v>35</v>
      </c>
      <c r="F3452" t="s">
        <v>54</v>
      </c>
      <c r="G3452" s="118">
        <v>0.68142361111111116</v>
      </c>
      <c r="H3452" s="118">
        <v>8.6805555555555551E-4</v>
      </c>
      <c r="I3452" s="118">
        <v>3.4722222222222224E-4</v>
      </c>
      <c r="J3452"/>
      <c r="K3452"/>
    </row>
    <row r="3453" spans="1:11" x14ac:dyDescent="0.25">
      <c r="A3453">
        <v>8</v>
      </c>
      <c r="B3453">
        <v>1</v>
      </c>
      <c r="C3453"/>
      <c r="D3453" t="s">
        <v>31</v>
      </c>
      <c r="E3453" t="s">
        <v>35</v>
      </c>
      <c r="F3453" t="s">
        <v>45</v>
      </c>
      <c r="G3453" s="118">
        <v>0.68153935185185188</v>
      </c>
      <c r="H3453" s="118">
        <v>1.2384259259259258E-3</v>
      </c>
      <c r="I3453" s="118">
        <v>3.4722222222222224E-4</v>
      </c>
      <c r="J3453"/>
      <c r="K3453"/>
    </row>
    <row r="3454" spans="1:11" x14ac:dyDescent="0.25">
      <c r="A3454">
        <v>1</v>
      </c>
      <c r="B3454">
        <v>13</v>
      </c>
      <c r="C3454"/>
      <c r="D3454" t="s">
        <v>31</v>
      </c>
      <c r="E3454" t="s">
        <v>32</v>
      </c>
      <c r="F3454" t="s">
        <v>47</v>
      </c>
      <c r="G3454" s="118">
        <v>0.68166666666666664</v>
      </c>
      <c r="H3454" s="118">
        <v>5.2083333333333333E-4</v>
      </c>
      <c r="I3454" s="118">
        <v>8.7962962962962962E-4</v>
      </c>
      <c r="J3454" s="118">
        <v>5.0462962962962961E-3</v>
      </c>
      <c r="K3454" s="118">
        <v>5.0462962962962961E-3</v>
      </c>
    </row>
    <row r="3455" spans="1:11" x14ac:dyDescent="0.25">
      <c r="A3455">
        <v>3</v>
      </c>
      <c r="B3455">
        <v>13</v>
      </c>
      <c r="C3455"/>
      <c r="D3455" t="s">
        <v>31</v>
      </c>
      <c r="E3455" t="s">
        <v>35</v>
      </c>
      <c r="F3455" t="s">
        <v>50</v>
      </c>
      <c r="G3455" s="118">
        <v>0.68167824074074079</v>
      </c>
      <c r="H3455" s="118">
        <v>1.1458333333333333E-3</v>
      </c>
      <c r="I3455" s="118">
        <v>3.4722222222222224E-4</v>
      </c>
      <c r="J3455"/>
      <c r="K3455"/>
    </row>
    <row r="3456" spans="1:11" x14ac:dyDescent="0.25">
      <c r="A3456">
        <v>4</v>
      </c>
      <c r="B3456">
        <v>13</v>
      </c>
      <c r="C3456"/>
      <c r="D3456" t="s">
        <v>31</v>
      </c>
      <c r="E3456" t="s">
        <v>32</v>
      </c>
      <c r="F3456" t="s">
        <v>44</v>
      </c>
      <c r="G3456" s="118">
        <v>0.68170138888888887</v>
      </c>
      <c r="H3456" s="118">
        <v>3.4722222222222224E-4</v>
      </c>
      <c r="I3456" s="118">
        <v>9.2592592592592585E-4</v>
      </c>
      <c r="J3456" s="118">
        <v>7.0717592592592594E-3</v>
      </c>
      <c r="K3456" s="118">
        <v>7.0717592592592594E-3</v>
      </c>
    </row>
    <row r="3457" spans="1:11" x14ac:dyDescent="0.25">
      <c r="A3457">
        <v>2</v>
      </c>
      <c r="B3457">
        <v>13</v>
      </c>
      <c r="C3457"/>
      <c r="D3457" t="s">
        <v>31</v>
      </c>
      <c r="E3457" t="s">
        <v>32</v>
      </c>
      <c r="F3457" t="s">
        <v>54</v>
      </c>
      <c r="G3457" s="118">
        <v>0.68177083333333333</v>
      </c>
      <c r="H3457" s="118">
        <v>3.4722222222222224E-4</v>
      </c>
      <c r="I3457" s="118">
        <v>1.1921296296296296E-3</v>
      </c>
      <c r="J3457" s="118">
        <v>7.0717592592592594E-3</v>
      </c>
      <c r="K3457" s="118">
        <v>7.0717592592592594E-3</v>
      </c>
    </row>
    <row r="3458" spans="1:11" x14ac:dyDescent="0.25">
      <c r="A3458">
        <v>8</v>
      </c>
      <c r="B3458">
        <v>1</v>
      </c>
      <c r="C3458"/>
      <c r="D3458" t="s">
        <v>31</v>
      </c>
      <c r="E3458" t="s">
        <v>32</v>
      </c>
      <c r="F3458" t="s">
        <v>45</v>
      </c>
      <c r="G3458" s="118">
        <v>0.68188657407407405</v>
      </c>
      <c r="H3458" s="118">
        <v>3.4722222222222224E-4</v>
      </c>
      <c r="I3458" s="118">
        <v>1.0416666666666667E-3</v>
      </c>
      <c r="J3458" s="118">
        <v>5.0462962962962961E-3</v>
      </c>
      <c r="K3458" s="118">
        <v>5.0462962962962961E-3</v>
      </c>
    </row>
    <row r="3459" spans="1:11" x14ac:dyDescent="0.25">
      <c r="A3459">
        <v>3</v>
      </c>
      <c r="B3459">
        <v>13</v>
      </c>
      <c r="C3459"/>
      <c r="D3459" t="s">
        <v>31</v>
      </c>
      <c r="E3459" t="s">
        <v>32</v>
      </c>
      <c r="F3459" t="s">
        <v>50</v>
      </c>
      <c r="G3459" s="118">
        <v>0.68202546296296296</v>
      </c>
      <c r="H3459" s="118">
        <v>3.4722222222222224E-4</v>
      </c>
      <c r="I3459" s="118">
        <v>1.261574074074074E-3</v>
      </c>
      <c r="J3459" s="118">
        <v>7.0717592592592594E-3</v>
      </c>
      <c r="K3459" s="118">
        <v>7.0717592592592594E-3</v>
      </c>
    </row>
    <row r="3460" spans="1:11" x14ac:dyDescent="0.25">
      <c r="A3460">
        <v>1</v>
      </c>
      <c r="B3460">
        <v>13</v>
      </c>
      <c r="C3460"/>
      <c r="D3460" t="s">
        <v>31</v>
      </c>
      <c r="E3460" t="s">
        <v>35</v>
      </c>
      <c r="F3460" t="s">
        <v>53</v>
      </c>
      <c r="G3460" s="118">
        <v>0.68254629629629626</v>
      </c>
      <c r="H3460" s="118">
        <v>8.7962962962962962E-4</v>
      </c>
      <c r="I3460" s="118">
        <v>3.4722222222222224E-4</v>
      </c>
      <c r="J3460"/>
      <c r="K3460"/>
    </row>
    <row r="3461" spans="1:11" x14ac:dyDescent="0.25">
      <c r="A3461">
        <v>4</v>
      </c>
      <c r="B3461">
        <v>13</v>
      </c>
      <c r="C3461"/>
      <c r="D3461" t="s">
        <v>31</v>
      </c>
      <c r="E3461" t="s">
        <v>35</v>
      </c>
      <c r="F3461" t="s">
        <v>49</v>
      </c>
      <c r="G3461" s="118">
        <v>0.68262731481481476</v>
      </c>
      <c r="H3461" s="118">
        <v>9.2592592592592585E-4</v>
      </c>
      <c r="I3461" s="118">
        <v>3.4722222222222224E-4</v>
      </c>
      <c r="J3461"/>
      <c r="K3461"/>
    </row>
    <row r="3462" spans="1:11" x14ac:dyDescent="0.25">
      <c r="A3462">
        <v>1</v>
      </c>
      <c r="B3462">
        <v>13</v>
      </c>
      <c r="C3462"/>
      <c r="D3462" t="s">
        <v>31</v>
      </c>
      <c r="E3462" t="s">
        <v>32</v>
      </c>
      <c r="F3462" t="s">
        <v>53</v>
      </c>
      <c r="G3462" s="118">
        <v>0.68289351851851843</v>
      </c>
      <c r="H3462" s="118">
        <v>3.4722222222222224E-4</v>
      </c>
      <c r="I3462" s="118">
        <v>8.449074074074075E-4</v>
      </c>
      <c r="J3462" s="118">
        <v>5.0462962962962961E-3</v>
      </c>
      <c r="K3462" s="118">
        <v>5.0462962962962961E-3</v>
      </c>
    </row>
    <row r="3463" spans="1:11" x14ac:dyDescent="0.25">
      <c r="A3463">
        <v>5</v>
      </c>
      <c r="B3463">
        <v>14</v>
      </c>
      <c r="C3463"/>
      <c r="D3463" t="s">
        <v>31</v>
      </c>
      <c r="E3463" t="s">
        <v>35</v>
      </c>
      <c r="F3463" t="s">
        <v>46</v>
      </c>
      <c r="G3463" s="118">
        <v>0.68289351851851843</v>
      </c>
      <c r="H3463" s="118">
        <v>1.8055555555555557E-3</v>
      </c>
      <c r="I3463" s="118">
        <v>3.4722222222222224E-4</v>
      </c>
      <c r="J3463"/>
      <c r="K3463"/>
    </row>
    <row r="3464" spans="1:11" x14ac:dyDescent="0.25">
      <c r="A3464">
        <v>8</v>
      </c>
      <c r="B3464">
        <v>1</v>
      </c>
      <c r="C3464"/>
      <c r="D3464" t="s">
        <v>31</v>
      </c>
      <c r="E3464" t="s">
        <v>35</v>
      </c>
      <c r="F3464" t="s">
        <v>52</v>
      </c>
      <c r="G3464" s="118">
        <v>0.68292824074074077</v>
      </c>
      <c r="H3464" s="118">
        <v>1.0416666666666667E-3</v>
      </c>
      <c r="I3464" s="118">
        <v>3.4722222222222224E-4</v>
      </c>
      <c r="J3464"/>
      <c r="K3464"/>
    </row>
    <row r="3465" spans="1:11" x14ac:dyDescent="0.25">
      <c r="A3465">
        <v>2</v>
      </c>
      <c r="B3465">
        <v>13</v>
      </c>
      <c r="C3465"/>
      <c r="D3465" t="s">
        <v>31</v>
      </c>
      <c r="E3465" t="s">
        <v>35</v>
      </c>
      <c r="F3465" t="s">
        <v>92</v>
      </c>
      <c r="G3465" s="118">
        <v>0.68296296296296299</v>
      </c>
      <c r="H3465" s="118">
        <v>1.1921296296296296E-3</v>
      </c>
      <c r="I3465" s="118">
        <v>1.0185185185185186E-3</v>
      </c>
      <c r="J3465"/>
      <c r="K3465"/>
    </row>
    <row r="3466" spans="1:11" x14ac:dyDescent="0.25">
      <c r="A3466">
        <v>4</v>
      </c>
      <c r="B3466">
        <v>13</v>
      </c>
      <c r="C3466"/>
      <c r="D3466" t="s">
        <v>31</v>
      </c>
      <c r="E3466" t="s">
        <v>32</v>
      </c>
      <c r="F3466" t="s">
        <v>49</v>
      </c>
      <c r="G3466" s="118">
        <v>0.68297453703703714</v>
      </c>
      <c r="H3466" s="118">
        <v>3.4722222222222224E-4</v>
      </c>
      <c r="I3466" s="118">
        <v>1.3541666666666667E-3</v>
      </c>
      <c r="J3466" s="118">
        <v>7.0717592592592594E-3</v>
      </c>
      <c r="K3466" s="118">
        <v>7.0717592592592594E-3</v>
      </c>
    </row>
    <row r="3467" spans="1:11" x14ac:dyDescent="0.25">
      <c r="A3467">
        <v>5</v>
      </c>
      <c r="B3467">
        <v>14</v>
      </c>
      <c r="C3467"/>
      <c r="D3467" t="s">
        <v>31</v>
      </c>
      <c r="E3467" t="s">
        <v>32</v>
      </c>
      <c r="F3467" t="s">
        <v>46</v>
      </c>
      <c r="G3467" s="118">
        <v>0.6832407407407407</v>
      </c>
      <c r="H3467" s="118">
        <v>3.4722222222222224E-4</v>
      </c>
      <c r="I3467" s="118">
        <v>9.1435185185185185E-4</v>
      </c>
      <c r="J3467" s="118">
        <v>7.0717592592592594E-3</v>
      </c>
      <c r="K3467" s="118">
        <v>5.0462962962962961E-3</v>
      </c>
    </row>
    <row r="3468" spans="1:11" x14ac:dyDescent="0.25">
      <c r="A3468">
        <v>8</v>
      </c>
      <c r="B3468">
        <v>1</v>
      </c>
      <c r="C3468"/>
      <c r="D3468" t="s">
        <v>31</v>
      </c>
      <c r="E3468" t="s">
        <v>32</v>
      </c>
      <c r="F3468" t="s">
        <v>52</v>
      </c>
      <c r="G3468" s="118">
        <v>0.68327546296296304</v>
      </c>
      <c r="H3468" s="118">
        <v>3.4722222222222224E-4</v>
      </c>
      <c r="I3468" s="118">
        <v>1.0532407407407407E-3</v>
      </c>
      <c r="J3468" s="118">
        <v>5.0462962962962961E-3</v>
      </c>
      <c r="K3468" s="118">
        <v>5.0462962962962961E-3</v>
      </c>
    </row>
    <row r="3469" spans="1:11" x14ac:dyDescent="0.25">
      <c r="A3469">
        <v>3</v>
      </c>
      <c r="B3469">
        <v>13</v>
      </c>
      <c r="C3469"/>
      <c r="D3469" t="s">
        <v>31</v>
      </c>
      <c r="E3469" t="s">
        <v>35</v>
      </c>
      <c r="F3469" t="s">
        <v>56</v>
      </c>
      <c r="G3469" s="118">
        <v>0.68328703703703697</v>
      </c>
      <c r="H3469" s="118">
        <v>1.261574074074074E-3</v>
      </c>
      <c r="I3469" s="118">
        <v>3.4722222222222224E-4</v>
      </c>
      <c r="J3469"/>
      <c r="K3469"/>
    </row>
    <row r="3470" spans="1:11" x14ac:dyDescent="0.25">
      <c r="A3470">
        <v>3</v>
      </c>
      <c r="B3470">
        <v>13</v>
      </c>
      <c r="C3470"/>
      <c r="D3470" t="s">
        <v>31</v>
      </c>
      <c r="E3470" t="s">
        <v>32</v>
      </c>
      <c r="F3470" t="s">
        <v>56</v>
      </c>
      <c r="G3470" s="118">
        <v>0.68363425925925936</v>
      </c>
      <c r="H3470" s="118">
        <v>3.4722222222222224E-4</v>
      </c>
      <c r="I3470" s="118">
        <v>9.6064814814814808E-4</v>
      </c>
      <c r="J3470" s="118">
        <v>7.0717592592592594E-3</v>
      </c>
      <c r="K3470" s="118">
        <v>7.0717592592592594E-3</v>
      </c>
    </row>
    <row r="3471" spans="1:11" x14ac:dyDescent="0.25">
      <c r="A3471">
        <v>1</v>
      </c>
      <c r="B3471">
        <v>13</v>
      </c>
      <c r="C3471"/>
      <c r="D3471" t="s">
        <v>31</v>
      </c>
      <c r="E3471" t="s">
        <v>35</v>
      </c>
      <c r="F3471" t="s">
        <v>34</v>
      </c>
      <c r="G3471" s="118">
        <v>0.68373842592592593</v>
      </c>
      <c r="H3471" s="118">
        <v>8.449074074074075E-4</v>
      </c>
      <c r="I3471" s="118">
        <v>3.4722222222222224E-4</v>
      </c>
      <c r="J3471"/>
      <c r="K3471"/>
    </row>
    <row r="3472" spans="1:11" x14ac:dyDescent="0.25">
      <c r="A3472">
        <v>2</v>
      </c>
      <c r="B3472">
        <v>14</v>
      </c>
      <c r="C3472"/>
      <c r="D3472" t="s">
        <v>31</v>
      </c>
      <c r="E3472" t="s">
        <v>32</v>
      </c>
      <c r="F3472" t="s">
        <v>92</v>
      </c>
      <c r="G3472" s="118">
        <v>0.68398148148148152</v>
      </c>
      <c r="H3472" s="118">
        <v>1.0185185185185186E-3</v>
      </c>
      <c r="I3472" s="118">
        <v>1.0069444444444444E-3</v>
      </c>
      <c r="J3472" s="118">
        <v>5.0462962962962961E-3</v>
      </c>
      <c r="K3472" s="118">
        <v>5.0462962962962961E-3</v>
      </c>
    </row>
    <row r="3473" spans="1:11" x14ac:dyDescent="0.25">
      <c r="A3473">
        <v>1</v>
      </c>
      <c r="B3473">
        <v>13</v>
      </c>
      <c r="C3473"/>
      <c r="D3473" t="s">
        <v>31</v>
      </c>
      <c r="E3473" t="s">
        <v>32</v>
      </c>
      <c r="F3473" t="s">
        <v>34</v>
      </c>
      <c r="G3473" s="118">
        <v>0.6840856481481481</v>
      </c>
      <c r="H3473" s="118">
        <v>3.4722222222222224E-4</v>
      </c>
      <c r="I3473" s="118">
        <v>9.1435185185185185E-4</v>
      </c>
      <c r="J3473" s="118">
        <v>5.0462962962962961E-3</v>
      </c>
      <c r="K3473" s="118">
        <v>5.0462962962962961E-3</v>
      </c>
    </row>
    <row r="3474" spans="1:11" x14ac:dyDescent="0.25">
      <c r="A3474">
        <v>5</v>
      </c>
      <c r="B3474">
        <v>14</v>
      </c>
      <c r="C3474"/>
      <c r="D3474" t="s">
        <v>31</v>
      </c>
      <c r="E3474" t="s">
        <v>35</v>
      </c>
      <c r="F3474" t="s">
        <v>51</v>
      </c>
      <c r="G3474" s="118">
        <v>0.68415509259259266</v>
      </c>
      <c r="H3474" s="118">
        <v>9.1435185185185185E-4</v>
      </c>
      <c r="I3474" s="118">
        <v>3.4722222222222224E-4</v>
      </c>
      <c r="J3474"/>
      <c r="K3474"/>
    </row>
    <row r="3475" spans="1:11" x14ac:dyDescent="0.25">
      <c r="A3475">
        <v>4</v>
      </c>
      <c r="B3475">
        <v>13</v>
      </c>
      <c r="C3475"/>
      <c r="D3475" t="s">
        <v>31</v>
      </c>
      <c r="E3475" t="s">
        <v>35</v>
      </c>
      <c r="F3475" t="s">
        <v>33</v>
      </c>
      <c r="G3475" s="118">
        <v>0.68432870370370369</v>
      </c>
      <c r="H3475" s="118">
        <v>1.3541666666666667E-3</v>
      </c>
      <c r="I3475" s="118">
        <v>5.2083333333333333E-4</v>
      </c>
      <c r="J3475"/>
      <c r="K3475"/>
    </row>
    <row r="3476" spans="1:11" x14ac:dyDescent="0.25">
      <c r="A3476">
        <v>8</v>
      </c>
      <c r="B3476">
        <v>1</v>
      </c>
      <c r="C3476"/>
      <c r="D3476" t="s">
        <v>31</v>
      </c>
      <c r="E3476" t="s">
        <v>35</v>
      </c>
      <c r="F3476" t="s">
        <v>57</v>
      </c>
      <c r="G3476" s="118">
        <v>0.68432870370370369</v>
      </c>
      <c r="H3476" s="118">
        <v>1.0532407407407407E-3</v>
      </c>
      <c r="I3476" s="118">
        <v>3.4722222222222224E-4</v>
      </c>
      <c r="J3476"/>
      <c r="K3476"/>
    </row>
    <row r="3477" spans="1:11" x14ac:dyDescent="0.25">
      <c r="A3477">
        <v>5</v>
      </c>
      <c r="B3477">
        <v>14</v>
      </c>
      <c r="C3477"/>
      <c r="D3477" t="s">
        <v>31</v>
      </c>
      <c r="E3477" t="s">
        <v>32</v>
      </c>
      <c r="F3477" t="s">
        <v>51</v>
      </c>
      <c r="G3477" s="118">
        <v>0.68450231481481483</v>
      </c>
      <c r="H3477" s="118">
        <v>3.4722222222222224E-4</v>
      </c>
      <c r="I3477" s="118">
        <v>1.0069444444444444E-3</v>
      </c>
      <c r="J3477" s="118">
        <v>7.0717592592592594E-3</v>
      </c>
      <c r="K3477" s="118">
        <v>5.0462962962962961E-3</v>
      </c>
    </row>
    <row r="3478" spans="1:11" x14ac:dyDescent="0.25">
      <c r="A3478">
        <v>3</v>
      </c>
      <c r="B3478">
        <v>13</v>
      </c>
      <c r="C3478"/>
      <c r="D3478" t="s">
        <v>31</v>
      </c>
      <c r="E3478" t="s">
        <v>35</v>
      </c>
      <c r="F3478" t="s">
        <v>37</v>
      </c>
      <c r="G3478" s="118">
        <v>0.68459490740740747</v>
      </c>
      <c r="H3478" s="118">
        <v>9.6064814814814808E-4</v>
      </c>
      <c r="I3478" s="118">
        <v>3.4722222222222224E-4</v>
      </c>
      <c r="J3478"/>
      <c r="K3478"/>
    </row>
    <row r="3479" spans="1:11" x14ac:dyDescent="0.25">
      <c r="A3479">
        <v>8</v>
      </c>
      <c r="B3479">
        <v>1</v>
      </c>
      <c r="C3479"/>
      <c r="D3479" t="s">
        <v>31</v>
      </c>
      <c r="E3479" t="s">
        <v>32</v>
      </c>
      <c r="F3479" t="s">
        <v>57</v>
      </c>
      <c r="G3479" s="118">
        <v>0.68467592592592597</v>
      </c>
      <c r="H3479" s="118">
        <v>3.4722222222222224E-4</v>
      </c>
      <c r="I3479" s="118">
        <v>9.3750000000000007E-4</v>
      </c>
      <c r="J3479" s="118">
        <v>5.0462962962962961E-3</v>
      </c>
      <c r="K3479" s="118">
        <v>5.0462962962962961E-3</v>
      </c>
    </row>
    <row r="3480" spans="1:11" x14ac:dyDescent="0.25">
      <c r="A3480">
        <v>4</v>
      </c>
      <c r="B3480">
        <v>13</v>
      </c>
      <c r="C3480"/>
      <c r="D3480" t="s">
        <v>31</v>
      </c>
      <c r="E3480" t="s">
        <v>32</v>
      </c>
      <c r="F3480" t="s">
        <v>33</v>
      </c>
      <c r="G3480" s="118">
        <v>0.68484953703703699</v>
      </c>
      <c r="H3480" s="118">
        <v>5.2083333333333333E-4</v>
      </c>
      <c r="I3480" s="118">
        <v>9.6064814814814808E-4</v>
      </c>
      <c r="J3480" s="118">
        <v>7.0717592592592594E-3</v>
      </c>
      <c r="K3480" s="118">
        <v>7.0717592592592594E-3</v>
      </c>
    </row>
    <row r="3481" spans="1:11" x14ac:dyDescent="0.25">
      <c r="A3481">
        <v>3</v>
      </c>
      <c r="B3481">
        <v>13</v>
      </c>
      <c r="C3481"/>
      <c r="D3481" t="s">
        <v>31</v>
      </c>
      <c r="E3481" t="s">
        <v>32</v>
      </c>
      <c r="F3481" t="s">
        <v>37</v>
      </c>
      <c r="G3481" s="118">
        <v>0.68494212962962964</v>
      </c>
      <c r="H3481" s="118">
        <v>3.4722222222222224E-4</v>
      </c>
      <c r="I3481" s="118">
        <v>9.0277777777777784E-4</v>
      </c>
      <c r="J3481" s="118">
        <v>7.0717592592592594E-3</v>
      </c>
      <c r="K3481" s="118">
        <v>7.0717592592592594E-3</v>
      </c>
    </row>
    <row r="3482" spans="1:11" x14ac:dyDescent="0.25">
      <c r="A3482">
        <v>2</v>
      </c>
      <c r="B3482">
        <v>14</v>
      </c>
      <c r="C3482"/>
      <c r="D3482" t="s">
        <v>31</v>
      </c>
      <c r="E3482" t="s">
        <v>35</v>
      </c>
      <c r="F3482" t="s">
        <v>41</v>
      </c>
      <c r="G3482" s="118">
        <v>0.6849884259259259</v>
      </c>
      <c r="H3482" s="118">
        <v>1.0069444444444444E-3</v>
      </c>
      <c r="I3482" s="118">
        <v>3.4722222222222224E-4</v>
      </c>
      <c r="J3482"/>
      <c r="K3482"/>
    </row>
    <row r="3483" spans="1:11" x14ac:dyDescent="0.25">
      <c r="A3483">
        <v>1</v>
      </c>
      <c r="B3483">
        <v>13</v>
      </c>
      <c r="C3483"/>
      <c r="D3483" t="s">
        <v>31</v>
      </c>
      <c r="E3483" t="s">
        <v>35</v>
      </c>
      <c r="F3483" t="s">
        <v>38</v>
      </c>
      <c r="G3483" s="118">
        <v>0.68500000000000005</v>
      </c>
      <c r="H3483" s="118">
        <v>9.1435185185185185E-4</v>
      </c>
      <c r="I3483" s="118">
        <v>3.4722222222222224E-4</v>
      </c>
      <c r="J3483"/>
      <c r="K3483"/>
    </row>
    <row r="3484" spans="1:11" x14ac:dyDescent="0.25">
      <c r="A3484">
        <v>2</v>
      </c>
      <c r="B3484">
        <v>14</v>
      </c>
      <c r="C3484"/>
      <c r="D3484" t="s">
        <v>31</v>
      </c>
      <c r="E3484" t="s">
        <v>32</v>
      </c>
      <c r="F3484" t="s">
        <v>41</v>
      </c>
      <c r="G3484" s="118">
        <v>0.68533564814814818</v>
      </c>
      <c r="H3484" s="118">
        <v>3.4722222222222224E-4</v>
      </c>
      <c r="I3484" s="118">
        <v>8.564814814814815E-4</v>
      </c>
      <c r="J3484" s="118">
        <v>5.0462962962962961E-3</v>
      </c>
      <c r="K3484" s="118">
        <v>5.0462962962962961E-3</v>
      </c>
    </row>
    <row r="3485" spans="1:11" x14ac:dyDescent="0.25">
      <c r="A3485">
        <v>1</v>
      </c>
      <c r="B3485">
        <v>13</v>
      </c>
      <c r="C3485"/>
      <c r="D3485" t="s">
        <v>31</v>
      </c>
      <c r="E3485" t="s">
        <v>32</v>
      </c>
      <c r="F3485" t="s">
        <v>38</v>
      </c>
      <c r="G3485" s="118">
        <v>0.68534722222222222</v>
      </c>
      <c r="H3485" s="118">
        <v>3.4722222222222224E-4</v>
      </c>
      <c r="I3485" s="118">
        <v>1.2384259259259258E-3</v>
      </c>
      <c r="J3485" s="118">
        <v>5.0462962962962961E-3</v>
      </c>
      <c r="K3485" s="118">
        <v>5.0462962962962961E-3</v>
      </c>
    </row>
    <row r="3486" spans="1:11" x14ac:dyDescent="0.25">
      <c r="A3486">
        <v>5</v>
      </c>
      <c r="B3486">
        <v>14</v>
      </c>
      <c r="C3486"/>
      <c r="D3486" t="s">
        <v>31</v>
      </c>
      <c r="E3486" t="s">
        <v>35</v>
      </c>
      <c r="F3486" t="s">
        <v>55</v>
      </c>
      <c r="G3486" s="118">
        <v>0.68550925925925921</v>
      </c>
      <c r="H3486" s="118">
        <v>1.0069444444444444E-3</v>
      </c>
      <c r="I3486" s="118">
        <v>4.6296296296296293E-4</v>
      </c>
      <c r="J3486"/>
      <c r="K3486"/>
    </row>
    <row r="3487" spans="1:11" x14ac:dyDescent="0.25">
      <c r="A3487">
        <v>8</v>
      </c>
      <c r="B3487">
        <v>1</v>
      </c>
      <c r="C3487"/>
      <c r="D3487" t="s">
        <v>31</v>
      </c>
      <c r="E3487" t="s">
        <v>35</v>
      </c>
      <c r="F3487" t="s">
        <v>39</v>
      </c>
      <c r="G3487" s="118">
        <v>0.685613425925926</v>
      </c>
      <c r="H3487" s="118">
        <v>9.3750000000000007E-4</v>
      </c>
      <c r="I3487" s="118">
        <v>5.2083333333333333E-4</v>
      </c>
      <c r="J3487"/>
      <c r="K3487"/>
    </row>
    <row r="3488" spans="1:11" x14ac:dyDescent="0.25">
      <c r="A3488">
        <v>4</v>
      </c>
      <c r="B3488">
        <v>13</v>
      </c>
      <c r="C3488"/>
      <c r="D3488" t="s">
        <v>31</v>
      </c>
      <c r="E3488" t="s">
        <v>35</v>
      </c>
      <c r="F3488" t="s">
        <v>36</v>
      </c>
      <c r="G3488" s="118">
        <v>0.68581018518518511</v>
      </c>
      <c r="H3488" s="118">
        <v>9.6064814814814808E-4</v>
      </c>
      <c r="I3488" s="118">
        <v>3.4722222222222224E-4</v>
      </c>
      <c r="J3488"/>
      <c r="K3488"/>
    </row>
    <row r="3489" spans="1:11" x14ac:dyDescent="0.25">
      <c r="A3489">
        <v>3</v>
      </c>
      <c r="B3489">
        <v>13</v>
      </c>
      <c r="C3489"/>
      <c r="D3489" t="s">
        <v>31</v>
      </c>
      <c r="E3489" t="s">
        <v>35</v>
      </c>
      <c r="F3489" t="s">
        <v>42</v>
      </c>
      <c r="G3489" s="118">
        <v>0.68584490740740733</v>
      </c>
      <c r="H3489" s="118">
        <v>9.0277777777777784E-4</v>
      </c>
      <c r="I3489" s="118">
        <v>3.4722222222222224E-4</v>
      </c>
      <c r="J3489"/>
      <c r="K3489"/>
    </row>
    <row r="3490" spans="1:11" x14ac:dyDescent="0.25">
      <c r="A3490">
        <v>5</v>
      </c>
      <c r="B3490">
        <v>14</v>
      </c>
      <c r="C3490"/>
      <c r="D3490" t="s">
        <v>31</v>
      </c>
      <c r="E3490" t="s">
        <v>32</v>
      </c>
      <c r="F3490" t="s">
        <v>55</v>
      </c>
      <c r="G3490" s="118">
        <v>0.68597222222222232</v>
      </c>
      <c r="H3490" s="118">
        <v>4.6296296296296293E-4</v>
      </c>
      <c r="I3490" s="118">
        <v>4.3981481481481481E-4</v>
      </c>
      <c r="J3490" s="118">
        <v>7.0717592592592594E-3</v>
      </c>
      <c r="K3490" s="118">
        <v>5.0462962962962961E-3</v>
      </c>
    </row>
    <row r="3491" spans="1:11" x14ac:dyDescent="0.25">
      <c r="A3491">
        <v>8</v>
      </c>
      <c r="B3491">
        <v>1</v>
      </c>
      <c r="C3491"/>
      <c r="D3491" t="s">
        <v>31</v>
      </c>
      <c r="E3491" t="s">
        <v>32</v>
      </c>
      <c r="F3491" t="s">
        <v>39</v>
      </c>
      <c r="G3491" s="118">
        <v>0.6861342592592593</v>
      </c>
      <c r="H3491" s="118">
        <v>5.2083333333333333E-4</v>
      </c>
      <c r="I3491" s="118">
        <v>1.8055555555555557E-3</v>
      </c>
      <c r="J3491" s="118">
        <v>5.0462962962962961E-3</v>
      </c>
      <c r="K3491" s="118">
        <v>5.0462962962962961E-3</v>
      </c>
    </row>
    <row r="3492" spans="1:11" x14ac:dyDescent="0.25">
      <c r="A3492">
        <v>4</v>
      </c>
      <c r="B3492">
        <v>13</v>
      </c>
      <c r="C3492"/>
      <c r="D3492" t="s">
        <v>31</v>
      </c>
      <c r="E3492" t="s">
        <v>32</v>
      </c>
      <c r="F3492" t="s">
        <v>36</v>
      </c>
      <c r="G3492" s="118">
        <v>0.68615740740740738</v>
      </c>
      <c r="H3492" s="118">
        <v>3.4722222222222224E-4</v>
      </c>
      <c r="I3492" s="118">
        <v>1.0995370370370371E-3</v>
      </c>
      <c r="J3492" s="118">
        <v>7.0717592592592594E-3</v>
      </c>
      <c r="K3492" s="118">
        <v>7.0717592592592594E-3</v>
      </c>
    </row>
    <row r="3493" spans="1:11" x14ac:dyDescent="0.25">
      <c r="A3493">
        <v>2</v>
      </c>
      <c r="B3493">
        <v>14</v>
      </c>
      <c r="C3493"/>
      <c r="D3493" t="s">
        <v>31</v>
      </c>
      <c r="E3493" t="s">
        <v>35</v>
      </c>
      <c r="F3493" t="s">
        <v>47</v>
      </c>
      <c r="G3493" s="118">
        <v>0.68619212962962972</v>
      </c>
      <c r="H3493" s="118">
        <v>8.564814814814815E-4</v>
      </c>
      <c r="I3493" s="118">
        <v>5.2083333333333333E-4</v>
      </c>
      <c r="J3493"/>
      <c r="K3493"/>
    </row>
    <row r="3494" spans="1:11" x14ac:dyDescent="0.25">
      <c r="A3494">
        <v>3</v>
      </c>
      <c r="B3494">
        <v>13</v>
      </c>
      <c r="C3494"/>
      <c r="D3494" t="s">
        <v>31</v>
      </c>
      <c r="E3494" t="s">
        <v>32</v>
      </c>
      <c r="F3494" t="s">
        <v>42</v>
      </c>
      <c r="G3494" s="118">
        <v>0.68619212962962972</v>
      </c>
      <c r="H3494" s="118">
        <v>3.4722222222222224E-4</v>
      </c>
      <c r="I3494" s="118">
        <v>9.1435185185185185E-4</v>
      </c>
      <c r="J3494" s="118">
        <v>7.0717592592592594E-3</v>
      </c>
      <c r="K3494" s="118">
        <v>7.0717592592592594E-3</v>
      </c>
    </row>
    <row r="3495" spans="1:11" x14ac:dyDescent="0.25">
      <c r="A3495">
        <v>5</v>
      </c>
      <c r="B3495">
        <v>14</v>
      </c>
      <c r="C3495"/>
      <c r="D3495" t="s">
        <v>31</v>
      </c>
      <c r="E3495" t="s">
        <v>35</v>
      </c>
      <c r="F3495" t="s">
        <v>58</v>
      </c>
      <c r="G3495" s="118">
        <v>0.68641203703703713</v>
      </c>
      <c r="H3495" s="118">
        <v>4.3981481481481481E-4</v>
      </c>
      <c r="I3495" s="118">
        <v>5.7870370370370366E-5</v>
      </c>
      <c r="J3495"/>
      <c r="K3495"/>
    </row>
    <row r="3496" spans="1:11" x14ac:dyDescent="0.25">
      <c r="A3496">
        <v>5</v>
      </c>
      <c r="B3496">
        <v>14</v>
      </c>
      <c r="C3496"/>
      <c r="D3496" t="s">
        <v>31</v>
      </c>
      <c r="E3496" t="s">
        <v>32</v>
      </c>
      <c r="F3496" t="s">
        <v>58</v>
      </c>
      <c r="G3496" s="118">
        <v>0.68646990740740732</v>
      </c>
      <c r="H3496" s="118">
        <v>5.7870370370370366E-5</v>
      </c>
      <c r="I3496" s="118">
        <v>4.8611111111111104E-4</v>
      </c>
      <c r="J3496" s="118">
        <v>7.0717592592592594E-3</v>
      </c>
      <c r="K3496" s="118">
        <v>5.0462962962962961E-3</v>
      </c>
    </row>
    <row r="3497" spans="1:11" x14ac:dyDescent="0.25">
      <c r="A3497">
        <v>1</v>
      </c>
      <c r="B3497">
        <v>13</v>
      </c>
      <c r="C3497"/>
      <c r="D3497" t="s">
        <v>31</v>
      </c>
      <c r="E3497" t="s">
        <v>35</v>
      </c>
      <c r="F3497" t="s">
        <v>45</v>
      </c>
      <c r="G3497" s="118">
        <v>0.68658564814814815</v>
      </c>
      <c r="H3497" s="118">
        <v>1.2384259259259258E-3</v>
      </c>
      <c r="I3497" s="118">
        <v>3.4722222222222224E-4</v>
      </c>
      <c r="J3497"/>
      <c r="K3497"/>
    </row>
    <row r="3498" spans="1:11" x14ac:dyDescent="0.25">
      <c r="A3498">
        <v>2</v>
      </c>
      <c r="B3498">
        <v>14</v>
      </c>
      <c r="C3498"/>
      <c r="D3498" t="s">
        <v>31</v>
      </c>
      <c r="E3498" t="s">
        <v>32</v>
      </c>
      <c r="F3498" t="s">
        <v>47</v>
      </c>
      <c r="G3498" s="118">
        <v>0.68671296296296302</v>
      </c>
      <c r="H3498" s="118">
        <v>5.2083333333333333E-4</v>
      </c>
      <c r="I3498" s="118">
        <v>8.7962962962962962E-4</v>
      </c>
      <c r="J3498" s="118">
        <v>5.0462962962962961E-3</v>
      </c>
      <c r="K3498" s="118">
        <v>5.0462962962962961E-3</v>
      </c>
    </row>
    <row r="3499" spans="1:11" x14ac:dyDescent="0.25">
      <c r="A3499">
        <v>1</v>
      </c>
      <c r="B3499">
        <v>13</v>
      </c>
      <c r="C3499"/>
      <c r="D3499" t="s">
        <v>31</v>
      </c>
      <c r="E3499" t="s">
        <v>32</v>
      </c>
      <c r="F3499" t="s">
        <v>45</v>
      </c>
      <c r="G3499" s="118">
        <v>0.68693287037037043</v>
      </c>
      <c r="H3499" s="118">
        <v>3.4722222222222224E-4</v>
      </c>
      <c r="I3499" s="118">
        <v>1.0416666666666667E-3</v>
      </c>
      <c r="J3499" s="118">
        <v>5.0462962962962961E-3</v>
      </c>
      <c r="K3499" s="118">
        <v>5.0462962962962961E-3</v>
      </c>
    </row>
    <row r="3500" spans="1:11" x14ac:dyDescent="0.25">
      <c r="A3500">
        <v>5</v>
      </c>
      <c r="B3500">
        <v>14</v>
      </c>
      <c r="C3500"/>
      <c r="D3500" t="s">
        <v>31</v>
      </c>
      <c r="E3500" t="s">
        <v>35</v>
      </c>
      <c r="F3500" t="s">
        <v>40</v>
      </c>
      <c r="G3500" s="118">
        <v>0.68695601851851851</v>
      </c>
      <c r="H3500" s="118">
        <v>4.8611111111111104E-4</v>
      </c>
      <c r="I3500" s="118">
        <v>4.6296296296296293E-4</v>
      </c>
      <c r="J3500"/>
      <c r="K3500"/>
    </row>
    <row r="3501" spans="1:11" x14ac:dyDescent="0.25">
      <c r="A3501">
        <v>3</v>
      </c>
      <c r="B3501">
        <v>13</v>
      </c>
      <c r="C3501"/>
      <c r="D3501" t="s">
        <v>31</v>
      </c>
      <c r="E3501" t="s">
        <v>35</v>
      </c>
      <c r="F3501" t="s">
        <v>48</v>
      </c>
      <c r="G3501" s="118">
        <v>0.68710648148148146</v>
      </c>
      <c r="H3501" s="118">
        <v>9.1435185185185185E-4</v>
      </c>
      <c r="I3501" s="118">
        <v>5.2083333333333333E-4</v>
      </c>
      <c r="J3501"/>
      <c r="K3501"/>
    </row>
    <row r="3502" spans="1:11" x14ac:dyDescent="0.25">
      <c r="A3502">
        <v>4</v>
      </c>
      <c r="B3502">
        <v>13</v>
      </c>
      <c r="C3502"/>
      <c r="D3502" t="s">
        <v>31</v>
      </c>
      <c r="E3502" t="s">
        <v>35</v>
      </c>
      <c r="F3502" t="s">
        <v>43</v>
      </c>
      <c r="G3502" s="118">
        <v>0.68725694444444441</v>
      </c>
      <c r="H3502" s="118">
        <v>1.0995370370370371E-3</v>
      </c>
      <c r="I3502" s="118">
        <v>3.4722222222222224E-4</v>
      </c>
      <c r="J3502"/>
      <c r="K3502"/>
    </row>
    <row r="3503" spans="1:11" x14ac:dyDescent="0.25">
      <c r="A3503">
        <v>5</v>
      </c>
      <c r="B3503">
        <v>14</v>
      </c>
      <c r="C3503"/>
      <c r="D3503" t="s">
        <v>31</v>
      </c>
      <c r="E3503" t="s">
        <v>32</v>
      </c>
      <c r="F3503" t="s">
        <v>40</v>
      </c>
      <c r="G3503" s="118">
        <v>0.68741898148148151</v>
      </c>
      <c r="H3503" s="118">
        <v>4.6296296296296293E-4</v>
      </c>
      <c r="I3503" s="118">
        <v>1.0069444444444444E-3</v>
      </c>
      <c r="J3503" s="118">
        <v>7.0717592592592594E-3</v>
      </c>
      <c r="K3503" s="118">
        <v>5.0462962962962961E-3</v>
      </c>
    </row>
    <row r="3504" spans="1:11" x14ac:dyDescent="0.25">
      <c r="A3504">
        <v>2</v>
      </c>
      <c r="B3504">
        <v>14</v>
      </c>
      <c r="C3504"/>
      <c r="D3504" t="s">
        <v>31</v>
      </c>
      <c r="E3504" t="s">
        <v>35</v>
      </c>
      <c r="F3504" t="s">
        <v>53</v>
      </c>
      <c r="G3504" s="118">
        <v>0.68759259259259264</v>
      </c>
      <c r="H3504" s="118">
        <v>8.7962962962962962E-4</v>
      </c>
      <c r="I3504" s="118">
        <v>3.4722222222222224E-4</v>
      </c>
      <c r="J3504"/>
      <c r="K3504"/>
    </row>
    <row r="3505" spans="1:11" x14ac:dyDescent="0.25">
      <c r="A3505">
        <v>4</v>
      </c>
      <c r="B3505">
        <v>13</v>
      </c>
      <c r="C3505"/>
      <c r="D3505" t="s">
        <v>31</v>
      </c>
      <c r="E3505" t="s">
        <v>32</v>
      </c>
      <c r="F3505" t="s">
        <v>43</v>
      </c>
      <c r="G3505" s="118">
        <v>0.68760416666666668</v>
      </c>
      <c r="H3505" s="118">
        <v>3.4722222222222224E-4</v>
      </c>
      <c r="I3505" s="118">
        <v>1.1458333333333333E-3</v>
      </c>
      <c r="J3505" s="118">
        <v>7.0717592592592594E-3</v>
      </c>
      <c r="K3505" s="118">
        <v>7.0717592592592594E-3</v>
      </c>
    </row>
    <row r="3506" spans="1:11" x14ac:dyDescent="0.25">
      <c r="A3506">
        <v>3</v>
      </c>
      <c r="B3506">
        <v>13</v>
      </c>
      <c r="C3506"/>
      <c r="D3506" t="s">
        <v>31</v>
      </c>
      <c r="E3506" t="s">
        <v>32</v>
      </c>
      <c r="F3506" t="s">
        <v>48</v>
      </c>
      <c r="G3506" s="118">
        <v>0.68762731481481476</v>
      </c>
      <c r="H3506" s="118">
        <v>5.2083333333333333E-4</v>
      </c>
      <c r="I3506" s="118">
        <v>8.6805555555555551E-4</v>
      </c>
      <c r="J3506" s="118">
        <v>7.0717592592592594E-3</v>
      </c>
      <c r="K3506" s="118">
        <v>7.0717592592592594E-3</v>
      </c>
    </row>
    <row r="3507" spans="1:11" x14ac:dyDescent="0.25">
      <c r="A3507">
        <v>2</v>
      </c>
      <c r="B3507">
        <v>14</v>
      </c>
      <c r="C3507"/>
      <c r="D3507" t="s">
        <v>31</v>
      </c>
      <c r="E3507" t="s">
        <v>32</v>
      </c>
      <c r="F3507" t="s">
        <v>53</v>
      </c>
      <c r="G3507" s="118">
        <v>0.68793981481481481</v>
      </c>
      <c r="H3507" s="118">
        <v>3.4722222222222224E-4</v>
      </c>
      <c r="I3507" s="118">
        <v>8.449074074074075E-4</v>
      </c>
      <c r="J3507" s="118">
        <v>5.0462962962962961E-3</v>
      </c>
      <c r="K3507" s="118">
        <v>5.0462962962962961E-3</v>
      </c>
    </row>
    <row r="3508" spans="1:11" x14ac:dyDescent="0.25">
      <c r="A3508">
        <v>8</v>
      </c>
      <c r="B3508">
        <v>1</v>
      </c>
      <c r="C3508"/>
      <c r="D3508" t="s">
        <v>31</v>
      </c>
      <c r="E3508" t="s">
        <v>35</v>
      </c>
      <c r="F3508" t="s">
        <v>46</v>
      </c>
      <c r="G3508" s="118">
        <v>0.68793981481481481</v>
      </c>
      <c r="H3508" s="118">
        <v>1.8055555555555557E-3</v>
      </c>
      <c r="I3508" s="118">
        <v>3.4722222222222224E-4</v>
      </c>
      <c r="J3508"/>
      <c r="K3508"/>
    </row>
    <row r="3509" spans="1:11" x14ac:dyDescent="0.25">
      <c r="A3509">
        <v>1</v>
      </c>
      <c r="B3509">
        <v>13</v>
      </c>
      <c r="C3509"/>
      <c r="D3509" t="s">
        <v>31</v>
      </c>
      <c r="E3509" t="s">
        <v>35</v>
      </c>
      <c r="F3509" t="s">
        <v>52</v>
      </c>
      <c r="G3509" s="118">
        <v>0.68797453703703704</v>
      </c>
      <c r="H3509" s="118">
        <v>1.0416666666666667E-3</v>
      </c>
      <c r="I3509" s="118">
        <v>3.4722222222222224E-4</v>
      </c>
      <c r="J3509"/>
      <c r="K3509"/>
    </row>
    <row r="3510" spans="1:11" x14ac:dyDescent="0.25">
      <c r="A3510">
        <v>8</v>
      </c>
      <c r="B3510">
        <v>1</v>
      </c>
      <c r="C3510"/>
      <c r="D3510" t="s">
        <v>31</v>
      </c>
      <c r="E3510" t="s">
        <v>32</v>
      </c>
      <c r="F3510" t="s">
        <v>46</v>
      </c>
      <c r="G3510" s="118">
        <v>0.68828703703703698</v>
      </c>
      <c r="H3510" s="118">
        <v>3.4722222222222224E-4</v>
      </c>
      <c r="I3510" s="118">
        <v>9.1435185185185185E-4</v>
      </c>
      <c r="J3510" s="118">
        <v>5.0462962962962961E-3</v>
      </c>
      <c r="K3510" s="118">
        <v>5.0462962962962961E-3</v>
      </c>
    </row>
    <row r="3511" spans="1:11" x14ac:dyDescent="0.25">
      <c r="A3511">
        <v>1</v>
      </c>
      <c r="B3511">
        <v>13</v>
      </c>
      <c r="C3511"/>
      <c r="D3511" t="s">
        <v>31</v>
      </c>
      <c r="E3511" t="s">
        <v>32</v>
      </c>
      <c r="F3511" t="s">
        <v>52</v>
      </c>
      <c r="G3511" s="118">
        <v>0.6883217592592592</v>
      </c>
      <c r="H3511" s="118">
        <v>3.4722222222222224E-4</v>
      </c>
      <c r="I3511" s="118">
        <v>1.0532407407407407E-3</v>
      </c>
      <c r="J3511" s="118">
        <v>5.0462962962962961E-3</v>
      </c>
      <c r="K3511" s="118">
        <v>5.0462962962962961E-3</v>
      </c>
    </row>
    <row r="3512" spans="1:11" x14ac:dyDescent="0.25">
      <c r="A3512">
        <v>5</v>
      </c>
      <c r="B3512">
        <v>14</v>
      </c>
      <c r="C3512"/>
      <c r="D3512" t="s">
        <v>31</v>
      </c>
      <c r="E3512" t="s">
        <v>35</v>
      </c>
      <c r="F3512" t="s">
        <v>44</v>
      </c>
      <c r="G3512" s="118">
        <v>0.68842592592592589</v>
      </c>
      <c r="H3512" s="118">
        <v>1.0069444444444444E-3</v>
      </c>
      <c r="I3512" s="118">
        <v>3.4722222222222224E-4</v>
      </c>
      <c r="J3512"/>
      <c r="K3512"/>
    </row>
    <row r="3513" spans="1:11" x14ac:dyDescent="0.25">
      <c r="A3513">
        <v>3</v>
      </c>
      <c r="B3513">
        <v>13</v>
      </c>
      <c r="C3513"/>
      <c r="D3513" t="s">
        <v>31</v>
      </c>
      <c r="E3513" t="s">
        <v>35</v>
      </c>
      <c r="F3513" t="s">
        <v>54</v>
      </c>
      <c r="G3513" s="118">
        <v>0.68849537037037034</v>
      </c>
      <c r="H3513" s="118">
        <v>8.6805555555555551E-4</v>
      </c>
      <c r="I3513" s="118">
        <v>3.4722222222222224E-4</v>
      </c>
      <c r="J3513"/>
      <c r="K3513"/>
    </row>
    <row r="3514" spans="1:11" x14ac:dyDescent="0.25">
      <c r="A3514">
        <v>4</v>
      </c>
      <c r="B3514">
        <v>13</v>
      </c>
      <c r="C3514"/>
      <c r="D3514" t="s">
        <v>31</v>
      </c>
      <c r="E3514" t="s">
        <v>35</v>
      </c>
      <c r="F3514" t="s">
        <v>50</v>
      </c>
      <c r="G3514" s="118">
        <v>0.68875000000000008</v>
      </c>
      <c r="H3514" s="118">
        <v>1.1458333333333333E-3</v>
      </c>
      <c r="I3514" s="118">
        <v>3.4722222222222224E-4</v>
      </c>
      <c r="J3514"/>
      <c r="K3514"/>
    </row>
    <row r="3515" spans="1:11" x14ac:dyDescent="0.25">
      <c r="A3515">
        <v>5</v>
      </c>
      <c r="B3515">
        <v>14</v>
      </c>
      <c r="C3515"/>
      <c r="D3515" t="s">
        <v>31</v>
      </c>
      <c r="E3515" t="s">
        <v>32</v>
      </c>
      <c r="F3515" t="s">
        <v>44</v>
      </c>
      <c r="G3515" s="118">
        <v>0.68877314814814816</v>
      </c>
      <c r="H3515" s="118">
        <v>3.4722222222222224E-4</v>
      </c>
      <c r="I3515" s="118">
        <v>9.2592592592592585E-4</v>
      </c>
      <c r="J3515" s="118">
        <v>7.0717592592592594E-3</v>
      </c>
      <c r="K3515" s="118">
        <v>5.0462962962962961E-3</v>
      </c>
    </row>
    <row r="3516" spans="1:11" x14ac:dyDescent="0.25">
      <c r="A3516">
        <v>2</v>
      </c>
      <c r="B3516">
        <v>14</v>
      </c>
      <c r="C3516"/>
      <c r="D3516" t="s">
        <v>31</v>
      </c>
      <c r="E3516" t="s">
        <v>35</v>
      </c>
      <c r="F3516" t="s">
        <v>34</v>
      </c>
      <c r="G3516" s="118">
        <v>0.6887847222222222</v>
      </c>
      <c r="H3516" s="118">
        <v>8.449074074074075E-4</v>
      </c>
      <c r="I3516" s="118">
        <v>3.4722222222222224E-4</v>
      </c>
      <c r="J3516"/>
      <c r="K3516"/>
    </row>
    <row r="3517" spans="1:11" x14ac:dyDescent="0.25">
      <c r="A3517">
        <v>3</v>
      </c>
      <c r="B3517">
        <v>13</v>
      </c>
      <c r="C3517"/>
      <c r="D3517" t="s">
        <v>31</v>
      </c>
      <c r="E3517" t="s">
        <v>32</v>
      </c>
      <c r="F3517" t="s">
        <v>54</v>
      </c>
      <c r="G3517" s="118">
        <v>0.68884259259259262</v>
      </c>
      <c r="H3517" s="118">
        <v>3.4722222222222224E-4</v>
      </c>
      <c r="I3517" s="118">
        <v>1.7592592592592592E-3</v>
      </c>
      <c r="J3517" s="118">
        <v>7.0717592592592594E-3</v>
      </c>
      <c r="K3517" s="118">
        <v>7.0717592592592594E-3</v>
      </c>
    </row>
    <row r="3518" spans="1:11" x14ac:dyDescent="0.25">
      <c r="A3518">
        <v>9</v>
      </c>
      <c r="B3518">
        <v>1</v>
      </c>
      <c r="C3518"/>
      <c r="D3518" t="s">
        <v>31</v>
      </c>
      <c r="E3518" t="s">
        <v>32</v>
      </c>
      <c r="F3518" t="s">
        <v>92</v>
      </c>
      <c r="G3518" s="118">
        <v>0.68902777777777768</v>
      </c>
      <c r="H3518"/>
      <c r="I3518" s="118">
        <v>1.0069444444444444E-3</v>
      </c>
      <c r="J3518" s="118">
        <v>5.0462962962962961E-3</v>
      </c>
      <c r="K3518" s="118">
        <v>5.0462962962962961E-3</v>
      </c>
    </row>
    <row r="3519" spans="1:11" x14ac:dyDescent="0.25">
      <c r="A3519">
        <v>4</v>
      </c>
      <c r="B3519">
        <v>13</v>
      </c>
      <c r="C3519"/>
      <c r="D3519" t="s">
        <v>31</v>
      </c>
      <c r="E3519" t="s">
        <v>32</v>
      </c>
      <c r="F3519" t="s">
        <v>50</v>
      </c>
      <c r="G3519" s="118">
        <v>0.68909722222222225</v>
      </c>
      <c r="H3519" s="118">
        <v>3.4722222222222224E-4</v>
      </c>
      <c r="I3519" s="118">
        <v>1.261574074074074E-3</v>
      </c>
      <c r="J3519" s="118">
        <v>7.0717592592592594E-3</v>
      </c>
      <c r="K3519" s="118">
        <v>7.0717592592592594E-3</v>
      </c>
    </row>
    <row r="3520" spans="1:11" x14ac:dyDescent="0.25">
      <c r="A3520">
        <v>2</v>
      </c>
      <c r="B3520">
        <v>14</v>
      </c>
      <c r="C3520"/>
      <c r="D3520" t="s">
        <v>31</v>
      </c>
      <c r="E3520" t="s">
        <v>32</v>
      </c>
      <c r="F3520" t="s">
        <v>34</v>
      </c>
      <c r="G3520" s="118">
        <v>0.68913194444444448</v>
      </c>
      <c r="H3520" s="118">
        <v>3.4722222222222224E-4</v>
      </c>
      <c r="I3520" s="118">
        <v>9.1435185185185185E-4</v>
      </c>
      <c r="J3520" s="118">
        <v>5.0462962962962961E-3</v>
      </c>
      <c r="K3520" s="118">
        <v>5.0462962962962961E-3</v>
      </c>
    </row>
    <row r="3521" spans="1:11" x14ac:dyDescent="0.25">
      <c r="A3521">
        <v>8</v>
      </c>
      <c r="B3521">
        <v>1</v>
      </c>
      <c r="C3521"/>
      <c r="D3521" t="s">
        <v>31</v>
      </c>
      <c r="E3521" t="s">
        <v>35</v>
      </c>
      <c r="F3521" t="s">
        <v>51</v>
      </c>
      <c r="G3521" s="118">
        <v>0.68920138888888882</v>
      </c>
      <c r="H3521" s="118">
        <v>9.1435185185185185E-4</v>
      </c>
      <c r="I3521" s="118">
        <v>3.4722222222222224E-4</v>
      </c>
      <c r="J3521"/>
      <c r="K3521"/>
    </row>
    <row r="3522" spans="1:11" x14ac:dyDescent="0.25">
      <c r="A3522">
        <v>1</v>
      </c>
      <c r="B3522">
        <v>13</v>
      </c>
      <c r="C3522"/>
      <c r="D3522" t="s">
        <v>31</v>
      </c>
      <c r="E3522" t="s">
        <v>35</v>
      </c>
      <c r="F3522" t="s">
        <v>57</v>
      </c>
      <c r="G3522" s="118">
        <v>0.68937500000000007</v>
      </c>
      <c r="H3522" s="118">
        <v>1.0532407407407407E-3</v>
      </c>
      <c r="I3522" s="118">
        <v>3.4722222222222224E-4</v>
      </c>
      <c r="J3522"/>
      <c r="K3522"/>
    </row>
    <row r="3523" spans="1:11" x14ac:dyDescent="0.25">
      <c r="A3523">
        <v>8</v>
      </c>
      <c r="B3523">
        <v>1</v>
      </c>
      <c r="C3523"/>
      <c r="D3523" t="s">
        <v>31</v>
      </c>
      <c r="E3523" t="s">
        <v>32</v>
      </c>
      <c r="F3523" t="s">
        <v>51</v>
      </c>
      <c r="G3523" s="118">
        <v>0.68954861111111121</v>
      </c>
      <c r="H3523" s="118">
        <v>3.4722222222222224E-4</v>
      </c>
      <c r="I3523" s="118">
        <v>1.0069444444444444E-3</v>
      </c>
      <c r="J3523" s="118">
        <v>5.0462962962962961E-3</v>
      </c>
      <c r="K3523" s="118">
        <v>5.0462962962962961E-3</v>
      </c>
    </row>
    <row r="3524" spans="1:11" x14ac:dyDescent="0.25">
      <c r="A3524">
        <v>5</v>
      </c>
      <c r="B3524">
        <v>14</v>
      </c>
      <c r="C3524"/>
      <c r="D3524" t="s">
        <v>31</v>
      </c>
      <c r="E3524" t="s">
        <v>35</v>
      </c>
      <c r="F3524" t="s">
        <v>49</v>
      </c>
      <c r="G3524" s="118">
        <v>0.68969907407407405</v>
      </c>
      <c r="H3524" s="118">
        <v>9.2592592592592585E-4</v>
      </c>
      <c r="I3524" s="118">
        <v>3.4722222222222224E-4</v>
      </c>
      <c r="J3524"/>
      <c r="K3524"/>
    </row>
    <row r="3525" spans="1:11" x14ac:dyDescent="0.25">
      <c r="A3525">
        <v>1</v>
      </c>
      <c r="B3525">
        <v>13</v>
      </c>
      <c r="C3525"/>
      <c r="D3525" t="s">
        <v>31</v>
      </c>
      <c r="E3525" t="s">
        <v>32</v>
      </c>
      <c r="F3525" t="s">
        <v>57</v>
      </c>
      <c r="G3525" s="118">
        <v>0.68972222222222224</v>
      </c>
      <c r="H3525" s="118">
        <v>3.4722222222222224E-4</v>
      </c>
      <c r="I3525" s="118">
        <v>9.3750000000000007E-4</v>
      </c>
      <c r="J3525" s="118">
        <v>5.0462962962962961E-3</v>
      </c>
      <c r="K3525" s="118">
        <v>5.0462962962962961E-3</v>
      </c>
    </row>
    <row r="3526" spans="1:11" x14ac:dyDescent="0.25">
      <c r="A3526">
        <v>9</v>
      </c>
      <c r="B3526">
        <v>1</v>
      </c>
      <c r="C3526"/>
      <c r="D3526" t="s">
        <v>31</v>
      </c>
      <c r="E3526" t="s">
        <v>35</v>
      </c>
      <c r="F3526" t="s">
        <v>41</v>
      </c>
      <c r="G3526" s="118">
        <v>0.69003472222222229</v>
      </c>
      <c r="H3526" s="118">
        <v>1.0069444444444444E-3</v>
      </c>
      <c r="I3526" s="118">
        <v>3.4722222222222224E-4</v>
      </c>
      <c r="J3526"/>
      <c r="K3526"/>
    </row>
    <row r="3527" spans="1:11" x14ac:dyDescent="0.25">
      <c r="A3527">
        <v>2</v>
      </c>
      <c r="B3527">
        <v>14</v>
      </c>
      <c r="C3527"/>
      <c r="D3527" t="s">
        <v>31</v>
      </c>
      <c r="E3527" t="s">
        <v>35</v>
      </c>
      <c r="F3527" t="s">
        <v>38</v>
      </c>
      <c r="G3527" s="118">
        <v>0.69004629629629621</v>
      </c>
      <c r="H3527" s="118">
        <v>9.1435185185185185E-4</v>
      </c>
      <c r="I3527" s="118">
        <v>3.4722222222222224E-4</v>
      </c>
      <c r="J3527"/>
      <c r="K3527"/>
    </row>
    <row r="3528" spans="1:11" x14ac:dyDescent="0.25">
      <c r="A3528">
        <v>5</v>
      </c>
      <c r="B3528">
        <v>14</v>
      </c>
      <c r="C3528"/>
      <c r="D3528" t="s">
        <v>31</v>
      </c>
      <c r="E3528" t="s">
        <v>32</v>
      </c>
      <c r="F3528" t="s">
        <v>49</v>
      </c>
      <c r="G3528" s="118">
        <v>0.69004629629629621</v>
      </c>
      <c r="H3528" s="118">
        <v>3.4722222222222224E-4</v>
      </c>
      <c r="I3528" s="118">
        <v>1.3541666666666667E-3</v>
      </c>
      <c r="J3528" s="118">
        <v>7.0717592592592594E-3</v>
      </c>
      <c r="K3528" s="118">
        <v>5.0462962962962961E-3</v>
      </c>
    </row>
    <row r="3529" spans="1:11" x14ac:dyDescent="0.25">
      <c r="A3529">
        <v>4</v>
      </c>
      <c r="B3529">
        <v>13</v>
      </c>
      <c r="C3529"/>
      <c r="D3529" t="s">
        <v>31</v>
      </c>
      <c r="E3529" t="s">
        <v>35</v>
      </c>
      <c r="F3529" t="s">
        <v>56</v>
      </c>
      <c r="G3529" s="118">
        <v>0.69035879629629626</v>
      </c>
      <c r="H3529" s="118">
        <v>1.261574074074074E-3</v>
      </c>
      <c r="I3529" s="118">
        <v>3.4722222222222224E-4</v>
      </c>
      <c r="J3529"/>
      <c r="K3529"/>
    </row>
    <row r="3530" spans="1:11" x14ac:dyDescent="0.25">
      <c r="A3530">
        <v>9</v>
      </c>
      <c r="B3530">
        <v>1</v>
      </c>
      <c r="C3530"/>
      <c r="D3530" t="s">
        <v>31</v>
      </c>
      <c r="E3530" t="s">
        <v>32</v>
      </c>
      <c r="F3530" t="s">
        <v>41</v>
      </c>
      <c r="G3530" s="118">
        <v>0.69038194444444445</v>
      </c>
      <c r="H3530" s="118">
        <v>3.4722222222222224E-4</v>
      </c>
      <c r="I3530" s="118">
        <v>8.564814814814815E-4</v>
      </c>
      <c r="J3530" s="118">
        <v>5.0462962962962961E-3</v>
      </c>
      <c r="K3530" s="118">
        <v>5.0462962962962961E-3</v>
      </c>
    </row>
    <row r="3531" spans="1:11" x14ac:dyDescent="0.25">
      <c r="A3531">
        <v>2</v>
      </c>
      <c r="B3531">
        <v>14</v>
      </c>
      <c r="C3531"/>
      <c r="D3531" t="s">
        <v>31</v>
      </c>
      <c r="E3531" t="s">
        <v>32</v>
      </c>
      <c r="F3531" t="s">
        <v>38</v>
      </c>
      <c r="G3531" s="118">
        <v>0.69039351851851849</v>
      </c>
      <c r="H3531" s="118">
        <v>3.4722222222222224E-4</v>
      </c>
      <c r="I3531" s="118">
        <v>1.2384259259259258E-3</v>
      </c>
      <c r="J3531" s="118">
        <v>5.0462962962962961E-3</v>
      </c>
      <c r="K3531" s="118">
        <v>5.0462962962962961E-3</v>
      </c>
    </row>
    <row r="3532" spans="1:11" x14ac:dyDescent="0.25">
      <c r="A3532">
        <v>8</v>
      </c>
      <c r="B3532">
        <v>1</v>
      </c>
      <c r="C3532"/>
      <c r="D3532" t="s">
        <v>31</v>
      </c>
      <c r="E3532" t="s">
        <v>35</v>
      </c>
      <c r="F3532" t="s">
        <v>55</v>
      </c>
      <c r="G3532" s="118">
        <v>0.69055555555555559</v>
      </c>
      <c r="H3532" s="118">
        <v>1.0069444444444444E-3</v>
      </c>
      <c r="I3532" s="118">
        <v>4.6296296296296293E-4</v>
      </c>
      <c r="J3532"/>
      <c r="K3532"/>
    </row>
    <row r="3533" spans="1:11" x14ac:dyDescent="0.25">
      <c r="A3533">
        <v>3</v>
      </c>
      <c r="B3533">
        <v>13</v>
      </c>
      <c r="C3533"/>
      <c r="D3533" t="s">
        <v>31</v>
      </c>
      <c r="E3533" t="s">
        <v>35</v>
      </c>
      <c r="F3533" t="s">
        <v>92</v>
      </c>
      <c r="G3533" s="118">
        <v>0.69060185185185186</v>
      </c>
      <c r="H3533" s="118">
        <v>1.7592592592592592E-3</v>
      </c>
      <c r="I3533" s="118">
        <v>3.472222222222222E-3</v>
      </c>
      <c r="J3533"/>
      <c r="K3533"/>
    </row>
    <row r="3534" spans="1:11" x14ac:dyDescent="0.25">
      <c r="A3534">
        <v>1</v>
      </c>
      <c r="B3534">
        <v>13</v>
      </c>
      <c r="C3534"/>
      <c r="D3534" t="s">
        <v>31</v>
      </c>
      <c r="E3534" t="s">
        <v>35</v>
      </c>
      <c r="F3534" t="s">
        <v>39</v>
      </c>
      <c r="G3534" s="118">
        <v>0.69065972222222216</v>
      </c>
      <c r="H3534" s="118">
        <v>9.3750000000000007E-4</v>
      </c>
      <c r="I3534" s="118">
        <v>5.2083333333333333E-4</v>
      </c>
      <c r="J3534"/>
      <c r="K3534"/>
    </row>
    <row r="3535" spans="1:11" x14ac:dyDescent="0.25">
      <c r="A3535">
        <v>4</v>
      </c>
      <c r="B3535">
        <v>13</v>
      </c>
      <c r="C3535"/>
      <c r="D3535" t="s">
        <v>31</v>
      </c>
      <c r="E3535" t="s">
        <v>32</v>
      </c>
      <c r="F3535" t="s">
        <v>56</v>
      </c>
      <c r="G3535" s="118">
        <v>0.69070601851851843</v>
      </c>
      <c r="H3535" s="118">
        <v>3.4722222222222224E-4</v>
      </c>
      <c r="I3535" s="118">
        <v>9.6064814814814808E-4</v>
      </c>
      <c r="J3535" s="118">
        <v>7.0717592592592594E-3</v>
      </c>
      <c r="K3535" s="118">
        <v>7.0717592592592594E-3</v>
      </c>
    </row>
    <row r="3536" spans="1:11" x14ac:dyDescent="0.25">
      <c r="A3536">
        <v>8</v>
      </c>
      <c r="B3536">
        <v>1</v>
      </c>
      <c r="C3536"/>
      <c r="D3536" t="s">
        <v>31</v>
      </c>
      <c r="E3536" t="s">
        <v>32</v>
      </c>
      <c r="F3536" t="s">
        <v>55</v>
      </c>
      <c r="G3536" s="118">
        <v>0.69101851851851848</v>
      </c>
      <c r="H3536" s="118">
        <v>4.6296296296296293E-4</v>
      </c>
      <c r="I3536" s="118">
        <v>4.3981481481481481E-4</v>
      </c>
      <c r="J3536" s="118">
        <v>5.0462962962962961E-3</v>
      </c>
      <c r="K3536" s="118">
        <v>5.0462962962962961E-3</v>
      </c>
    </row>
    <row r="3537" spans="1:11" x14ac:dyDescent="0.25">
      <c r="A3537">
        <v>1</v>
      </c>
      <c r="B3537">
        <v>13</v>
      </c>
      <c r="C3537"/>
      <c r="D3537" t="s">
        <v>31</v>
      </c>
      <c r="E3537" t="s">
        <v>32</v>
      </c>
      <c r="F3537" t="s">
        <v>39</v>
      </c>
      <c r="G3537" s="118">
        <v>0.69118055555555558</v>
      </c>
      <c r="H3537" s="118">
        <v>5.2083333333333333E-4</v>
      </c>
      <c r="I3537" s="118">
        <v>1.8055555555555557E-3</v>
      </c>
      <c r="J3537" s="118">
        <v>5.0462962962962961E-3</v>
      </c>
      <c r="K3537" s="118">
        <v>5.0462962962962961E-3</v>
      </c>
    </row>
    <row r="3538" spans="1:11" x14ac:dyDescent="0.25">
      <c r="A3538">
        <v>9</v>
      </c>
      <c r="B3538">
        <v>1</v>
      </c>
      <c r="C3538"/>
      <c r="D3538" t="s">
        <v>31</v>
      </c>
      <c r="E3538" t="s">
        <v>35</v>
      </c>
      <c r="F3538" t="s">
        <v>47</v>
      </c>
      <c r="G3538" s="118">
        <v>0.69123842592592588</v>
      </c>
      <c r="H3538" s="118">
        <v>8.564814814814815E-4</v>
      </c>
      <c r="I3538" s="118">
        <v>5.2083333333333333E-4</v>
      </c>
      <c r="J3538"/>
      <c r="K3538"/>
    </row>
    <row r="3539" spans="1:11" x14ac:dyDescent="0.25">
      <c r="A3539">
        <v>5</v>
      </c>
      <c r="B3539">
        <v>14</v>
      </c>
      <c r="C3539"/>
      <c r="D3539" t="s">
        <v>31</v>
      </c>
      <c r="E3539" t="s">
        <v>35</v>
      </c>
      <c r="F3539" t="s">
        <v>33</v>
      </c>
      <c r="G3539" s="118">
        <v>0.69140046296296298</v>
      </c>
      <c r="H3539" s="118">
        <v>1.3541666666666667E-3</v>
      </c>
      <c r="I3539" s="118">
        <v>5.2083333333333333E-4</v>
      </c>
      <c r="J3539"/>
      <c r="K3539"/>
    </row>
    <row r="3540" spans="1:11" x14ac:dyDescent="0.25">
      <c r="A3540">
        <v>8</v>
      </c>
      <c r="B3540">
        <v>1</v>
      </c>
      <c r="C3540"/>
      <c r="D3540" t="s">
        <v>31</v>
      </c>
      <c r="E3540" t="s">
        <v>35</v>
      </c>
      <c r="F3540" t="s">
        <v>58</v>
      </c>
      <c r="G3540" s="118">
        <v>0.69145833333333329</v>
      </c>
      <c r="H3540" s="118">
        <v>4.3981481481481481E-4</v>
      </c>
      <c r="I3540" s="118">
        <v>5.7870370370370366E-5</v>
      </c>
      <c r="J3540"/>
      <c r="K3540"/>
    </row>
    <row r="3541" spans="1:11" x14ac:dyDescent="0.25">
      <c r="A3541">
        <v>8</v>
      </c>
      <c r="B3541">
        <v>1</v>
      </c>
      <c r="C3541"/>
      <c r="D3541" t="s">
        <v>31</v>
      </c>
      <c r="E3541" t="s">
        <v>32</v>
      </c>
      <c r="F3541" t="s">
        <v>58</v>
      </c>
      <c r="G3541" s="118">
        <v>0.6915162037037037</v>
      </c>
      <c r="H3541" s="118">
        <v>5.7870370370370366E-5</v>
      </c>
      <c r="I3541" s="118">
        <v>4.8611111111111104E-4</v>
      </c>
      <c r="J3541" s="118">
        <v>5.0462962962962961E-3</v>
      </c>
      <c r="K3541" s="118">
        <v>5.0462962962962961E-3</v>
      </c>
    </row>
    <row r="3542" spans="1:11" x14ac:dyDescent="0.25">
      <c r="A3542">
        <v>2</v>
      </c>
      <c r="B3542">
        <v>14</v>
      </c>
      <c r="C3542"/>
      <c r="D3542" t="s">
        <v>31</v>
      </c>
      <c r="E3542" t="s">
        <v>35</v>
      </c>
      <c r="F3542" t="s">
        <v>45</v>
      </c>
      <c r="G3542" s="118">
        <v>0.69163194444444442</v>
      </c>
      <c r="H3542" s="118">
        <v>1.2384259259259258E-3</v>
      </c>
      <c r="I3542" s="118">
        <v>3.4722222222222224E-4</v>
      </c>
      <c r="J3542"/>
      <c r="K3542"/>
    </row>
    <row r="3543" spans="1:11" x14ac:dyDescent="0.25">
      <c r="A3543">
        <v>4</v>
      </c>
      <c r="B3543">
        <v>13</v>
      </c>
      <c r="C3543"/>
      <c r="D3543" t="s">
        <v>31</v>
      </c>
      <c r="E3543" t="s">
        <v>35</v>
      </c>
      <c r="F3543" t="s">
        <v>37</v>
      </c>
      <c r="G3543" s="118">
        <v>0.69166666666666676</v>
      </c>
      <c r="H3543" s="118">
        <v>9.6064814814814808E-4</v>
      </c>
      <c r="I3543" s="118">
        <v>3.4722222222222224E-4</v>
      </c>
      <c r="J3543"/>
      <c r="K3543"/>
    </row>
    <row r="3544" spans="1:11" x14ac:dyDescent="0.25">
      <c r="A3544">
        <v>9</v>
      </c>
      <c r="B3544">
        <v>1</v>
      </c>
      <c r="C3544"/>
      <c r="D3544" t="s">
        <v>31</v>
      </c>
      <c r="E3544" t="s">
        <v>32</v>
      </c>
      <c r="F3544" t="s">
        <v>47</v>
      </c>
      <c r="G3544" s="118">
        <v>0.6917592592592593</v>
      </c>
      <c r="H3544" s="118">
        <v>5.2083333333333333E-4</v>
      </c>
      <c r="I3544" s="118">
        <v>8.7962962962962962E-4</v>
      </c>
      <c r="J3544" s="118">
        <v>5.0462962962962961E-3</v>
      </c>
      <c r="K3544" s="118">
        <v>5.0462962962962961E-3</v>
      </c>
    </row>
    <row r="3545" spans="1:11" x14ac:dyDescent="0.25">
      <c r="A3545">
        <v>5</v>
      </c>
      <c r="B3545">
        <v>14</v>
      </c>
      <c r="C3545"/>
      <c r="D3545" t="s">
        <v>31</v>
      </c>
      <c r="E3545" t="s">
        <v>32</v>
      </c>
      <c r="F3545" t="s">
        <v>33</v>
      </c>
      <c r="G3545" s="118">
        <v>0.69192129629629628</v>
      </c>
      <c r="H3545" s="118">
        <v>5.2083333333333333E-4</v>
      </c>
      <c r="I3545" s="118">
        <v>9.6064814814814808E-4</v>
      </c>
      <c r="J3545" s="118">
        <v>7.0717592592592594E-3</v>
      </c>
      <c r="K3545" s="118">
        <v>5.0462962962962961E-3</v>
      </c>
    </row>
    <row r="3546" spans="1:11" x14ac:dyDescent="0.25">
      <c r="A3546">
        <v>2</v>
      </c>
      <c r="B3546">
        <v>14</v>
      </c>
      <c r="C3546"/>
      <c r="D3546" t="s">
        <v>31</v>
      </c>
      <c r="E3546" t="s">
        <v>32</v>
      </c>
      <c r="F3546" t="s">
        <v>45</v>
      </c>
      <c r="G3546" s="118">
        <v>0.6919791666666667</v>
      </c>
      <c r="H3546" s="118">
        <v>3.4722222222222224E-4</v>
      </c>
      <c r="I3546" s="118">
        <v>1.0416666666666667E-3</v>
      </c>
      <c r="J3546" s="118">
        <v>5.0462962962962961E-3</v>
      </c>
      <c r="K3546" s="118">
        <v>5.0462962962962961E-3</v>
      </c>
    </row>
    <row r="3547" spans="1:11" x14ac:dyDescent="0.25">
      <c r="A3547">
        <v>8</v>
      </c>
      <c r="B3547">
        <v>1</v>
      </c>
      <c r="C3547"/>
      <c r="D3547" t="s">
        <v>31</v>
      </c>
      <c r="E3547" t="s">
        <v>35</v>
      </c>
      <c r="F3547" t="s">
        <v>40</v>
      </c>
      <c r="G3547" s="118">
        <v>0.69200231481481478</v>
      </c>
      <c r="H3547" s="118">
        <v>4.8611111111111104E-4</v>
      </c>
      <c r="I3547" s="118">
        <v>4.6296296296296293E-4</v>
      </c>
      <c r="J3547"/>
      <c r="K3547"/>
    </row>
    <row r="3548" spans="1:11" x14ac:dyDescent="0.25">
      <c r="A3548">
        <v>4</v>
      </c>
      <c r="B3548">
        <v>13</v>
      </c>
      <c r="C3548"/>
      <c r="D3548" t="s">
        <v>31</v>
      </c>
      <c r="E3548" t="s">
        <v>32</v>
      </c>
      <c r="F3548" t="s">
        <v>37</v>
      </c>
      <c r="G3548" s="118">
        <v>0.69201388888888893</v>
      </c>
      <c r="H3548" s="118">
        <v>3.4722222222222224E-4</v>
      </c>
      <c r="I3548" s="118">
        <v>9.0277777777777784E-4</v>
      </c>
      <c r="J3548" s="118">
        <v>7.0717592592592594E-3</v>
      </c>
      <c r="K3548" s="118">
        <v>7.0717592592592594E-3</v>
      </c>
    </row>
    <row r="3549" spans="1:11" x14ac:dyDescent="0.25">
      <c r="A3549">
        <v>8</v>
      </c>
      <c r="B3549">
        <v>1</v>
      </c>
      <c r="C3549"/>
      <c r="D3549" t="s">
        <v>31</v>
      </c>
      <c r="E3549" t="s">
        <v>32</v>
      </c>
      <c r="F3549" t="s">
        <v>40</v>
      </c>
      <c r="G3549" s="118">
        <v>0.69246527777777767</v>
      </c>
      <c r="H3549" s="118">
        <v>4.6296296296296293E-4</v>
      </c>
      <c r="I3549" s="118">
        <v>1.0069444444444444E-3</v>
      </c>
      <c r="J3549" s="118">
        <v>5.0462962962962961E-3</v>
      </c>
      <c r="K3549" s="118">
        <v>5.0462962962962961E-3</v>
      </c>
    </row>
    <row r="3550" spans="1:11" x14ac:dyDescent="0.25">
      <c r="A3550">
        <v>9</v>
      </c>
      <c r="B3550">
        <v>1</v>
      </c>
      <c r="C3550"/>
      <c r="D3550" t="s">
        <v>31</v>
      </c>
      <c r="E3550" t="s">
        <v>35</v>
      </c>
      <c r="F3550" t="s">
        <v>53</v>
      </c>
      <c r="G3550" s="118">
        <v>0.69263888888888892</v>
      </c>
      <c r="H3550" s="118">
        <v>8.7962962962962962E-4</v>
      </c>
      <c r="I3550" s="118">
        <v>3.4722222222222224E-4</v>
      </c>
      <c r="J3550"/>
      <c r="K3550"/>
    </row>
    <row r="3551" spans="1:11" x14ac:dyDescent="0.25">
      <c r="A3551">
        <v>5</v>
      </c>
      <c r="B3551">
        <v>14</v>
      </c>
      <c r="C3551"/>
      <c r="D3551" t="s">
        <v>31</v>
      </c>
      <c r="E3551" t="s">
        <v>35</v>
      </c>
      <c r="F3551" t="s">
        <v>36</v>
      </c>
      <c r="G3551" s="118">
        <v>0.6928819444444444</v>
      </c>
      <c r="H3551" s="118">
        <v>9.6064814814814808E-4</v>
      </c>
      <c r="I3551" s="118">
        <v>3.4722222222222224E-4</v>
      </c>
      <c r="J3551"/>
      <c r="K3551"/>
    </row>
    <row r="3552" spans="1:11" x14ac:dyDescent="0.25">
      <c r="A3552">
        <v>4</v>
      </c>
      <c r="B3552">
        <v>13</v>
      </c>
      <c r="C3552"/>
      <c r="D3552" t="s">
        <v>31</v>
      </c>
      <c r="E3552" t="s">
        <v>35</v>
      </c>
      <c r="F3552" t="s">
        <v>42</v>
      </c>
      <c r="G3552" s="118">
        <v>0.69291666666666663</v>
      </c>
      <c r="H3552" s="118">
        <v>9.0277777777777784E-4</v>
      </c>
      <c r="I3552" s="118">
        <v>3.4722222222222224E-4</v>
      </c>
      <c r="J3552"/>
      <c r="K3552"/>
    </row>
    <row r="3553" spans="1:11" x14ac:dyDescent="0.25">
      <c r="A3553">
        <v>1</v>
      </c>
      <c r="B3553">
        <v>13</v>
      </c>
      <c r="C3553"/>
      <c r="D3553" t="s">
        <v>31</v>
      </c>
      <c r="E3553" t="s">
        <v>35</v>
      </c>
      <c r="F3553" t="s">
        <v>46</v>
      </c>
      <c r="G3553" s="118">
        <v>0.69298611111111119</v>
      </c>
      <c r="H3553" s="118">
        <v>1.8055555555555557E-3</v>
      </c>
      <c r="I3553" s="118">
        <v>3.4722222222222224E-4</v>
      </c>
      <c r="J3553"/>
      <c r="K3553"/>
    </row>
    <row r="3554" spans="1:11" x14ac:dyDescent="0.25">
      <c r="A3554">
        <v>9</v>
      </c>
      <c r="B3554">
        <v>1</v>
      </c>
      <c r="C3554"/>
      <c r="D3554" t="s">
        <v>31</v>
      </c>
      <c r="E3554" t="s">
        <v>32</v>
      </c>
      <c r="F3554" t="s">
        <v>53</v>
      </c>
      <c r="G3554" s="118">
        <v>0.69298611111111119</v>
      </c>
      <c r="H3554" s="118">
        <v>3.4722222222222224E-4</v>
      </c>
      <c r="I3554" s="118">
        <v>8.449074074074075E-4</v>
      </c>
      <c r="J3554" s="118">
        <v>5.0462962962962961E-3</v>
      </c>
      <c r="K3554" s="118">
        <v>5.0462962962962961E-3</v>
      </c>
    </row>
    <row r="3555" spans="1:11" x14ac:dyDescent="0.25">
      <c r="A3555">
        <v>2</v>
      </c>
      <c r="B3555">
        <v>14</v>
      </c>
      <c r="C3555"/>
      <c r="D3555" t="s">
        <v>31</v>
      </c>
      <c r="E3555" t="s">
        <v>35</v>
      </c>
      <c r="F3555" t="s">
        <v>52</v>
      </c>
      <c r="G3555" s="118">
        <v>0.69302083333333331</v>
      </c>
      <c r="H3555" s="118">
        <v>1.0416666666666667E-3</v>
      </c>
      <c r="I3555" s="118">
        <v>3.4722222222222224E-4</v>
      </c>
      <c r="J3555"/>
      <c r="K3555"/>
    </row>
    <row r="3556" spans="1:11" x14ac:dyDescent="0.25">
      <c r="A3556">
        <v>5</v>
      </c>
      <c r="B3556">
        <v>14</v>
      </c>
      <c r="C3556"/>
      <c r="D3556" t="s">
        <v>31</v>
      </c>
      <c r="E3556" t="s">
        <v>32</v>
      </c>
      <c r="F3556" t="s">
        <v>36</v>
      </c>
      <c r="G3556" s="118">
        <v>0.69322916666666667</v>
      </c>
      <c r="H3556" s="118">
        <v>3.4722222222222224E-4</v>
      </c>
      <c r="I3556" s="118">
        <v>1.0995370370370371E-3</v>
      </c>
      <c r="J3556" s="118">
        <v>7.0717592592592594E-3</v>
      </c>
      <c r="K3556" s="118">
        <v>5.0462962962962961E-3</v>
      </c>
    </row>
    <row r="3557" spans="1:11" x14ac:dyDescent="0.25">
      <c r="A3557">
        <v>4</v>
      </c>
      <c r="B3557">
        <v>13</v>
      </c>
      <c r="C3557"/>
      <c r="D3557" t="s">
        <v>31</v>
      </c>
      <c r="E3557" t="s">
        <v>32</v>
      </c>
      <c r="F3557" t="s">
        <v>42</v>
      </c>
      <c r="G3557" s="118">
        <v>0.69326388888888879</v>
      </c>
      <c r="H3557" s="118">
        <v>3.4722222222222224E-4</v>
      </c>
      <c r="I3557" s="118">
        <v>9.1435185185185185E-4</v>
      </c>
      <c r="J3557" s="118">
        <v>7.0717592592592594E-3</v>
      </c>
      <c r="K3557" s="118">
        <v>7.0717592592592594E-3</v>
      </c>
    </row>
    <row r="3558" spans="1:11" x14ac:dyDescent="0.25">
      <c r="A3558">
        <v>1</v>
      </c>
      <c r="B3558">
        <v>13</v>
      </c>
      <c r="C3558"/>
      <c r="D3558" t="s">
        <v>31</v>
      </c>
      <c r="E3558" t="s">
        <v>32</v>
      </c>
      <c r="F3558" t="s">
        <v>46</v>
      </c>
      <c r="G3558" s="118">
        <v>0.69333333333333336</v>
      </c>
      <c r="H3558" s="118">
        <v>3.4722222222222224E-4</v>
      </c>
      <c r="I3558" s="118">
        <v>9.1435185185185185E-4</v>
      </c>
      <c r="J3558" s="118">
        <v>5.0462962962962961E-3</v>
      </c>
      <c r="K3558" s="118">
        <v>5.0462962962962961E-3</v>
      </c>
    </row>
    <row r="3559" spans="1:11" x14ac:dyDescent="0.25">
      <c r="A3559">
        <v>2</v>
      </c>
      <c r="B3559">
        <v>14</v>
      </c>
      <c r="C3559"/>
      <c r="D3559" t="s">
        <v>31</v>
      </c>
      <c r="E3559" t="s">
        <v>32</v>
      </c>
      <c r="F3559" t="s">
        <v>52</v>
      </c>
      <c r="G3559" s="118">
        <v>0.69336805555555558</v>
      </c>
      <c r="H3559" s="118">
        <v>3.4722222222222224E-4</v>
      </c>
      <c r="I3559" s="118">
        <v>1.0532407407407407E-3</v>
      </c>
      <c r="J3559" s="118">
        <v>5.0462962962962961E-3</v>
      </c>
      <c r="K3559" s="118">
        <v>5.0462962962962961E-3</v>
      </c>
    </row>
    <row r="3560" spans="1:11" x14ac:dyDescent="0.25">
      <c r="A3560">
        <v>8</v>
      </c>
      <c r="B3560">
        <v>1</v>
      </c>
      <c r="C3560"/>
      <c r="D3560" t="s">
        <v>31</v>
      </c>
      <c r="E3560" t="s">
        <v>35</v>
      </c>
      <c r="F3560" t="s">
        <v>44</v>
      </c>
      <c r="G3560" s="118">
        <v>0.69347222222222227</v>
      </c>
      <c r="H3560" s="118">
        <v>1.0069444444444444E-3</v>
      </c>
      <c r="I3560" s="118">
        <v>3.4722222222222224E-4</v>
      </c>
      <c r="J3560"/>
      <c r="K3560"/>
    </row>
    <row r="3561" spans="1:11" x14ac:dyDescent="0.25">
      <c r="A3561">
        <v>8</v>
      </c>
      <c r="B3561">
        <v>1</v>
      </c>
      <c r="C3561"/>
      <c r="D3561" t="s">
        <v>31</v>
      </c>
      <c r="E3561" t="s">
        <v>32</v>
      </c>
      <c r="F3561" t="s">
        <v>44</v>
      </c>
      <c r="G3561" s="118">
        <v>0.69381944444444443</v>
      </c>
      <c r="H3561" s="118">
        <v>3.4722222222222224E-4</v>
      </c>
      <c r="I3561" s="118">
        <v>9.2592592592592585E-4</v>
      </c>
      <c r="J3561" s="118">
        <v>5.0462962962962961E-3</v>
      </c>
      <c r="K3561" s="118">
        <v>5.0462962962962961E-3</v>
      </c>
    </row>
    <row r="3562" spans="1:11" x14ac:dyDescent="0.25">
      <c r="A3562">
        <v>9</v>
      </c>
      <c r="B3562">
        <v>1</v>
      </c>
      <c r="C3562"/>
      <c r="D3562" t="s">
        <v>31</v>
      </c>
      <c r="E3562" t="s">
        <v>35</v>
      </c>
      <c r="F3562" t="s">
        <v>34</v>
      </c>
      <c r="G3562" s="118">
        <v>0.69383101851851858</v>
      </c>
      <c r="H3562" s="118">
        <v>8.449074074074075E-4</v>
      </c>
      <c r="I3562" s="118">
        <v>3.4722222222222224E-4</v>
      </c>
      <c r="J3562"/>
      <c r="K3562"/>
    </row>
    <row r="3563" spans="1:11" x14ac:dyDescent="0.25">
      <c r="A3563">
        <v>3</v>
      </c>
      <c r="B3563">
        <v>14</v>
      </c>
      <c r="C3563"/>
      <c r="D3563" t="s">
        <v>31</v>
      </c>
      <c r="E3563" t="s">
        <v>32</v>
      </c>
      <c r="F3563" t="s">
        <v>92</v>
      </c>
      <c r="G3563" s="118">
        <v>0.69407407407407407</v>
      </c>
      <c r="H3563" s="118">
        <v>3.472222222222222E-3</v>
      </c>
      <c r="I3563" s="118">
        <v>1.0069444444444444E-3</v>
      </c>
      <c r="J3563" s="118">
        <v>5.0462962962962961E-3</v>
      </c>
      <c r="K3563" s="118">
        <v>5.0462962962962961E-3</v>
      </c>
    </row>
    <row r="3564" spans="1:11" x14ac:dyDescent="0.25">
      <c r="A3564">
        <v>4</v>
      </c>
      <c r="B3564">
        <v>13</v>
      </c>
      <c r="C3564"/>
      <c r="D3564" t="s">
        <v>31</v>
      </c>
      <c r="E3564" t="s">
        <v>35</v>
      </c>
      <c r="F3564" t="s">
        <v>48</v>
      </c>
      <c r="G3564" s="118">
        <v>0.69417824074074075</v>
      </c>
      <c r="H3564" s="118">
        <v>9.1435185185185185E-4</v>
      </c>
      <c r="I3564" s="118">
        <v>5.2083333333333333E-4</v>
      </c>
      <c r="J3564"/>
      <c r="K3564"/>
    </row>
    <row r="3565" spans="1:11" x14ac:dyDescent="0.25">
      <c r="A3565">
        <v>9</v>
      </c>
      <c r="B3565">
        <v>1</v>
      </c>
      <c r="C3565"/>
      <c r="D3565" t="s">
        <v>31</v>
      </c>
      <c r="E3565" t="s">
        <v>32</v>
      </c>
      <c r="F3565" t="s">
        <v>34</v>
      </c>
      <c r="G3565" s="118">
        <v>0.69417824074074075</v>
      </c>
      <c r="H3565" s="118">
        <v>3.4722222222222224E-4</v>
      </c>
      <c r="I3565" s="118">
        <v>9.1435185185185185E-4</v>
      </c>
      <c r="J3565" s="118">
        <v>5.0462962962962961E-3</v>
      </c>
      <c r="K3565" s="118">
        <v>5.0462962962962961E-3</v>
      </c>
    </row>
    <row r="3566" spans="1:11" x14ac:dyDescent="0.25">
      <c r="A3566">
        <v>1</v>
      </c>
      <c r="B3566">
        <v>13</v>
      </c>
      <c r="C3566"/>
      <c r="D3566" t="s">
        <v>31</v>
      </c>
      <c r="E3566" t="s">
        <v>35</v>
      </c>
      <c r="F3566" t="s">
        <v>51</v>
      </c>
      <c r="G3566" s="118">
        <v>0.6942476851851852</v>
      </c>
      <c r="H3566" s="118">
        <v>9.1435185185185185E-4</v>
      </c>
      <c r="I3566" s="118">
        <v>3.4722222222222224E-4</v>
      </c>
      <c r="J3566"/>
      <c r="K3566"/>
    </row>
    <row r="3567" spans="1:11" x14ac:dyDescent="0.25">
      <c r="A3567">
        <v>5</v>
      </c>
      <c r="B3567">
        <v>14</v>
      </c>
      <c r="C3567"/>
      <c r="D3567" t="s">
        <v>31</v>
      </c>
      <c r="E3567" t="s">
        <v>35</v>
      </c>
      <c r="F3567" t="s">
        <v>43</v>
      </c>
      <c r="G3567" s="118">
        <v>0.6943287037037037</v>
      </c>
      <c r="H3567" s="118">
        <v>1.0995370370370371E-3</v>
      </c>
      <c r="I3567" s="118">
        <v>3.4722222222222224E-4</v>
      </c>
      <c r="J3567"/>
      <c r="K3567"/>
    </row>
    <row r="3568" spans="1:11" x14ac:dyDescent="0.25">
      <c r="A3568">
        <v>2</v>
      </c>
      <c r="B3568">
        <v>14</v>
      </c>
      <c r="C3568"/>
      <c r="D3568" t="s">
        <v>31</v>
      </c>
      <c r="E3568" t="s">
        <v>35</v>
      </c>
      <c r="F3568" t="s">
        <v>57</v>
      </c>
      <c r="G3568" s="118">
        <v>0.69442129629629623</v>
      </c>
      <c r="H3568" s="118">
        <v>1.0532407407407407E-3</v>
      </c>
      <c r="I3568" s="118">
        <v>3.4722222222222224E-4</v>
      </c>
      <c r="J3568"/>
      <c r="K3568"/>
    </row>
    <row r="3569" spans="1:11" x14ac:dyDescent="0.25">
      <c r="A3569">
        <v>1</v>
      </c>
      <c r="B3569">
        <v>13</v>
      </c>
      <c r="C3569"/>
      <c r="D3569" t="s">
        <v>31</v>
      </c>
      <c r="E3569" t="s">
        <v>32</v>
      </c>
      <c r="F3569" t="s">
        <v>51</v>
      </c>
      <c r="G3569" s="118">
        <v>0.69459490740740737</v>
      </c>
      <c r="H3569" s="118">
        <v>3.4722222222222224E-4</v>
      </c>
      <c r="I3569" s="118">
        <v>1.0069444444444444E-3</v>
      </c>
      <c r="J3569" s="118">
        <v>5.0462962962962961E-3</v>
      </c>
      <c r="K3569" s="118">
        <v>5.0462962962962961E-3</v>
      </c>
    </row>
    <row r="3570" spans="1:11" x14ac:dyDescent="0.25">
      <c r="A3570">
        <v>5</v>
      </c>
      <c r="B3570">
        <v>14</v>
      </c>
      <c r="C3570"/>
      <c r="D3570" t="s">
        <v>31</v>
      </c>
      <c r="E3570" t="s">
        <v>32</v>
      </c>
      <c r="F3570" t="s">
        <v>43</v>
      </c>
      <c r="G3570" s="118">
        <v>0.69467592592592586</v>
      </c>
      <c r="H3570" s="118">
        <v>3.4722222222222224E-4</v>
      </c>
      <c r="I3570" s="118">
        <v>1.1458333333333333E-3</v>
      </c>
      <c r="J3570" s="118">
        <v>7.0717592592592594E-3</v>
      </c>
      <c r="K3570" s="118">
        <v>5.0462962962962961E-3</v>
      </c>
    </row>
    <row r="3571" spans="1:11" x14ac:dyDescent="0.25">
      <c r="A3571">
        <v>4</v>
      </c>
      <c r="B3571">
        <v>13</v>
      </c>
      <c r="C3571"/>
      <c r="D3571" t="s">
        <v>31</v>
      </c>
      <c r="E3571" t="s">
        <v>32</v>
      </c>
      <c r="F3571" t="s">
        <v>48</v>
      </c>
      <c r="G3571" s="118">
        <v>0.69469907407407405</v>
      </c>
      <c r="H3571" s="118">
        <v>5.2083333333333333E-4</v>
      </c>
      <c r="I3571" s="118">
        <v>8.6805555555555551E-4</v>
      </c>
      <c r="J3571" s="118">
        <v>7.0717592592592594E-3</v>
      </c>
      <c r="K3571" s="118">
        <v>7.0717592592592594E-3</v>
      </c>
    </row>
    <row r="3572" spans="1:11" x14ac:dyDescent="0.25">
      <c r="A3572">
        <v>8</v>
      </c>
      <c r="B3572">
        <v>1</v>
      </c>
      <c r="C3572"/>
      <c r="D3572" t="s">
        <v>31</v>
      </c>
      <c r="E3572" t="s">
        <v>35</v>
      </c>
      <c r="F3572" t="s">
        <v>49</v>
      </c>
      <c r="G3572" s="118">
        <v>0.69474537037037043</v>
      </c>
      <c r="H3572" s="118">
        <v>9.2592592592592585E-4</v>
      </c>
      <c r="I3572" s="118">
        <v>3.4722222222222224E-4</v>
      </c>
      <c r="J3572"/>
      <c r="K3572"/>
    </row>
    <row r="3573" spans="1:11" x14ac:dyDescent="0.25">
      <c r="A3573">
        <v>2</v>
      </c>
      <c r="B3573">
        <v>14</v>
      </c>
      <c r="C3573"/>
      <c r="D3573" t="s">
        <v>31</v>
      </c>
      <c r="E3573" t="s">
        <v>32</v>
      </c>
      <c r="F3573" t="s">
        <v>57</v>
      </c>
      <c r="G3573" s="118">
        <v>0.69476851851851851</v>
      </c>
      <c r="H3573" s="118">
        <v>3.4722222222222224E-4</v>
      </c>
      <c r="I3573" s="118">
        <v>9.3750000000000007E-4</v>
      </c>
      <c r="J3573" s="118">
        <v>5.0462962962962961E-3</v>
      </c>
      <c r="K3573" s="118">
        <v>5.0462962962962961E-3</v>
      </c>
    </row>
    <row r="3574" spans="1:11" x14ac:dyDescent="0.25">
      <c r="A3574">
        <v>3</v>
      </c>
      <c r="B3574">
        <v>14</v>
      </c>
      <c r="C3574"/>
      <c r="D3574" t="s">
        <v>31</v>
      </c>
      <c r="E3574" t="s">
        <v>35</v>
      </c>
      <c r="F3574" t="s">
        <v>41</v>
      </c>
      <c r="G3574" s="118">
        <v>0.69508101851851845</v>
      </c>
      <c r="H3574" s="118">
        <v>1.0069444444444444E-3</v>
      </c>
      <c r="I3574" s="118">
        <v>3.4722222222222224E-4</v>
      </c>
      <c r="J3574"/>
      <c r="K3574"/>
    </row>
    <row r="3575" spans="1:11" x14ac:dyDescent="0.25">
      <c r="A3575">
        <v>8</v>
      </c>
      <c r="B3575">
        <v>1</v>
      </c>
      <c r="C3575"/>
      <c r="D3575" t="s">
        <v>31</v>
      </c>
      <c r="E3575" t="s">
        <v>32</v>
      </c>
      <c r="F3575" t="s">
        <v>49</v>
      </c>
      <c r="G3575" s="118">
        <v>0.6950925925925926</v>
      </c>
      <c r="H3575" s="118">
        <v>3.4722222222222224E-4</v>
      </c>
      <c r="I3575" s="118">
        <v>1.3541666666666667E-3</v>
      </c>
      <c r="J3575" s="118">
        <v>5.0462962962962961E-3</v>
      </c>
      <c r="K3575" s="118">
        <v>5.0462962962962961E-3</v>
      </c>
    </row>
    <row r="3576" spans="1:11" x14ac:dyDescent="0.25">
      <c r="A3576">
        <v>9</v>
      </c>
      <c r="B3576">
        <v>1</v>
      </c>
      <c r="C3576"/>
      <c r="D3576" t="s">
        <v>31</v>
      </c>
      <c r="E3576" t="s">
        <v>35</v>
      </c>
      <c r="F3576" t="s">
        <v>38</v>
      </c>
      <c r="G3576" s="118">
        <v>0.6950925925925926</v>
      </c>
      <c r="H3576" s="118">
        <v>9.1435185185185185E-4</v>
      </c>
      <c r="I3576" s="118">
        <v>3.4722222222222224E-4</v>
      </c>
      <c r="J3576"/>
      <c r="K3576"/>
    </row>
    <row r="3577" spans="1:11" x14ac:dyDescent="0.25">
      <c r="A3577">
        <v>3</v>
      </c>
      <c r="B3577">
        <v>14</v>
      </c>
      <c r="C3577"/>
      <c r="D3577" t="s">
        <v>31</v>
      </c>
      <c r="E3577" t="s">
        <v>32</v>
      </c>
      <c r="F3577" t="s">
        <v>41</v>
      </c>
      <c r="G3577" s="118">
        <v>0.69542824074074072</v>
      </c>
      <c r="H3577" s="118">
        <v>3.4722222222222224E-4</v>
      </c>
      <c r="I3577" s="118">
        <v>8.564814814814815E-4</v>
      </c>
      <c r="J3577" s="118">
        <v>5.0462962962962961E-3</v>
      </c>
      <c r="K3577" s="118">
        <v>5.0462962962962961E-3</v>
      </c>
    </row>
    <row r="3578" spans="1:11" x14ac:dyDescent="0.25">
      <c r="A3578">
        <v>9</v>
      </c>
      <c r="B3578">
        <v>1</v>
      </c>
      <c r="C3578"/>
      <c r="D3578" t="s">
        <v>31</v>
      </c>
      <c r="E3578" t="s">
        <v>32</v>
      </c>
      <c r="F3578" t="s">
        <v>38</v>
      </c>
      <c r="G3578" s="118">
        <v>0.69543981481481476</v>
      </c>
      <c r="H3578" s="118">
        <v>3.4722222222222224E-4</v>
      </c>
      <c r="I3578" s="118">
        <v>1.2384259259259258E-3</v>
      </c>
      <c r="J3578" s="118">
        <v>5.0462962962962961E-3</v>
      </c>
      <c r="K3578" s="118">
        <v>5.0462962962962961E-3</v>
      </c>
    </row>
    <row r="3579" spans="1:11" x14ac:dyDescent="0.25">
      <c r="A3579">
        <v>4</v>
      </c>
      <c r="B3579">
        <v>13</v>
      </c>
      <c r="C3579"/>
      <c r="D3579" t="s">
        <v>31</v>
      </c>
      <c r="E3579" t="s">
        <v>35</v>
      </c>
      <c r="F3579" t="s">
        <v>54</v>
      </c>
      <c r="G3579" s="118">
        <v>0.69556712962962963</v>
      </c>
      <c r="H3579" s="118">
        <v>8.6805555555555551E-4</v>
      </c>
      <c r="I3579" s="118">
        <v>3.4722222222222224E-4</v>
      </c>
      <c r="J3579"/>
      <c r="K3579"/>
    </row>
    <row r="3580" spans="1:11" x14ac:dyDescent="0.25">
      <c r="A3580">
        <v>1</v>
      </c>
      <c r="B3580">
        <v>13</v>
      </c>
      <c r="C3580"/>
      <c r="D3580" t="s">
        <v>31</v>
      </c>
      <c r="E3580" t="s">
        <v>35</v>
      </c>
      <c r="F3580" t="s">
        <v>55</v>
      </c>
      <c r="G3580" s="118">
        <v>0.69560185185185175</v>
      </c>
      <c r="H3580" s="118">
        <v>1.0069444444444444E-3</v>
      </c>
      <c r="I3580" s="118">
        <v>4.6296296296296293E-4</v>
      </c>
      <c r="J3580"/>
      <c r="K3580"/>
    </row>
    <row r="3581" spans="1:11" x14ac:dyDescent="0.25">
      <c r="A3581">
        <v>2</v>
      </c>
      <c r="B3581">
        <v>14</v>
      </c>
      <c r="C3581"/>
      <c r="D3581" t="s">
        <v>31</v>
      </c>
      <c r="E3581" t="s">
        <v>35</v>
      </c>
      <c r="F3581" t="s">
        <v>39</v>
      </c>
      <c r="G3581" s="118">
        <v>0.69570601851851854</v>
      </c>
      <c r="H3581" s="118">
        <v>9.3750000000000007E-4</v>
      </c>
      <c r="I3581" s="118">
        <v>5.2083333333333333E-4</v>
      </c>
      <c r="J3581"/>
      <c r="K3581"/>
    </row>
    <row r="3582" spans="1:11" x14ac:dyDescent="0.25">
      <c r="A3582">
        <v>5</v>
      </c>
      <c r="B3582">
        <v>14</v>
      </c>
      <c r="C3582"/>
      <c r="D3582" t="s">
        <v>31</v>
      </c>
      <c r="E3582" t="s">
        <v>35</v>
      </c>
      <c r="F3582" t="s">
        <v>50</v>
      </c>
      <c r="G3582" s="118">
        <v>0.69582175925925915</v>
      </c>
      <c r="H3582" s="118">
        <v>1.1458333333333333E-3</v>
      </c>
      <c r="I3582" s="118">
        <v>3.4722222222222224E-4</v>
      </c>
      <c r="J3582"/>
      <c r="K3582"/>
    </row>
    <row r="3583" spans="1:11" x14ac:dyDescent="0.25">
      <c r="A3583">
        <v>4</v>
      </c>
      <c r="B3583">
        <v>13</v>
      </c>
      <c r="C3583"/>
      <c r="D3583" t="s">
        <v>31</v>
      </c>
      <c r="E3583" t="s">
        <v>32</v>
      </c>
      <c r="F3583" t="s">
        <v>54</v>
      </c>
      <c r="G3583" s="118">
        <v>0.6959143518518518</v>
      </c>
      <c r="H3583" s="118">
        <v>3.4722222222222224E-4</v>
      </c>
      <c r="I3583" s="118">
        <v>1.1921296296296296E-3</v>
      </c>
      <c r="J3583" s="118">
        <v>7.0717592592592594E-3</v>
      </c>
      <c r="K3583" s="118">
        <v>7.0717592592592594E-3</v>
      </c>
    </row>
    <row r="3584" spans="1:11" x14ac:dyDescent="0.25">
      <c r="A3584">
        <v>1</v>
      </c>
      <c r="B3584">
        <v>13</v>
      </c>
      <c r="C3584"/>
      <c r="D3584" t="s">
        <v>31</v>
      </c>
      <c r="E3584" t="s">
        <v>32</v>
      </c>
      <c r="F3584" t="s">
        <v>55</v>
      </c>
      <c r="G3584" s="118">
        <v>0.69606481481481486</v>
      </c>
      <c r="H3584" s="118">
        <v>4.6296296296296293E-4</v>
      </c>
      <c r="I3584" s="118">
        <v>4.3981481481481481E-4</v>
      </c>
      <c r="J3584" s="118">
        <v>5.0462962962962961E-3</v>
      </c>
      <c r="K3584" s="118">
        <v>5.0462962962962961E-3</v>
      </c>
    </row>
    <row r="3585" spans="1:11" x14ac:dyDescent="0.25">
      <c r="A3585">
        <v>5</v>
      </c>
      <c r="B3585">
        <v>14</v>
      </c>
      <c r="C3585"/>
      <c r="D3585" t="s">
        <v>31</v>
      </c>
      <c r="E3585" t="s">
        <v>32</v>
      </c>
      <c r="F3585" t="s">
        <v>50</v>
      </c>
      <c r="G3585" s="118">
        <v>0.69616898148148154</v>
      </c>
      <c r="H3585" s="118">
        <v>3.4722222222222224E-4</v>
      </c>
      <c r="I3585" s="118">
        <v>1.261574074074074E-3</v>
      </c>
      <c r="J3585" s="118">
        <v>7.0717592592592594E-3</v>
      </c>
      <c r="K3585" s="118">
        <v>5.0462962962962961E-3</v>
      </c>
    </row>
    <row r="3586" spans="1:11" x14ac:dyDescent="0.25">
      <c r="A3586">
        <v>2</v>
      </c>
      <c r="B3586">
        <v>14</v>
      </c>
      <c r="C3586"/>
      <c r="D3586" t="s">
        <v>31</v>
      </c>
      <c r="E3586" t="s">
        <v>32</v>
      </c>
      <c r="F3586" t="s">
        <v>39</v>
      </c>
      <c r="G3586" s="118">
        <v>0.69622685185185185</v>
      </c>
      <c r="H3586" s="118">
        <v>5.2083333333333333E-4</v>
      </c>
      <c r="I3586" s="118">
        <v>1.8055555555555557E-3</v>
      </c>
      <c r="J3586" s="118">
        <v>5.0462962962962961E-3</v>
      </c>
      <c r="K3586" s="118">
        <v>5.0462962962962961E-3</v>
      </c>
    </row>
    <row r="3587" spans="1:11" x14ac:dyDescent="0.25">
      <c r="A3587">
        <v>3</v>
      </c>
      <c r="B3587">
        <v>14</v>
      </c>
      <c r="C3587"/>
      <c r="D3587" t="s">
        <v>31</v>
      </c>
      <c r="E3587" t="s">
        <v>35</v>
      </c>
      <c r="F3587" t="s">
        <v>47</v>
      </c>
      <c r="G3587" s="118">
        <v>0.69628472222222226</v>
      </c>
      <c r="H3587" s="118">
        <v>8.564814814814815E-4</v>
      </c>
      <c r="I3587" s="118">
        <v>5.2083333333333333E-4</v>
      </c>
      <c r="J3587"/>
      <c r="K3587"/>
    </row>
    <row r="3588" spans="1:11" x14ac:dyDescent="0.25">
      <c r="A3588">
        <v>8</v>
      </c>
      <c r="B3588">
        <v>1</v>
      </c>
      <c r="C3588"/>
      <c r="D3588" t="s">
        <v>31</v>
      </c>
      <c r="E3588" t="s">
        <v>35</v>
      </c>
      <c r="F3588" t="s">
        <v>33</v>
      </c>
      <c r="G3588" s="118">
        <v>0.69644675925925925</v>
      </c>
      <c r="H3588" s="118">
        <v>1.3541666666666667E-3</v>
      </c>
      <c r="I3588" s="118">
        <v>5.2083333333333333E-4</v>
      </c>
      <c r="J3588"/>
      <c r="K3588"/>
    </row>
    <row r="3589" spans="1:11" x14ac:dyDescent="0.25">
      <c r="A3589">
        <v>1</v>
      </c>
      <c r="B3589">
        <v>13</v>
      </c>
      <c r="C3589"/>
      <c r="D3589" t="s">
        <v>31</v>
      </c>
      <c r="E3589" t="s">
        <v>35</v>
      </c>
      <c r="F3589" t="s">
        <v>58</v>
      </c>
      <c r="G3589" s="118">
        <v>0.69650462962962967</v>
      </c>
      <c r="H3589" s="118">
        <v>4.3981481481481481E-4</v>
      </c>
      <c r="I3589" s="118">
        <v>5.7870370370370366E-5</v>
      </c>
      <c r="J3589"/>
      <c r="K3589"/>
    </row>
    <row r="3590" spans="1:11" x14ac:dyDescent="0.25">
      <c r="A3590">
        <v>1</v>
      </c>
      <c r="B3590">
        <v>13</v>
      </c>
      <c r="C3590"/>
      <c r="D3590" t="s">
        <v>31</v>
      </c>
      <c r="E3590" t="s">
        <v>32</v>
      </c>
      <c r="F3590" t="s">
        <v>58</v>
      </c>
      <c r="G3590" s="118">
        <v>0.69656250000000008</v>
      </c>
      <c r="H3590" s="118">
        <v>5.7870370370370366E-5</v>
      </c>
      <c r="I3590" s="118">
        <v>4.8611111111111104E-4</v>
      </c>
      <c r="J3590" s="118">
        <v>5.0462962962962961E-3</v>
      </c>
      <c r="K3590" s="118">
        <v>5.0462962962962961E-3</v>
      </c>
    </row>
    <row r="3591" spans="1:11" x14ac:dyDescent="0.25">
      <c r="A3591">
        <v>9</v>
      </c>
      <c r="B3591">
        <v>1</v>
      </c>
      <c r="C3591"/>
      <c r="D3591" t="s">
        <v>31</v>
      </c>
      <c r="E3591" t="s">
        <v>35</v>
      </c>
      <c r="F3591" t="s">
        <v>45</v>
      </c>
      <c r="G3591" s="118">
        <v>0.6966782407407407</v>
      </c>
      <c r="H3591" s="118">
        <v>1.2384259259259258E-3</v>
      </c>
      <c r="I3591" s="118">
        <v>3.4722222222222224E-4</v>
      </c>
      <c r="J3591"/>
      <c r="K3591"/>
    </row>
    <row r="3592" spans="1:11" x14ac:dyDescent="0.25">
      <c r="A3592">
        <v>3</v>
      </c>
      <c r="B3592">
        <v>14</v>
      </c>
      <c r="C3592"/>
      <c r="D3592" t="s">
        <v>31</v>
      </c>
      <c r="E3592" t="s">
        <v>32</v>
      </c>
      <c r="F3592" t="s">
        <v>47</v>
      </c>
      <c r="G3592" s="118">
        <v>0.69680555555555557</v>
      </c>
      <c r="H3592" s="118">
        <v>5.2083333333333333E-4</v>
      </c>
      <c r="I3592" s="118">
        <v>8.7962962962962962E-4</v>
      </c>
      <c r="J3592" s="118">
        <v>5.0462962962962961E-3</v>
      </c>
      <c r="K3592" s="118">
        <v>5.0462962962962961E-3</v>
      </c>
    </row>
    <row r="3593" spans="1:11" x14ac:dyDescent="0.25">
      <c r="A3593">
        <v>8</v>
      </c>
      <c r="B3593">
        <v>1</v>
      </c>
      <c r="C3593"/>
      <c r="D3593" t="s">
        <v>31</v>
      </c>
      <c r="E3593" t="s">
        <v>32</v>
      </c>
      <c r="F3593" t="s">
        <v>33</v>
      </c>
      <c r="G3593" s="118">
        <v>0.69696759259259267</v>
      </c>
      <c r="H3593" s="118">
        <v>5.2083333333333333E-4</v>
      </c>
      <c r="I3593" s="118">
        <v>9.6064814814814808E-4</v>
      </c>
      <c r="J3593" s="118">
        <v>5.0462962962962961E-3</v>
      </c>
      <c r="K3593" s="118">
        <v>5.0462962962962961E-3</v>
      </c>
    </row>
    <row r="3594" spans="1:11" x14ac:dyDescent="0.25">
      <c r="A3594">
        <v>9</v>
      </c>
      <c r="B3594">
        <v>1</v>
      </c>
      <c r="C3594"/>
      <c r="D3594" t="s">
        <v>31</v>
      </c>
      <c r="E3594" t="s">
        <v>32</v>
      </c>
      <c r="F3594" t="s">
        <v>45</v>
      </c>
      <c r="G3594" s="118">
        <v>0.69702546296296297</v>
      </c>
      <c r="H3594" s="118">
        <v>3.4722222222222224E-4</v>
      </c>
      <c r="I3594" s="118">
        <v>1.0416666666666667E-3</v>
      </c>
      <c r="J3594" s="118">
        <v>5.0462962962962961E-3</v>
      </c>
      <c r="K3594" s="118">
        <v>5.0462962962962961E-3</v>
      </c>
    </row>
    <row r="3595" spans="1:11" x14ac:dyDescent="0.25">
      <c r="A3595">
        <v>1</v>
      </c>
      <c r="B3595">
        <v>13</v>
      </c>
      <c r="C3595"/>
      <c r="D3595" t="s">
        <v>31</v>
      </c>
      <c r="E3595" t="s">
        <v>35</v>
      </c>
      <c r="F3595" t="s">
        <v>40</v>
      </c>
      <c r="G3595" s="118">
        <v>0.69704861111111116</v>
      </c>
      <c r="H3595" s="118">
        <v>4.8611111111111104E-4</v>
      </c>
      <c r="I3595" s="118">
        <v>4.6296296296296293E-4</v>
      </c>
      <c r="J3595"/>
      <c r="K3595"/>
    </row>
    <row r="3596" spans="1:11" x14ac:dyDescent="0.25">
      <c r="A3596">
        <v>4</v>
      </c>
      <c r="B3596">
        <v>13</v>
      </c>
      <c r="C3596"/>
      <c r="D3596" t="s">
        <v>31</v>
      </c>
      <c r="E3596" t="s">
        <v>35</v>
      </c>
      <c r="F3596" t="s">
        <v>92</v>
      </c>
      <c r="G3596" s="118">
        <v>0.69710648148148147</v>
      </c>
      <c r="H3596" s="118">
        <v>1.1921296296296296E-3</v>
      </c>
      <c r="I3596" s="118">
        <v>2.0138888888888888E-3</v>
      </c>
      <c r="J3596"/>
      <c r="K3596"/>
    </row>
    <row r="3597" spans="1:11" x14ac:dyDescent="0.25">
      <c r="A3597">
        <v>5</v>
      </c>
      <c r="B3597">
        <v>14</v>
      </c>
      <c r="C3597"/>
      <c r="D3597" t="s">
        <v>31</v>
      </c>
      <c r="E3597" t="s">
        <v>35</v>
      </c>
      <c r="F3597" t="s">
        <v>56</v>
      </c>
      <c r="G3597" s="118">
        <v>0.69743055555555555</v>
      </c>
      <c r="H3597" s="118">
        <v>1.261574074074074E-3</v>
      </c>
      <c r="I3597" s="118">
        <v>3.4722222222222224E-4</v>
      </c>
      <c r="J3597"/>
      <c r="K3597"/>
    </row>
    <row r="3598" spans="1:11" x14ac:dyDescent="0.25">
      <c r="A3598">
        <v>1</v>
      </c>
      <c r="B3598">
        <v>13</v>
      </c>
      <c r="C3598"/>
      <c r="D3598" t="s">
        <v>31</v>
      </c>
      <c r="E3598" t="s">
        <v>32</v>
      </c>
      <c r="F3598" t="s">
        <v>40</v>
      </c>
      <c r="G3598" s="118">
        <v>0.69751157407407405</v>
      </c>
      <c r="H3598" s="118">
        <v>4.6296296296296293E-4</v>
      </c>
      <c r="I3598" s="118">
        <v>1.0069444444444444E-3</v>
      </c>
      <c r="J3598" s="118">
        <v>5.0462962962962961E-3</v>
      </c>
      <c r="K3598" s="118">
        <v>5.0462962962962961E-3</v>
      </c>
    </row>
    <row r="3599" spans="1:11" x14ac:dyDescent="0.25">
      <c r="A3599">
        <v>3</v>
      </c>
      <c r="B3599">
        <v>14</v>
      </c>
      <c r="C3599"/>
      <c r="D3599" t="s">
        <v>31</v>
      </c>
      <c r="E3599" t="s">
        <v>35</v>
      </c>
      <c r="F3599" t="s">
        <v>53</v>
      </c>
      <c r="G3599" s="118">
        <v>0.69768518518518519</v>
      </c>
      <c r="H3599" s="118">
        <v>8.7962962962962962E-4</v>
      </c>
      <c r="I3599" s="118">
        <v>3.4722222222222224E-4</v>
      </c>
      <c r="J3599"/>
      <c r="K3599"/>
    </row>
    <row r="3600" spans="1:11" x14ac:dyDescent="0.25">
      <c r="A3600">
        <v>5</v>
      </c>
      <c r="B3600">
        <v>14</v>
      </c>
      <c r="C3600"/>
      <c r="D3600" t="s">
        <v>31</v>
      </c>
      <c r="E3600" t="s">
        <v>32</v>
      </c>
      <c r="F3600" t="s">
        <v>56</v>
      </c>
      <c r="G3600" s="118">
        <v>0.69777777777777772</v>
      </c>
      <c r="H3600" s="118">
        <v>3.4722222222222224E-4</v>
      </c>
      <c r="I3600" s="118">
        <v>9.6064814814814808E-4</v>
      </c>
      <c r="J3600" s="118">
        <v>7.0717592592592594E-3</v>
      </c>
      <c r="K3600" s="118">
        <v>5.0462962962962961E-3</v>
      </c>
    </row>
    <row r="3601" spans="1:11" x14ac:dyDescent="0.25">
      <c r="A3601">
        <v>8</v>
      </c>
      <c r="B3601">
        <v>1</v>
      </c>
      <c r="C3601"/>
      <c r="D3601" t="s">
        <v>31</v>
      </c>
      <c r="E3601" t="s">
        <v>35</v>
      </c>
      <c r="F3601" t="s">
        <v>36</v>
      </c>
      <c r="G3601" s="118">
        <v>0.69792824074074078</v>
      </c>
      <c r="H3601" s="118">
        <v>9.6064814814814808E-4</v>
      </c>
      <c r="I3601" s="118">
        <v>3.4722222222222224E-4</v>
      </c>
      <c r="J3601"/>
      <c r="K3601"/>
    </row>
    <row r="3602" spans="1:11" x14ac:dyDescent="0.25">
      <c r="A3602">
        <v>2</v>
      </c>
      <c r="B3602">
        <v>14</v>
      </c>
      <c r="C3602"/>
      <c r="D3602" t="s">
        <v>31</v>
      </c>
      <c r="E3602" t="s">
        <v>35</v>
      </c>
      <c r="F3602" t="s">
        <v>46</v>
      </c>
      <c r="G3602" s="118">
        <v>0.69803240740740735</v>
      </c>
      <c r="H3602" s="118">
        <v>1.8055555555555557E-3</v>
      </c>
      <c r="I3602" s="118">
        <v>3.4722222222222224E-4</v>
      </c>
      <c r="J3602"/>
      <c r="K3602"/>
    </row>
    <row r="3603" spans="1:11" x14ac:dyDescent="0.25">
      <c r="A3603">
        <v>3</v>
      </c>
      <c r="B3603">
        <v>14</v>
      </c>
      <c r="C3603"/>
      <c r="D3603" t="s">
        <v>31</v>
      </c>
      <c r="E3603" t="s">
        <v>32</v>
      </c>
      <c r="F3603" t="s">
        <v>53</v>
      </c>
      <c r="G3603" s="118">
        <v>0.69803240740740735</v>
      </c>
      <c r="H3603" s="118">
        <v>3.4722222222222224E-4</v>
      </c>
      <c r="I3603" s="118">
        <v>8.449074074074075E-4</v>
      </c>
      <c r="J3603" s="118">
        <v>5.0462962962962961E-3</v>
      </c>
      <c r="K3603" s="118">
        <v>5.0462962962962961E-3</v>
      </c>
    </row>
    <row r="3604" spans="1:11" x14ac:dyDescent="0.25">
      <c r="A3604">
        <v>9</v>
      </c>
      <c r="B3604">
        <v>1</v>
      </c>
      <c r="C3604"/>
      <c r="D3604" t="s">
        <v>31</v>
      </c>
      <c r="E3604" t="s">
        <v>35</v>
      </c>
      <c r="F3604" t="s">
        <v>52</v>
      </c>
      <c r="G3604" s="118">
        <v>0.69806712962962969</v>
      </c>
      <c r="H3604" s="118">
        <v>1.0416666666666667E-3</v>
      </c>
      <c r="I3604" s="118">
        <v>3.4722222222222224E-4</v>
      </c>
      <c r="J3604"/>
      <c r="K3604"/>
    </row>
    <row r="3605" spans="1:11" x14ac:dyDescent="0.25">
      <c r="A3605">
        <v>8</v>
      </c>
      <c r="B3605">
        <v>1</v>
      </c>
      <c r="C3605"/>
      <c r="D3605" t="s">
        <v>31</v>
      </c>
      <c r="E3605" t="s">
        <v>32</v>
      </c>
      <c r="F3605" t="s">
        <v>36</v>
      </c>
      <c r="G3605" s="118">
        <v>0.69827546296296295</v>
      </c>
      <c r="H3605" s="118">
        <v>3.4722222222222224E-4</v>
      </c>
      <c r="I3605" s="118">
        <v>1.0995370370370371E-3</v>
      </c>
      <c r="J3605" s="118">
        <v>5.0462962962962961E-3</v>
      </c>
      <c r="K3605" s="118">
        <v>5.0462962962962961E-3</v>
      </c>
    </row>
    <row r="3606" spans="1:11" x14ac:dyDescent="0.25">
      <c r="A3606">
        <v>2</v>
      </c>
      <c r="B3606">
        <v>14</v>
      </c>
      <c r="C3606"/>
      <c r="D3606" t="s">
        <v>31</v>
      </c>
      <c r="E3606" t="s">
        <v>32</v>
      </c>
      <c r="F3606" t="s">
        <v>46</v>
      </c>
      <c r="G3606" s="118">
        <v>0.69837962962962974</v>
      </c>
      <c r="H3606" s="118">
        <v>3.4722222222222224E-4</v>
      </c>
      <c r="I3606" s="118">
        <v>9.1435185185185185E-4</v>
      </c>
      <c r="J3606" s="118">
        <v>5.0462962962962961E-3</v>
      </c>
      <c r="K3606" s="118">
        <v>5.0462962962962961E-3</v>
      </c>
    </row>
    <row r="3607" spans="1:11" x14ac:dyDescent="0.25">
      <c r="A3607">
        <v>9</v>
      </c>
      <c r="B3607">
        <v>1</v>
      </c>
      <c r="C3607"/>
      <c r="D3607" t="s">
        <v>31</v>
      </c>
      <c r="E3607" t="s">
        <v>32</v>
      </c>
      <c r="F3607" t="s">
        <v>52</v>
      </c>
      <c r="G3607" s="118">
        <v>0.69841435185185186</v>
      </c>
      <c r="H3607" s="118">
        <v>3.4722222222222224E-4</v>
      </c>
      <c r="I3607" s="118">
        <v>1.0532407407407407E-3</v>
      </c>
      <c r="J3607" s="118">
        <v>5.0462962962962961E-3</v>
      </c>
      <c r="K3607" s="118">
        <v>5.0462962962962961E-3</v>
      </c>
    </row>
    <row r="3608" spans="1:11" x14ac:dyDescent="0.25">
      <c r="A3608">
        <v>1</v>
      </c>
      <c r="B3608">
        <v>13</v>
      </c>
      <c r="C3608"/>
      <c r="D3608" t="s">
        <v>31</v>
      </c>
      <c r="E3608" t="s">
        <v>35</v>
      </c>
      <c r="F3608" t="s">
        <v>44</v>
      </c>
      <c r="G3608" s="118">
        <v>0.69851851851851843</v>
      </c>
      <c r="H3608" s="118">
        <v>1.0069444444444444E-3</v>
      </c>
      <c r="I3608" s="118">
        <v>3.4722222222222224E-4</v>
      </c>
      <c r="J3608"/>
      <c r="K3608"/>
    </row>
    <row r="3609" spans="1:11" x14ac:dyDescent="0.25">
      <c r="A3609">
        <v>5</v>
      </c>
      <c r="B3609">
        <v>14</v>
      </c>
      <c r="C3609"/>
      <c r="D3609" t="s">
        <v>31</v>
      </c>
      <c r="E3609" t="s">
        <v>35</v>
      </c>
      <c r="F3609" t="s">
        <v>37</v>
      </c>
      <c r="G3609" s="118">
        <v>0.69873842592592583</v>
      </c>
      <c r="H3609" s="118">
        <v>9.6064814814814808E-4</v>
      </c>
      <c r="I3609" s="118">
        <v>3.4722222222222224E-4</v>
      </c>
      <c r="J3609"/>
      <c r="K3609"/>
    </row>
    <row r="3610" spans="1:11" x14ac:dyDescent="0.25">
      <c r="A3610">
        <v>1</v>
      </c>
      <c r="B3610">
        <v>13</v>
      </c>
      <c r="C3610"/>
      <c r="D3610" t="s">
        <v>31</v>
      </c>
      <c r="E3610" t="s">
        <v>32</v>
      </c>
      <c r="F3610" t="s">
        <v>44</v>
      </c>
      <c r="G3610" s="118">
        <v>0.6988657407407407</v>
      </c>
      <c r="H3610" s="118">
        <v>3.4722222222222224E-4</v>
      </c>
      <c r="I3610" s="118">
        <v>9.2592592592592585E-4</v>
      </c>
      <c r="J3610" s="118">
        <v>5.0462962962962961E-3</v>
      </c>
      <c r="K3610" s="118">
        <v>5.0462962962962961E-3</v>
      </c>
    </row>
    <row r="3611" spans="1:11" x14ac:dyDescent="0.25">
      <c r="A3611">
        <v>3</v>
      </c>
      <c r="B3611">
        <v>14</v>
      </c>
      <c r="C3611"/>
      <c r="D3611" t="s">
        <v>31</v>
      </c>
      <c r="E3611" t="s">
        <v>35</v>
      </c>
      <c r="F3611" t="s">
        <v>34</v>
      </c>
      <c r="G3611" s="118">
        <v>0.69887731481481474</v>
      </c>
      <c r="H3611" s="118">
        <v>8.449074074074075E-4</v>
      </c>
      <c r="I3611" s="118">
        <v>3.4722222222222224E-4</v>
      </c>
      <c r="J3611"/>
      <c r="K3611"/>
    </row>
    <row r="3612" spans="1:11" x14ac:dyDescent="0.25">
      <c r="A3612">
        <v>5</v>
      </c>
      <c r="B3612">
        <v>14</v>
      </c>
      <c r="C3612"/>
      <c r="D3612" t="s">
        <v>31</v>
      </c>
      <c r="E3612" t="s">
        <v>32</v>
      </c>
      <c r="F3612" t="s">
        <v>37</v>
      </c>
      <c r="G3612" s="118">
        <v>0.69908564814814811</v>
      </c>
      <c r="H3612" s="118">
        <v>3.4722222222222224E-4</v>
      </c>
      <c r="I3612" s="118">
        <v>9.0277777777777784E-4</v>
      </c>
      <c r="J3612" s="118">
        <v>7.0717592592592594E-3</v>
      </c>
      <c r="K3612" s="118">
        <v>5.0462962962962961E-3</v>
      </c>
    </row>
    <row r="3613" spans="1:11" x14ac:dyDescent="0.25">
      <c r="A3613">
        <v>4</v>
      </c>
      <c r="B3613">
        <v>14</v>
      </c>
      <c r="C3613"/>
      <c r="D3613" t="s">
        <v>31</v>
      </c>
      <c r="E3613" t="s">
        <v>32</v>
      </c>
      <c r="F3613" t="s">
        <v>92</v>
      </c>
      <c r="G3613" s="118">
        <v>0.69912037037037045</v>
      </c>
      <c r="H3613" s="118">
        <v>2.0138888888888888E-3</v>
      </c>
      <c r="I3613" s="118">
        <v>1.0069444444444444E-3</v>
      </c>
      <c r="J3613" s="118">
        <v>5.0462962962962961E-3</v>
      </c>
      <c r="K3613" s="118">
        <v>5.0462962962962961E-3</v>
      </c>
    </row>
    <row r="3614" spans="1:11" x14ac:dyDescent="0.25">
      <c r="A3614">
        <v>3</v>
      </c>
      <c r="B3614">
        <v>14</v>
      </c>
      <c r="C3614"/>
      <c r="D3614" t="s">
        <v>31</v>
      </c>
      <c r="E3614" t="s">
        <v>32</v>
      </c>
      <c r="F3614" t="s">
        <v>34</v>
      </c>
      <c r="G3614" s="118">
        <v>0.69922453703703702</v>
      </c>
      <c r="H3614" s="118">
        <v>3.4722222222222224E-4</v>
      </c>
      <c r="I3614" s="118">
        <v>9.1435185185185185E-4</v>
      </c>
      <c r="J3614" s="118">
        <v>5.0462962962962961E-3</v>
      </c>
      <c r="K3614" s="118">
        <v>5.0462962962962961E-3</v>
      </c>
    </row>
    <row r="3615" spans="1:11" x14ac:dyDescent="0.25">
      <c r="A3615">
        <v>2</v>
      </c>
      <c r="B3615">
        <v>14</v>
      </c>
      <c r="C3615"/>
      <c r="D3615" t="s">
        <v>31</v>
      </c>
      <c r="E3615" t="s">
        <v>35</v>
      </c>
      <c r="F3615" t="s">
        <v>51</v>
      </c>
      <c r="G3615" s="118">
        <v>0.69929398148148147</v>
      </c>
      <c r="H3615" s="118">
        <v>9.1435185185185185E-4</v>
      </c>
      <c r="I3615" s="118">
        <v>3.4722222222222224E-4</v>
      </c>
      <c r="J3615"/>
      <c r="K3615"/>
    </row>
    <row r="3616" spans="1:11" x14ac:dyDescent="0.25">
      <c r="A3616">
        <v>8</v>
      </c>
      <c r="B3616">
        <v>1</v>
      </c>
      <c r="C3616"/>
      <c r="D3616" t="s">
        <v>31</v>
      </c>
      <c r="E3616" t="s">
        <v>35</v>
      </c>
      <c r="F3616" t="s">
        <v>43</v>
      </c>
      <c r="G3616" s="118">
        <v>0.69937499999999997</v>
      </c>
      <c r="H3616" s="118">
        <v>1.0995370370370371E-3</v>
      </c>
      <c r="I3616" s="118">
        <v>3.4722222222222224E-4</v>
      </c>
      <c r="J3616"/>
      <c r="K3616"/>
    </row>
    <row r="3617" spans="1:11" x14ac:dyDescent="0.25">
      <c r="A3617">
        <v>9</v>
      </c>
      <c r="B3617">
        <v>1</v>
      </c>
      <c r="C3617"/>
      <c r="D3617" t="s">
        <v>31</v>
      </c>
      <c r="E3617" t="s">
        <v>35</v>
      </c>
      <c r="F3617" t="s">
        <v>57</v>
      </c>
      <c r="G3617" s="118">
        <v>0.69946759259259261</v>
      </c>
      <c r="H3617" s="118">
        <v>1.0532407407407407E-3</v>
      </c>
      <c r="I3617" s="118">
        <v>3.4722222222222224E-4</v>
      </c>
      <c r="J3617"/>
      <c r="K3617"/>
    </row>
    <row r="3618" spans="1:11" x14ac:dyDescent="0.25">
      <c r="A3618">
        <v>2</v>
      </c>
      <c r="B3618">
        <v>14</v>
      </c>
      <c r="C3618"/>
      <c r="D3618" t="s">
        <v>31</v>
      </c>
      <c r="E3618" t="s">
        <v>32</v>
      </c>
      <c r="F3618" t="s">
        <v>51</v>
      </c>
      <c r="G3618" s="118">
        <v>0.69964120370370375</v>
      </c>
      <c r="H3618" s="118">
        <v>3.4722222222222224E-4</v>
      </c>
      <c r="I3618" s="118">
        <v>1.0069444444444444E-3</v>
      </c>
      <c r="J3618" s="118">
        <v>5.0462962962962961E-3</v>
      </c>
      <c r="K3618" s="118">
        <v>5.0462962962962961E-3</v>
      </c>
    </row>
    <row r="3619" spans="1:11" x14ac:dyDescent="0.25">
      <c r="A3619">
        <v>8</v>
      </c>
      <c r="B3619">
        <v>1</v>
      </c>
      <c r="C3619"/>
      <c r="D3619" t="s">
        <v>31</v>
      </c>
      <c r="E3619" t="s">
        <v>32</v>
      </c>
      <c r="F3619" t="s">
        <v>43</v>
      </c>
      <c r="G3619" s="118">
        <v>0.69972222222222225</v>
      </c>
      <c r="H3619" s="118">
        <v>3.4722222222222224E-4</v>
      </c>
      <c r="I3619" s="118">
        <v>1.1458333333333333E-3</v>
      </c>
      <c r="J3619" s="118">
        <v>5.0462962962962961E-3</v>
      </c>
      <c r="K3619" s="118">
        <v>5.0462962962962961E-3</v>
      </c>
    </row>
    <row r="3620" spans="1:11" x14ac:dyDescent="0.25">
      <c r="A3620">
        <v>1</v>
      </c>
      <c r="B3620">
        <v>13</v>
      </c>
      <c r="C3620"/>
      <c r="D3620" t="s">
        <v>31</v>
      </c>
      <c r="E3620" t="s">
        <v>35</v>
      </c>
      <c r="F3620" t="s">
        <v>49</v>
      </c>
      <c r="G3620" s="118">
        <v>0.6997916666666667</v>
      </c>
      <c r="H3620" s="118">
        <v>9.2592592592592585E-4</v>
      </c>
      <c r="I3620" s="118">
        <v>3.4722222222222224E-4</v>
      </c>
      <c r="J3620"/>
      <c r="K3620"/>
    </row>
    <row r="3621" spans="1:11" x14ac:dyDescent="0.25">
      <c r="A3621">
        <v>9</v>
      </c>
      <c r="B3621">
        <v>1</v>
      </c>
      <c r="C3621"/>
      <c r="D3621" t="s">
        <v>31</v>
      </c>
      <c r="E3621" t="s">
        <v>32</v>
      </c>
      <c r="F3621" t="s">
        <v>57</v>
      </c>
      <c r="G3621" s="118">
        <v>0.69981481481481478</v>
      </c>
      <c r="H3621" s="118">
        <v>3.4722222222222224E-4</v>
      </c>
      <c r="I3621" s="118">
        <v>9.3750000000000007E-4</v>
      </c>
      <c r="J3621" s="118">
        <v>5.0462962962962961E-3</v>
      </c>
      <c r="K3621" s="118">
        <v>5.0462962962962961E-3</v>
      </c>
    </row>
    <row r="3622" spans="1:11" x14ac:dyDescent="0.25">
      <c r="A3622">
        <v>5</v>
      </c>
      <c r="B3622">
        <v>14</v>
      </c>
      <c r="C3622"/>
      <c r="D3622" t="s">
        <v>31</v>
      </c>
      <c r="E3622" t="s">
        <v>35</v>
      </c>
      <c r="F3622" t="s">
        <v>42</v>
      </c>
      <c r="G3622" s="118">
        <v>0.69998842592592592</v>
      </c>
      <c r="H3622" s="118">
        <v>9.0277777777777784E-4</v>
      </c>
      <c r="I3622" s="118">
        <v>3.4722222222222224E-4</v>
      </c>
      <c r="J3622"/>
      <c r="K3622"/>
    </row>
    <row r="3623" spans="1:11" x14ac:dyDescent="0.25">
      <c r="A3623">
        <v>4</v>
      </c>
      <c r="B3623">
        <v>14</v>
      </c>
      <c r="C3623"/>
      <c r="D3623" t="s">
        <v>31</v>
      </c>
      <c r="E3623" t="s">
        <v>35</v>
      </c>
      <c r="F3623" t="s">
        <v>41</v>
      </c>
      <c r="G3623" s="118">
        <v>0.70012731481481483</v>
      </c>
      <c r="H3623" s="118">
        <v>1.0069444444444444E-3</v>
      </c>
      <c r="I3623" s="118">
        <v>3.4722222222222224E-4</v>
      </c>
      <c r="J3623"/>
      <c r="K3623"/>
    </row>
    <row r="3624" spans="1:11" x14ac:dyDescent="0.25">
      <c r="A3624">
        <v>1</v>
      </c>
      <c r="B3624">
        <v>13</v>
      </c>
      <c r="C3624"/>
      <c r="D3624" t="s">
        <v>31</v>
      </c>
      <c r="E3624" t="s">
        <v>32</v>
      </c>
      <c r="F3624" t="s">
        <v>49</v>
      </c>
      <c r="G3624" s="118">
        <v>0.70013888888888898</v>
      </c>
      <c r="H3624" s="118">
        <v>3.4722222222222224E-4</v>
      </c>
      <c r="I3624" s="118">
        <v>1.3541666666666667E-3</v>
      </c>
      <c r="J3624" s="118">
        <v>5.0462962962962961E-3</v>
      </c>
      <c r="K3624" s="118">
        <v>5.0462962962962961E-3</v>
      </c>
    </row>
    <row r="3625" spans="1:11" x14ac:dyDescent="0.25">
      <c r="A3625">
        <v>3</v>
      </c>
      <c r="B3625">
        <v>14</v>
      </c>
      <c r="C3625"/>
      <c r="D3625" t="s">
        <v>31</v>
      </c>
      <c r="E3625" t="s">
        <v>35</v>
      </c>
      <c r="F3625" t="s">
        <v>38</v>
      </c>
      <c r="G3625" s="118">
        <v>0.70013888888888898</v>
      </c>
      <c r="H3625" s="118">
        <v>9.1435185185185185E-4</v>
      </c>
      <c r="I3625" s="118">
        <v>3.4722222222222224E-4</v>
      </c>
      <c r="J3625"/>
      <c r="K3625"/>
    </row>
    <row r="3626" spans="1:11" x14ac:dyDescent="0.25">
      <c r="A3626">
        <v>5</v>
      </c>
      <c r="B3626">
        <v>14</v>
      </c>
      <c r="C3626"/>
      <c r="D3626" t="s">
        <v>31</v>
      </c>
      <c r="E3626" t="s">
        <v>32</v>
      </c>
      <c r="F3626" t="s">
        <v>42</v>
      </c>
      <c r="G3626" s="118">
        <v>0.70033564814814808</v>
      </c>
      <c r="H3626" s="118">
        <v>3.4722222222222224E-4</v>
      </c>
      <c r="I3626" s="118">
        <v>9.1435185185185185E-4</v>
      </c>
      <c r="J3626" s="118">
        <v>7.0717592592592594E-3</v>
      </c>
      <c r="K3626" s="118">
        <v>5.0462962962962961E-3</v>
      </c>
    </row>
    <row r="3627" spans="1:11" x14ac:dyDescent="0.25">
      <c r="A3627">
        <v>4</v>
      </c>
      <c r="B3627">
        <v>14</v>
      </c>
      <c r="C3627"/>
      <c r="D3627" t="s">
        <v>31</v>
      </c>
      <c r="E3627" t="s">
        <v>32</v>
      </c>
      <c r="F3627" t="s">
        <v>41</v>
      </c>
      <c r="G3627" s="118">
        <v>0.70047453703703699</v>
      </c>
      <c r="H3627" s="118">
        <v>3.4722222222222224E-4</v>
      </c>
      <c r="I3627" s="118">
        <v>8.564814814814815E-4</v>
      </c>
      <c r="J3627" s="118">
        <v>5.0462962962962961E-3</v>
      </c>
      <c r="K3627" s="118">
        <v>5.0462962962962961E-3</v>
      </c>
    </row>
    <row r="3628" spans="1:11" x14ac:dyDescent="0.25">
      <c r="A3628">
        <v>3</v>
      </c>
      <c r="B3628">
        <v>14</v>
      </c>
      <c r="C3628"/>
      <c r="D3628" t="s">
        <v>31</v>
      </c>
      <c r="E3628" t="s">
        <v>32</v>
      </c>
      <c r="F3628" t="s">
        <v>38</v>
      </c>
      <c r="G3628" s="118">
        <v>0.70048611111111114</v>
      </c>
      <c r="H3628" s="118">
        <v>3.4722222222222224E-4</v>
      </c>
      <c r="I3628" s="118">
        <v>1.2384259259259258E-3</v>
      </c>
      <c r="J3628" s="118">
        <v>5.0462962962962961E-3</v>
      </c>
      <c r="K3628" s="118">
        <v>5.0462962962962961E-3</v>
      </c>
    </row>
    <row r="3629" spans="1:11" x14ac:dyDescent="0.25">
      <c r="A3629">
        <v>2</v>
      </c>
      <c r="B3629">
        <v>14</v>
      </c>
      <c r="C3629"/>
      <c r="D3629" t="s">
        <v>31</v>
      </c>
      <c r="E3629" t="s">
        <v>35</v>
      </c>
      <c r="F3629" t="s">
        <v>55</v>
      </c>
      <c r="G3629" s="118">
        <v>0.70064814814814813</v>
      </c>
      <c r="H3629" s="118">
        <v>1.0069444444444444E-3</v>
      </c>
      <c r="I3629" s="118">
        <v>4.6296296296296293E-4</v>
      </c>
      <c r="J3629"/>
      <c r="K3629"/>
    </row>
    <row r="3630" spans="1:11" x14ac:dyDescent="0.25">
      <c r="A3630">
        <v>9</v>
      </c>
      <c r="B3630">
        <v>1</v>
      </c>
      <c r="C3630"/>
      <c r="D3630" t="s">
        <v>31</v>
      </c>
      <c r="E3630" t="s">
        <v>35</v>
      </c>
      <c r="F3630" t="s">
        <v>39</v>
      </c>
      <c r="G3630" s="118">
        <v>0.70075231481481481</v>
      </c>
      <c r="H3630" s="118">
        <v>9.3750000000000007E-4</v>
      </c>
      <c r="I3630" s="118">
        <v>5.2083333333333333E-4</v>
      </c>
      <c r="J3630"/>
      <c r="K3630"/>
    </row>
    <row r="3631" spans="1:11" x14ac:dyDescent="0.25">
      <c r="A3631">
        <v>8</v>
      </c>
      <c r="B3631">
        <v>1</v>
      </c>
      <c r="C3631"/>
      <c r="D3631" t="s">
        <v>31</v>
      </c>
      <c r="E3631" t="s">
        <v>35</v>
      </c>
      <c r="F3631" t="s">
        <v>50</v>
      </c>
      <c r="G3631" s="118">
        <v>0.70086805555555554</v>
      </c>
      <c r="H3631" s="118">
        <v>1.1458333333333333E-3</v>
      </c>
      <c r="I3631" s="118">
        <v>3.4722222222222224E-4</v>
      </c>
      <c r="J3631"/>
      <c r="K3631"/>
    </row>
    <row r="3632" spans="1:11" x14ac:dyDescent="0.25">
      <c r="A3632">
        <v>2</v>
      </c>
      <c r="B3632">
        <v>14</v>
      </c>
      <c r="C3632"/>
      <c r="D3632" t="s">
        <v>31</v>
      </c>
      <c r="E3632" t="s">
        <v>32</v>
      </c>
      <c r="F3632" t="s">
        <v>55</v>
      </c>
      <c r="G3632" s="118">
        <v>0.70111111111111113</v>
      </c>
      <c r="H3632" s="118">
        <v>4.6296296296296293E-4</v>
      </c>
      <c r="I3632" s="118">
        <v>4.3981481481481481E-4</v>
      </c>
      <c r="J3632" s="118">
        <v>5.0462962962962961E-3</v>
      </c>
      <c r="K3632" s="118">
        <v>5.0462962962962961E-3</v>
      </c>
    </row>
    <row r="3633" spans="1:11" x14ac:dyDescent="0.25">
      <c r="A3633">
        <v>8</v>
      </c>
      <c r="B3633">
        <v>1</v>
      </c>
      <c r="C3633"/>
      <c r="D3633" t="s">
        <v>31</v>
      </c>
      <c r="E3633" t="s">
        <v>32</v>
      </c>
      <c r="F3633" t="s">
        <v>50</v>
      </c>
      <c r="G3633" s="118">
        <v>0.7012152777777777</v>
      </c>
      <c r="H3633" s="118">
        <v>3.4722222222222224E-4</v>
      </c>
      <c r="I3633" s="118">
        <v>1.261574074074074E-3</v>
      </c>
      <c r="J3633" s="118">
        <v>5.0462962962962961E-3</v>
      </c>
      <c r="K3633" s="118">
        <v>5.0462962962962961E-3</v>
      </c>
    </row>
    <row r="3634" spans="1:11" x14ac:dyDescent="0.25">
      <c r="A3634">
        <v>5</v>
      </c>
      <c r="B3634">
        <v>14</v>
      </c>
      <c r="C3634"/>
      <c r="D3634" t="s">
        <v>31</v>
      </c>
      <c r="E3634" t="s">
        <v>35</v>
      </c>
      <c r="F3634" t="s">
        <v>48</v>
      </c>
      <c r="G3634" s="118">
        <v>0.70124999999999993</v>
      </c>
      <c r="H3634" s="118">
        <v>9.1435185185185185E-4</v>
      </c>
      <c r="I3634" s="118">
        <v>5.2083333333333333E-4</v>
      </c>
      <c r="J3634"/>
      <c r="K3634"/>
    </row>
    <row r="3635" spans="1:11" x14ac:dyDescent="0.25">
      <c r="A3635">
        <v>9</v>
      </c>
      <c r="B3635">
        <v>1</v>
      </c>
      <c r="C3635"/>
      <c r="D3635" t="s">
        <v>31</v>
      </c>
      <c r="E3635" t="s">
        <v>32</v>
      </c>
      <c r="F3635" t="s">
        <v>39</v>
      </c>
      <c r="G3635" s="118">
        <v>0.70127314814814812</v>
      </c>
      <c r="H3635" s="118">
        <v>5.2083333333333333E-4</v>
      </c>
      <c r="I3635" s="118">
        <v>1.8055555555555557E-3</v>
      </c>
      <c r="J3635" s="118">
        <v>5.0462962962962961E-3</v>
      </c>
      <c r="K3635" s="118">
        <v>5.0462962962962961E-3</v>
      </c>
    </row>
    <row r="3636" spans="1:11" x14ac:dyDescent="0.25">
      <c r="A3636">
        <v>4</v>
      </c>
      <c r="B3636">
        <v>14</v>
      </c>
      <c r="C3636"/>
      <c r="D3636" t="s">
        <v>31</v>
      </c>
      <c r="E3636" t="s">
        <v>35</v>
      </c>
      <c r="F3636" t="s">
        <v>47</v>
      </c>
      <c r="G3636" s="118">
        <v>0.70133101851851853</v>
      </c>
      <c r="H3636" s="118">
        <v>8.564814814814815E-4</v>
      </c>
      <c r="I3636" s="118">
        <v>5.2083333333333333E-4</v>
      </c>
      <c r="J3636"/>
      <c r="K3636"/>
    </row>
    <row r="3637" spans="1:11" x14ac:dyDescent="0.25">
      <c r="A3637">
        <v>1</v>
      </c>
      <c r="B3637">
        <v>13</v>
      </c>
      <c r="C3637"/>
      <c r="D3637" t="s">
        <v>31</v>
      </c>
      <c r="E3637" t="s">
        <v>35</v>
      </c>
      <c r="F3637" t="s">
        <v>33</v>
      </c>
      <c r="G3637" s="118">
        <v>0.70149305555555552</v>
      </c>
      <c r="H3637" s="118">
        <v>1.3541666666666667E-3</v>
      </c>
      <c r="I3637" s="118">
        <v>5.2083333333333333E-4</v>
      </c>
      <c r="J3637"/>
      <c r="K3637"/>
    </row>
    <row r="3638" spans="1:11" x14ac:dyDescent="0.25">
      <c r="A3638">
        <v>2</v>
      </c>
      <c r="B3638">
        <v>14</v>
      </c>
      <c r="C3638"/>
      <c r="D3638" t="s">
        <v>31</v>
      </c>
      <c r="E3638" t="s">
        <v>35</v>
      </c>
      <c r="F3638" t="s">
        <v>58</v>
      </c>
      <c r="G3638" s="118">
        <v>0.70155092592592594</v>
      </c>
      <c r="H3638" s="118">
        <v>4.3981481481481481E-4</v>
      </c>
      <c r="I3638" s="118">
        <v>5.7870370370370366E-5</v>
      </c>
      <c r="J3638"/>
      <c r="K3638"/>
    </row>
    <row r="3639" spans="1:11" x14ac:dyDescent="0.25">
      <c r="A3639">
        <v>2</v>
      </c>
      <c r="B3639">
        <v>14</v>
      </c>
      <c r="C3639"/>
      <c r="D3639" t="s">
        <v>31</v>
      </c>
      <c r="E3639" t="s">
        <v>32</v>
      </c>
      <c r="F3639" t="s">
        <v>58</v>
      </c>
      <c r="G3639" s="118">
        <v>0.70160879629629624</v>
      </c>
      <c r="H3639" s="118">
        <v>5.7870370370370366E-5</v>
      </c>
      <c r="I3639" s="118">
        <v>4.8611111111111104E-4</v>
      </c>
      <c r="J3639" s="118">
        <v>5.0462962962962961E-3</v>
      </c>
      <c r="K3639" s="118">
        <v>5.0462962962962961E-3</v>
      </c>
    </row>
    <row r="3640" spans="1:11" x14ac:dyDescent="0.25">
      <c r="A3640">
        <v>3</v>
      </c>
      <c r="B3640">
        <v>14</v>
      </c>
      <c r="C3640"/>
      <c r="D3640" t="s">
        <v>31</v>
      </c>
      <c r="E3640" t="s">
        <v>35</v>
      </c>
      <c r="F3640" t="s">
        <v>45</v>
      </c>
      <c r="G3640" s="118">
        <v>0.70172453703703708</v>
      </c>
      <c r="H3640" s="118">
        <v>1.2384259259259258E-3</v>
      </c>
      <c r="I3640" s="118">
        <v>3.4722222222222224E-4</v>
      </c>
      <c r="J3640"/>
      <c r="K3640"/>
    </row>
    <row r="3641" spans="1:11" x14ac:dyDescent="0.25">
      <c r="A3641">
        <v>5</v>
      </c>
      <c r="B3641">
        <v>14</v>
      </c>
      <c r="C3641"/>
      <c r="D3641" t="s">
        <v>31</v>
      </c>
      <c r="E3641" t="s">
        <v>32</v>
      </c>
      <c r="F3641" t="s">
        <v>48</v>
      </c>
      <c r="G3641" s="118">
        <v>0.70177083333333334</v>
      </c>
      <c r="H3641" s="118">
        <v>5.2083333333333333E-4</v>
      </c>
      <c r="I3641" s="118">
        <v>8.6805555555555551E-4</v>
      </c>
      <c r="J3641" s="118">
        <v>7.0717592592592594E-3</v>
      </c>
      <c r="K3641" s="118">
        <v>5.0462962962962961E-3</v>
      </c>
    </row>
    <row r="3642" spans="1:11" x14ac:dyDescent="0.25">
      <c r="A3642">
        <v>4</v>
      </c>
      <c r="B3642">
        <v>14</v>
      </c>
      <c r="C3642"/>
      <c r="D3642" t="s">
        <v>31</v>
      </c>
      <c r="E3642" t="s">
        <v>32</v>
      </c>
      <c r="F3642" t="s">
        <v>47</v>
      </c>
      <c r="G3642" s="118">
        <v>0.70185185185185184</v>
      </c>
      <c r="H3642" s="118">
        <v>5.2083333333333333E-4</v>
      </c>
      <c r="I3642" s="118">
        <v>8.7962962962962962E-4</v>
      </c>
      <c r="J3642" s="118">
        <v>5.0462962962962961E-3</v>
      </c>
      <c r="K3642" s="118">
        <v>5.0462962962962961E-3</v>
      </c>
    </row>
    <row r="3643" spans="1:11" x14ac:dyDescent="0.25">
      <c r="A3643">
        <v>1</v>
      </c>
      <c r="B3643">
        <v>13</v>
      </c>
      <c r="C3643"/>
      <c r="D3643" t="s">
        <v>31</v>
      </c>
      <c r="E3643" t="s">
        <v>32</v>
      </c>
      <c r="F3643" t="s">
        <v>33</v>
      </c>
      <c r="G3643" s="118">
        <v>0.70201388888888883</v>
      </c>
      <c r="H3643" s="118">
        <v>5.2083333333333333E-4</v>
      </c>
      <c r="I3643" s="118">
        <v>9.6064814814814808E-4</v>
      </c>
      <c r="J3643" s="118">
        <v>5.0462962962962961E-3</v>
      </c>
      <c r="K3643" s="118">
        <v>5.0462962962962961E-3</v>
      </c>
    </row>
    <row r="3644" spans="1:11" x14ac:dyDescent="0.25">
      <c r="A3644">
        <v>3</v>
      </c>
      <c r="B3644">
        <v>14</v>
      </c>
      <c r="C3644"/>
      <c r="D3644" t="s">
        <v>31</v>
      </c>
      <c r="E3644" t="s">
        <v>32</v>
      </c>
      <c r="F3644" t="s">
        <v>45</v>
      </c>
      <c r="G3644" s="118">
        <v>0.70207175925925924</v>
      </c>
      <c r="H3644" s="118">
        <v>3.4722222222222224E-4</v>
      </c>
      <c r="I3644" s="118">
        <v>1.0416666666666667E-3</v>
      </c>
      <c r="J3644" s="118">
        <v>5.0462962962962961E-3</v>
      </c>
      <c r="K3644" s="118">
        <v>5.0462962962962961E-3</v>
      </c>
    </row>
    <row r="3645" spans="1:11" x14ac:dyDescent="0.25">
      <c r="A3645">
        <v>2</v>
      </c>
      <c r="B3645">
        <v>14</v>
      </c>
      <c r="C3645"/>
      <c r="D3645" t="s">
        <v>31</v>
      </c>
      <c r="E3645" t="s">
        <v>35</v>
      </c>
      <c r="F3645" t="s">
        <v>40</v>
      </c>
      <c r="G3645" s="118">
        <v>0.70209490740740732</v>
      </c>
      <c r="H3645" s="118">
        <v>4.8611111111111104E-4</v>
      </c>
      <c r="I3645" s="118">
        <v>4.6296296296296293E-4</v>
      </c>
      <c r="J3645"/>
      <c r="K3645"/>
    </row>
    <row r="3646" spans="1:11" x14ac:dyDescent="0.25">
      <c r="A3646">
        <v>8</v>
      </c>
      <c r="B3646">
        <v>1</v>
      </c>
      <c r="C3646"/>
      <c r="D3646" t="s">
        <v>31</v>
      </c>
      <c r="E3646" t="s">
        <v>35</v>
      </c>
      <c r="F3646" t="s">
        <v>56</v>
      </c>
      <c r="G3646" s="118">
        <v>0.70247685185185194</v>
      </c>
      <c r="H3646" s="118">
        <v>1.261574074074074E-3</v>
      </c>
      <c r="I3646" s="118">
        <v>3.4722222222222224E-4</v>
      </c>
      <c r="J3646"/>
      <c r="K3646"/>
    </row>
    <row r="3647" spans="1:11" x14ac:dyDescent="0.25">
      <c r="A3647">
        <v>2</v>
      </c>
      <c r="B3647">
        <v>14</v>
      </c>
      <c r="C3647"/>
      <c r="D3647" t="s">
        <v>31</v>
      </c>
      <c r="E3647" t="s">
        <v>32</v>
      </c>
      <c r="F3647" t="s">
        <v>40</v>
      </c>
      <c r="G3647" s="118">
        <v>0.70255787037037043</v>
      </c>
      <c r="H3647" s="118">
        <v>4.6296296296296293E-4</v>
      </c>
      <c r="I3647" s="118">
        <v>1.0069444444444444E-3</v>
      </c>
      <c r="J3647" s="118">
        <v>5.0462962962962961E-3</v>
      </c>
      <c r="K3647" s="118">
        <v>5.0462962962962961E-3</v>
      </c>
    </row>
    <row r="3648" spans="1:11" x14ac:dyDescent="0.25">
      <c r="A3648">
        <v>5</v>
      </c>
      <c r="B3648">
        <v>14</v>
      </c>
      <c r="C3648"/>
      <c r="D3648" t="s">
        <v>31</v>
      </c>
      <c r="E3648" t="s">
        <v>35</v>
      </c>
      <c r="F3648" t="s">
        <v>54</v>
      </c>
      <c r="G3648" s="118">
        <v>0.70263888888888892</v>
      </c>
      <c r="H3648" s="118">
        <v>8.6805555555555551E-4</v>
      </c>
      <c r="I3648" s="118">
        <v>3.4722222222222224E-4</v>
      </c>
      <c r="J3648"/>
      <c r="K3648"/>
    </row>
    <row r="3649" spans="1:11" x14ac:dyDescent="0.25">
      <c r="A3649">
        <v>4</v>
      </c>
      <c r="B3649">
        <v>14</v>
      </c>
      <c r="C3649"/>
      <c r="D3649" t="s">
        <v>31</v>
      </c>
      <c r="E3649" t="s">
        <v>35</v>
      </c>
      <c r="F3649" t="s">
        <v>53</v>
      </c>
      <c r="G3649" s="118">
        <v>0.70273148148148146</v>
      </c>
      <c r="H3649" s="118">
        <v>8.7962962962962962E-4</v>
      </c>
      <c r="I3649" s="118">
        <v>3.4722222222222224E-4</v>
      </c>
      <c r="J3649"/>
      <c r="K3649"/>
    </row>
    <row r="3650" spans="1:11" x14ac:dyDescent="0.25">
      <c r="A3650">
        <v>8</v>
      </c>
      <c r="B3650">
        <v>1</v>
      </c>
      <c r="C3650"/>
      <c r="D3650" t="s">
        <v>31</v>
      </c>
      <c r="E3650" t="s">
        <v>32</v>
      </c>
      <c r="F3650" t="s">
        <v>56</v>
      </c>
      <c r="G3650" s="118">
        <v>0.7028240740740741</v>
      </c>
      <c r="H3650" s="118">
        <v>3.4722222222222224E-4</v>
      </c>
      <c r="I3650" s="118">
        <v>9.6064814814814808E-4</v>
      </c>
      <c r="J3650" s="118">
        <v>5.0462962962962961E-3</v>
      </c>
      <c r="K3650" s="118">
        <v>5.0462962962962961E-3</v>
      </c>
    </row>
    <row r="3651" spans="1:11" x14ac:dyDescent="0.25">
      <c r="A3651">
        <v>1</v>
      </c>
      <c r="B3651">
        <v>13</v>
      </c>
      <c r="C3651"/>
      <c r="D3651" t="s">
        <v>31</v>
      </c>
      <c r="E3651" t="s">
        <v>35</v>
      </c>
      <c r="F3651" t="s">
        <v>36</v>
      </c>
      <c r="G3651" s="118">
        <v>0.70297453703703694</v>
      </c>
      <c r="H3651" s="118">
        <v>9.6064814814814808E-4</v>
      </c>
      <c r="I3651" s="118">
        <v>3.4722222222222224E-4</v>
      </c>
      <c r="J3651"/>
      <c r="K3651"/>
    </row>
    <row r="3652" spans="1:11" x14ac:dyDescent="0.25">
      <c r="A3652">
        <v>5</v>
      </c>
      <c r="B3652">
        <v>14</v>
      </c>
      <c r="C3652"/>
      <c r="D3652" t="s">
        <v>31</v>
      </c>
      <c r="E3652" t="s">
        <v>32</v>
      </c>
      <c r="F3652" t="s">
        <v>54</v>
      </c>
      <c r="G3652" s="118">
        <v>0.70298611111111109</v>
      </c>
      <c r="H3652" s="118">
        <v>3.4722222222222224E-4</v>
      </c>
      <c r="I3652" s="118">
        <v>6.5972222222222213E-4</v>
      </c>
      <c r="J3652" s="118">
        <v>7.0717592592592594E-3</v>
      </c>
      <c r="K3652" s="118">
        <v>5.0462962962962961E-3</v>
      </c>
    </row>
    <row r="3653" spans="1:11" x14ac:dyDescent="0.25">
      <c r="A3653">
        <v>4</v>
      </c>
      <c r="B3653">
        <v>14</v>
      </c>
      <c r="C3653"/>
      <c r="D3653" t="s">
        <v>31</v>
      </c>
      <c r="E3653" t="s">
        <v>32</v>
      </c>
      <c r="F3653" t="s">
        <v>53</v>
      </c>
      <c r="G3653" s="118">
        <v>0.70307870370370373</v>
      </c>
      <c r="H3653" s="118">
        <v>3.4722222222222224E-4</v>
      </c>
      <c r="I3653" s="118">
        <v>8.449074074074075E-4</v>
      </c>
      <c r="J3653" s="118">
        <v>5.0462962962962961E-3</v>
      </c>
      <c r="K3653" s="118">
        <v>5.0462962962962961E-3</v>
      </c>
    </row>
    <row r="3654" spans="1:11" x14ac:dyDescent="0.25">
      <c r="A3654">
        <v>9</v>
      </c>
      <c r="B3654">
        <v>1</v>
      </c>
      <c r="C3654"/>
      <c r="D3654" t="s">
        <v>31</v>
      </c>
      <c r="E3654" t="s">
        <v>35</v>
      </c>
      <c r="F3654" t="s">
        <v>46</v>
      </c>
      <c r="G3654" s="118">
        <v>0.70307870370370373</v>
      </c>
      <c r="H3654" s="118">
        <v>1.8055555555555557E-3</v>
      </c>
      <c r="I3654" s="118">
        <v>3.4722222222222224E-4</v>
      </c>
      <c r="J3654"/>
      <c r="K3654"/>
    </row>
    <row r="3655" spans="1:11" x14ac:dyDescent="0.25">
      <c r="A3655">
        <v>3</v>
      </c>
      <c r="B3655">
        <v>14</v>
      </c>
      <c r="C3655"/>
      <c r="D3655" t="s">
        <v>31</v>
      </c>
      <c r="E3655" t="s">
        <v>35</v>
      </c>
      <c r="F3655" t="s">
        <v>52</v>
      </c>
      <c r="G3655" s="118">
        <v>0.70311342592592585</v>
      </c>
      <c r="H3655" s="118">
        <v>1.0416666666666667E-3</v>
      </c>
      <c r="I3655" s="118">
        <v>3.4722222222222224E-4</v>
      </c>
      <c r="J3655"/>
      <c r="K3655"/>
    </row>
    <row r="3656" spans="1:11" x14ac:dyDescent="0.25">
      <c r="A3656">
        <v>1</v>
      </c>
      <c r="B3656">
        <v>13</v>
      </c>
      <c r="C3656"/>
      <c r="D3656" t="s">
        <v>31</v>
      </c>
      <c r="E3656" t="s">
        <v>32</v>
      </c>
      <c r="F3656" t="s">
        <v>36</v>
      </c>
      <c r="G3656" s="118">
        <v>0.70332175925925933</v>
      </c>
      <c r="H3656" s="118">
        <v>3.4722222222222224E-4</v>
      </c>
      <c r="I3656" s="118">
        <v>1.0995370370370371E-3</v>
      </c>
      <c r="J3656" s="118">
        <v>5.0462962962962961E-3</v>
      </c>
      <c r="K3656" s="118">
        <v>5.0462962962962961E-3</v>
      </c>
    </row>
    <row r="3657" spans="1:11" x14ac:dyDescent="0.25">
      <c r="A3657">
        <v>9</v>
      </c>
      <c r="B3657">
        <v>1</v>
      </c>
      <c r="C3657"/>
      <c r="D3657" t="s">
        <v>31</v>
      </c>
      <c r="E3657" t="s">
        <v>32</v>
      </c>
      <c r="F3657" t="s">
        <v>46</v>
      </c>
      <c r="G3657" s="118">
        <v>0.7034259259259259</v>
      </c>
      <c r="H3657" s="118">
        <v>3.4722222222222224E-4</v>
      </c>
      <c r="I3657" s="118">
        <v>9.1435185185185185E-4</v>
      </c>
      <c r="J3657" s="118">
        <v>5.0462962962962961E-3</v>
      </c>
      <c r="K3657" s="118">
        <v>5.0462962962962961E-3</v>
      </c>
    </row>
    <row r="3658" spans="1:11" x14ac:dyDescent="0.25">
      <c r="A3658">
        <v>3</v>
      </c>
      <c r="B3658">
        <v>14</v>
      </c>
      <c r="C3658"/>
      <c r="D3658" t="s">
        <v>31</v>
      </c>
      <c r="E3658" t="s">
        <v>32</v>
      </c>
      <c r="F3658" t="s">
        <v>52</v>
      </c>
      <c r="G3658" s="118">
        <v>0.70346064814814813</v>
      </c>
      <c r="H3658" s="118">
        <v>3.4722222222222224E-4</v>
      </c>
      <c r="I3658" s="118">
        <v>1.0532407407407407E-3</v>
      </c>
      <c r="J3658" s="118">
        <v>5.0462962962962961E-3</v>
      </c>
      <c r="K3658" s="118">
        <v>5.0462962962962961E-3</v>
      </c>
    </row>
    <row r="3659" spans="1:11" x14ac:dyDescent="0.25">
      <c r="A3659">
        <v>2</v>
      </c>
      <c r="B3659">
        <v>14</v>
      </c>
      <c r="C3659"/>
      <c r="D3659" t="s">
        <v>31</v>
      </c>
      <c r="E3659" t="s">
        <v>35</v>
      </c>
      <c r="F3659" t="s">
        <v>44</v>
      </c>
      <c r="G3659" s="118">
        <v>0.70356481481481481</v>
      </c>
      <c r="H3659" s="118">
        <v>1.0069444444444444E-3</v>
      </c>
      <c r="I3659" s="118">
        <v>3.4722222222222224E-4</v>
      </c>
      <c r="J3659"/>
      <c r="K3659"/>
    </row>
    <row r="3660" spans="1:11" x14ac:dyDescent="0.25">
      <c r="A3660">
        <v>5</v>
      </c>
      <c r="B3660">
        <v>14</v>
      </c>
      <c r="C3660"/>
      <c r="D3660" t="s">
        <v>31</v>
      </c>
      <c r="E3660" t="s">
        <v>35</v>
      </c>
      <c r="F3660" t="s">
        <v>92</v>
      </c>
      <c r="G3660" s="118">
        <v>0.7036458333333333</v>
      </c>
      <c r="H3660" s="118">
        <v>6.5972222222222213E-4</v>
      </c>
      <c r="I3660" s="118">
        <v>5.2083333333333333E-4</v>
      </c>
      <c r="J3660"/>
      <c r="K3660"/>
    </row>
    <row r="3661" spans="1:11" x14ac:dyDescent="0.25">
      <c r="A3661">
        <v>8</v>
      </c>
      <c r="B3661">
        <v>1</v>
      </c>
      <c r="C3661"/>
      <c r="D3661" t="s">
        <v>31</v>
      </c>
      <c r="E3661" t="s">
        <v>35</v>
      </c>
      <c r="F3661" t="s">
        <v>37</v>
      </c>
      <c r="G3661" s="118">
        <v>0.70378472222222221</v>
      </c>
      <c r="H3661" s="118">
        <v>9.6064814814814808E-4</v>
      </c>
      <c r="I3661" s="118">
        <v>3.4722222222222224E-4</v>
      </c>
      <c r="J3661"/>
      <c r="K3661"/>
    </row>
    <row r="3662" spans="1:11" x14ac:dyDescent="0.25">
      <c r="A3662">
        <v>2</v>
      </c>
      <c r="B3662">
        <v>14</v>
      </c>
      <c r="C3662"/>
      <c r="D3662" t="s">
        <v>31</v>
      </c>
      <c r="E3662" t="s">
        <v>32</v>
      </c>
      <c r="F3662" t="s">
        <v>44</v>
      </c>
      <c r="G3662" s="118">
        <v>0.70391203703703698</v>
      </c>
      <c r="H3662" s="118">
        <v>3.4722222222222224E-4</v>
      </c>
      <c r="I3662" s="118">
        <v>9.2592592592592585E-4</v>
      </c>
      <c r="J3662" s="118">
        <v>5.0462962962962961E-3</v>
      </c>
      <c r="K3662" s="118">
        <v>5.0462962962962961E-3</v>
      </c>
    </row>
    <row r="3663" spans="1:11" x14ac:dyDescent="0.25">
      <c r="A3663">
        <v>4</v>
      </c>
      <c r="B3663">
        <v>14</v>
      </c>
      <c r="C3663"/>
      <c r="D3663" t="s">
        <v>31</v>
      </c>
      <c r="E3663" t="s">
        <v>35</v>
      </c>
      <c r="F3663" t="s">
        <v>34</v>
      </c>
      <c r="G3663" s="118">
        <v>0.70392361111111112</v>
      </c>
      <c r="H3663" s="118">
        <v>8.449074074074075E-4</v>
      </c>
      <c r="I3663" s="118">
        <v>3.4722222222222224E-4</v>
      </c>
      <c r="J3663"/>
      <c r="K3663"/>
    </row>
    <row r="3664" spans="1:11" x14ac:dyDescent="0.25">
      <c r="A3664">
        <v>8</v>
      </c>
      <c r="B3664">
        <v>1</v>
      </c>
      <c r="C3664"/>
      <c r="D3664" t="s">
        <v>31</v>
      </c>
      <c r="E3664" t="s">
        <v>32</v>
      </c>
      <c r="F3664" t="s">
        <v>37</v>
      </c>
      <c r="G3664" s="118">
        <v>0.70413194444444438</v>
      </c>
      <c r="H3664" s="118">
        <v>3.4722222222222224E-4</v>
      </c>
      <c r="I3664" s="118">
        <v>9.0277777777777784E-4</v>
      </c>
      <c r="J3664" s="118">
        <v>5.0462962962962961E-3</v>
      </c>
      <c r="K3664" s="118">
        <v>5.0462962962962961E-3</v>
      </c>
    </row>
    <row r="3665" spans="1:11" x14ac:dyDescent="0.25">
      <c r="A3665">
        <v>5</v>
      </c>
      <c r="B3665">
        <v>15</v>
      </c>
      <c r="C3665"/>
      <c r="D3665" t="s">
        <v>31</v>
      </c>
      <c r="E3665" t="s">
        <v>32</v>
      </c>
      <c r="F3665" t="s">
        <v>92</v>
      </c>
      <c r="G3665" s="118">
        <v>0.70416666666666661</v>
      </c>
      <c r="H3665" s="118">
        <v>5.2083333333333333E-4</v>
      </c>
      <c r="I3665" s="118">
        <v>1.0069444444444444E-3</v>
      </c>
      <c r="J3665" s="118">
        <v>5.0462962962962961E-3</v>
      </c>
      <c r="K3665" s="118">
        <v>5.0462962962962961E-3</v>
      </c>
    </row>
    <row r="3666" spans="1:11" x14ac:dyDescent="0.25">
      <c r="A3666">
        <v>4</v>
      </c>
      <c r="B3666">
        <v>14</v>
      </c>
      <c r="C3666"/>
      <c r="D3666" t="s">
        <v>31</v>
      </c>
      <c r="E3666" t="s">
        <v>32</v>
      </c>
      <c r="F3666" t="s">
        <v>34</v>
      </c>
      <c r="G3666" s="118">
        <v>0.70427083333333329</v>
      </c>
      <c r="H3666" s="118">
        <v>3.4722222222222224E-4</v>
      </c>
      <c r="I3666" s="118">
        <v>9.1435185185185185E-4</v>
      </c>
      <c r="J3666" s="118">
        <v>5.0462962962962961E-3</v>
      </c>
      <c r="K3666" s="118">
        <v>5.0462962962962961E-3</v>
      </c>
    </row>
    <row r="3667" spans="1:11" x14ac:dyDescent="0.25">
      <c r="A3667">
        <v>9</v>
      </c>
      <c r="B3667">
        <v>1</v>
      </c>
      <c r="C3667"/>
      <c r="D3667" t="s">
        <v>31</v>
      </c>
      <c r="E3667" t="s">
        <v>35</v>
      </c>
      <c r="F3667" t="s">
        <v>51</v>
      </c>
      <c r="G3667" s="118">
        <v>0.70434027777777775</v>
      </c>
      <c r="H3667" s="118">
        <v>9.1435185185185185E-4</v>
      </c>
      <c r="I3667" s="118">
        <v>3.4722222222222224E-4</v>
      </c>
      <c r="J3667"/>
      <c r="K3667"/>
    </row>
    <row r="3668" spans="1:11" x14ac:dyDescent="0.25">
      <c r="A3668">
        <v>1</v>
      </c>
      <c r="B3668">
        <v>13</v>
      </c>
      <c r="C3668"/>
      <c r="D3668" t="s">
        <v>31</v>
      </c>
      <c r="E3668" t="s">
        <v>35</v>
      </c>
      <c r="F3668" t="s">
        <v>43</v>
      </c>
      <c r="G3668" s="118">
        <v>0.70442129629629635</v>
      </c>
      <c r="H3668" s="118">
        <v>1.0995370370370371E-3</v>
      </c>
      <c r="I3668" s="118">
        <v>3.4722222222222224E-4</v>
      </c>
      <c r="J3668"/>
      <c r="K3668"/>
    </row>
    <row r="3669" spans="1:11" x14ac:dyDescent="0.25">
      <c r="A3669">
        <v>3</v>
      </c>
      <c r="B3669">
        <v>14</v>
      </c>
      <c r="C3669"/>
      <c r="D3669" t="s">
        <v>31</v>
      </c>
      <c r="E3669" t="s">
        <v>35</v>
      </c>
      <c r="F3669" t="s">
        <v>57</v>
      </c>
      <c r="G3669" s="118">
        <v>0.70451388888888899</v>
      </c>
      <c r="H3669" s="118">
        <v>1.0532407407407407E-3</v>
      </c>
      <c r="I3669" s="118">
        <v>3.4722222222222224E-4</v>
      </c>
      <c r="J3669"/>
      <c r="K3669"/>
    </row>
    <row r="3670" spans="1:11" x14ac:dyDescent="0.25">
      <c r="A3670">
        <v>9</v>
      </c>
      <c r="B3670">
        <v>1</v>
      </c>
      <c r="C3670"/>
      <c r="D3670" t="s">
        <v>31</v>
      </c>
      <c r="E3670" t="s">
        <v>32</v>
      </c>
      <c r="F3670" t="s">
        <v>51</v>
      </c>
      <c r="G3670" s="118">
        <v>0.70468750000000002</v>
      </c>
      <c r="H3670" s="118">
        <v>3.4722222222222224E-4</v>
      </c>
      <c r="I3670" s="118">
        <v>1.0069444444444444E-3</v>
      </c>
      <c r="J3670" s="118">
        <v>5.0462962962962961E-3</v>
      </c>
      <c r="K3670" s="118">
        <v>5.0462962962962961E-3</v>
      </c>
    </row>
    <row r="3671" spans="1:11" x14ac:dyDescent="0.25">
      <c r="A3671">
        <v>1</v>
      </c>
      <c r="B3671">
        <v>13</v>
      </c>
      <c r="C3671"/>
      <c r="D3671" t="s">
        <v>31</v>
      </c>
      <c r="E3671" t="s">
        <v>32</v>
      </c>
      <c r="F3671" t="s">
        <v>43</v>
      </c>
      <c r="G3671" s="118">
        <v>0.70476851851851852</v>
      </c>
      <c r="H3671" s="118">
        <v>3.4722222222222224E-4</v>
      </c>
      <c r="I3671" s="118">
        <v>1.1458333333333333E-3</v>
      </c>
      <c r="J3671" s="118">
        <v>5.0462962962962961E-3</v>
      </c>
      <c r="K3671" s="118">
        <v>5.0462962962962961E-3</v>
      </c>
    </row>
    <row r="3672" spans="1:11" x14ac:dyDescent="0.25">
      <c r="A3672">
        <v>2</v>
      </c>
      <c r="B3672">
        <v>14</v>
      </c>
      <c r="C3672"/>
      <c r="D3672" t="s">
        <v>31</v>
      </c>
      <c r="E3672" t="s">
        <v>35</v>
      </c>
      <c r="F3672" t="s">
        <v>49</v>
      </c>
      <c r="G3672" s="118">
        <v>0.70483796296296297</v>
      </c>
      <c r="H3672" s="118">
        <v>9.2592592592592585E-4</v>
      </c>
      <c r="I3672" s="118">
        <v>3.4722222222222224E-4</v>
      </c>
      <c r="J3672"/>
      <c r="K3672"/>
    </row>
    <row r="3673" spans="1:11" x14ac:dyDescent="0.25">
      <c r="A3673">
        <v>3</v>
      </c>
      <c r="B3673">
        <v>14</v>
      </c>
      <c r="C3673"/>
      <c r="D3673" t="s">
        <v>31</v>
      </c>
      <c r="E3673" t="s">
        <v>32</v>
      </c>
      <c r="F3673" t="s">
        <v>57</v>
      </c>
      <c r="G3673" s="118">
        <v>0.70486111111111116</v>
      </c>
      <c r="H3673" s="118">
        <v>3.4722222222222224E-4</v>
      </c>
      <c r="I3673" s="118">
        <v>9.3750000000000007E-4</v>
      </c>
      <c r="J3673" s="118">
        <v>5.0462962962962961E-3</v>
      </c>
      <c r="K3673" s="118">
        <v>5.0462962962962961E-3</v>
      </c>
    </row>
    <row r="3674" spans="1:11" x14ac:dyDescent="0.25">
      <c r="A3674">
        <v>8</v>
      </c>
      <c r="B3674">
        <v>1</v>
      </c>
      <c r="C3674"/>
      <c r="D3674" t="s">
        <v>31</v>
      </c>
      <c r="E3674" t="s">
        <v>35</v>
      </c>
      <c r="F3674" t="s">
        <v>42</v>
      </c>
      <c r="G3674" s="118">
        <v>0.7050347222222223</v>
      </c>
      <c r="H3674" s="118">
        <v>9.0277777777777784E-4</v>
      </c>
      <c r="I3674" s="118">
        <v>3.4722222222222224E-4</v>
      </c>
      <c r="J3674"/>
      <c r="K3674"/>
    </row>
    <row r="3675" spans="1:11" x14ac:dyDescent="0.25">
      <c r="A3675">
        <v>5</v>
      </c>
      <c r="B3675">
        <v>15</v>
      </c>
      <c r="C3675"/>
      <c r="D3675" t="s">
        <v>31</v>
      </c>
      <c r="E3675" t="s">
        <v>35</v>
      </c>
      <c r="F3675" t="s">
        <v>41</v>
      </c>
      <c r="G3675" s="118">
        <v>0.70517361111111121</v>
      </c>
      <c r="H3675" s="118">
        <v>1.0069444444444444E-3</v>
      </c>
      <c r="I3675" s="118">
        <v>3.4722222222222224E-4</v>
      </c>
      <c r="J3675"/>
      <c r="K3675"/>
    </row>
    <row r="3676" spans="1:11" x14ac:dyDescent="0.25">
      <c r="A3676">
        <v>2</v>
      </c>
      <c r="B3676">
        <v>14</v>
      </c>
      <c r="C3676"/>
      <c r="D3676" t="s">
        <v>31</v>
      </c>
      <c r="E3676" t="s">
        <v>32</v>
      </c>
      <c r="F3676" t="s">
        <v>49</v>
      </c>
      <c r="G3676" s="118">
        <v>0.70518518518518514</v>
      </c>
      <c r="H3676" s="118">
        <v>3.4722222222222224E-4</v>
      </c>
      <c r="I3676" s="118">
        <v>1.3541666666666667E-3</v>
      </c>
      <c r="J3676" s="118">
        <v>5.0462962962962961E-3</v>
      </c>
      <c r="K3676" s="118">
        <v>5.0462962962962961E-3</v>
      </c>
    </row>
    <row r="3677" spans="1:11" x14ac:dyDescent="0.25">
      <c r="A3677">
        <v>4</v>
      </c>
      <c r="B3677">
        <v>14</v>
      </c>
      <c r="C3677"/>
      <c r="D3677" t="s">
        <v>31</v>
      </c>
      <c r="E3677" t="s">
        <v>35</v>
      </c>
      <c r="F3677" t="s">
        <v>38</v>
      </c>
      <c r="G3677" s="118">
        <v>0.70518518518518514</v>
      </c>
      <c r="H3677" s="118">
        <v>9.1435185185185185E-4</v>
      </c>
      <c r="I3677" s="118">
        <v>3.4722222222222224E-4</v>
      </c>
      <c r="J3677"/>
      <c r="K3677"/>
    </row>
    <row r="3678" spans="1:11" x14ac:dyDescent="0.25">
      <c r="A3678">
        <v>8</v>
      </c>
      <c r="B3678">
        <v>1</v>
      </c>
      <c r="C3678"/>
      <c r="D3678" t="s">
        <v>31</v>
      </c>
      <c r="E3678" t="s">
        <v>32</v>
      </c>
      <c r="F3678" t="s">
        <v>42</v>
      </c>
      <c r="G3678" s="118">
        <v>0.70538194444444446</v>
      </c>
      <c r="H3678" s="118">
        <v>3.4722222222222224E-4</v>
      </c>
      <c r="I3678" s="118">
        <v>9.1435185185185185E-4</v>
      </c>
      <c r="J3678" s="118">
        <v>5.0462962962962961E-3</v>
      </c>
      <c r="K3678" s="118">
        <v>5.0462962962962961E-3</v>
      </c>
    </row>
    <row r="3679" spans="1:11" x14ac:dyDescent="0.25">
      <c r="A3679">
        <v>5</v>
      </c>
      <c r="B3679">
        <v>15</v>
      </c>
      <c r="C3679"/>
      <c r="D3679" t="s">
        <v>31</v>
      </c>
      <c r="E3679" t="s">
        <v>32</v>
      </c>
      <c r="F3679" t="s">
        <v>41</v>
      </c>
      <c r="G3679" s="118">
        <v>0.70552083333333337</v>
      </c>
      <c r="H3679" s="118">
        <v>3.4722222222222224E-4</v>
      </c>
      <c r="I3679" s="118">
        <v>8.564814814814815E-4</v>
      </c>
      <c r="J3679" s="118">
        <v>5.0462962962962961E-3</v>
      </c>
      <c r="K3679" s="118">
        <v>5.0462962962962961E-3</v>
      </c>
    </row>
    <row r="3680" spans="1:11" x14ac:dyDescent="0.25">
      <c r="A3680">
        <v>4</v>
      </c>
      <c r="B3680">
        <v>14</v>
      </c>
      <c r="C3680"/>
      <c r="D3680" t="s">
        <v>31</v>
      </c>
      <c r="E3680" t="s">
        <v>32</v>
      </c>
      <c r="F3680" t="s">
        <v>38</v>
      </c>
      <c r="G3680" s="118">
        <v>0.7055324074074073</v>
      </c>
      <c r="H3680" s="118">
        <v>3.4722222222222224E-4</v>
      </c>
      <c r="I3680" s="118">
        <v>1.2384259259259258E-3</v>
      </c>
      <c r="J3680" s="118">
        <v>5.0462962962962961E-3</v>
      </c>
      <c r="K3680" s="118">
        <v>5.0462962962962961E-3</v>
      </c>
    </row>
    <row r="3681" spans="1:11" x14ac:dyDescent="0.25">
      <c r="A3681">
        <v>9</v>
      </c>
      <c r="B3681">
        <v>1</v>
      </c>
      <c r="C3681"/>
      <c r="D3681" t="s">
        <v>31</v>
      </c>
      <c r="E3681" t="s">
        <v>35</v>
      </c>
      <c r="F3681" t="s">
        <v>55</v>
      </c>
      <c r="G3681" s="118">
        <v>0.70569444444444451</v>
      </c>
      <c r="H3681" s="118">
        <v>1.0069444444444444E-3</v>
      </c>
      <c r="I3681" s="118">
        <v>4.6296296296296293E-4</v>
      </c>
      <c r="J3681"/>
      <c r="K3681"/>
    </row>
    <row r="3682" spans="1:11" x14ac:dyDescent="0.25">
      <c r="A3682">
        <v>3</v>
      </c>
      <c r="B3682">
        <v>14</v>
      </c>
      <c r="C3682"/>
      <c r="D3682" t="s">
        <v>31</v>
      </c>
      <c r="E3682" t="s">
        <v>35</v>
      </c>
      <c r="F3682" t="s">
        <v>39</v>
      </c>
      <c r="G3682" s="118">
        <v>0.70579861111111108</v>
      </c>
      <c r="H3682" s="118">
        <v>9.3750000000000007E-4</v>
      </c>
      <c r="I3682" s="118">
        <v>5.2083333333333333E-4</v>
      </c>
      <c r="J3682"/>
      <c r="K3682"/>
    </row>
    <row r="3683" spans="1:11" x14ac:dyDescent="0.25">
      <c r="A3683">
        <v>1</v>
      </c>
      <c r="B3683">
        <v>13</v>
      </c>
      <c r="C3683"/>
      <c r="D3683" t="s">
        <v>31</v>
      </c>
      <c r="E3683" t="s">
        <v>35</v>
      </c>
      <c r="F3683" t="s">
        <v>50</v>
      </c>
      <c r="G3683" s="118">
        <v>0.70591435185185192</v>
      </c>
      <c r="H3683" s="118">
        <v>1.1458333333333333E-3</v>
      </c>
      <c r="I3683" s="118">
        <v>3.4722222222222224E-4</v>
      </c>
      <c r="J3683"/>
      <c r="K3683"/>
    </row>
    <row r="3684" spans="1:11" x14ac:dyDescent="0.25">
      <c r="A3684">
        <v>9</v>
      </c>
      <c r="B3684">
        <v>1</v>
      </c>
      <c r="C3684"/>
      <c r="D3684" t="s">
        <v>31</v>
      </c>
      <c r="E3684" t="s">
        <v>32</v>
      </c>
      <c r="F3684" t="s">
        <v>55</v>
      </c>
      <c r="G3684" s="118">
        <v>0.7061574074074074</v>
      </c>
      <c r="H3684" s="118">
        <v>4.6296296296296293E-4</v>
      </c>
      <c r="I3684" s="118">
        <v>4.3981481481481481E-4</v>
      </c>
      <c r="J3684" s="118">
        <v>5.0462962962962961E-3</v>
      </c>
      <c r="K3684" s="118">
        <v>5.0462962962962961E-3</v>
      </c>
    </row>
    <row r="3685" spans="1:11" x14ac:dyDescent="0.25">
      <c r="A3685">
        <v>1</v>
      </c>
      <c r="B3685">
        <v>13</v>
      </c>
      <c r="C3685"/>
      <c r="D3685" t="s">
        <v>31</v>
      </c>
      <c r="E3685" t="s">
        <v>32</v>
      </c>
      <c r="F3685" t="s">
        <v>50</v>
      </c>
      <c r="G3685" s="118">
        <v>0.70626157407407408</v>
      </c>
      <c r="H3685" s="118">
        <v>3.4722222222222224E-4</v>
      </c>
      <c r="I3685" s="118">
        <v>1.261574074074074E-3</v>
      </c>
      <c r="J3685" s="118">
        <v>5.0462962962962961E-3</v>
      </c>
      <c r="K3685" s="118">
        <v>5.0462962962962961E-3</v>
      </c>
    </row>
    <row r="3686" spans="1:11" x14ac:dyDescent="0.25">
      <c r="A3686">
        <v>8</v>
      </c>
      <c r="B3686">
        <v>1</v>
      </c>
      <c r="C3686"/>
      <c r="D3686" t="s">
        <v>31</v>
      </c>
      <c r="E3686" t="s">
        <v>35</v>
      </c>
      <c r="F3686" t="s">
        <v>48</v>
      </c>
      <c r="G3686" s="118">
        <v>0.70629629629629631</v>
      </c>
      <c r="H3686" s="118">
        <v>9.1435185185185185E-4</v>
      </c>
      <c r="I3686" s="118">
        <v>5.2083333333333333E-4</v>
      </c>
      <c r="J3686"/>
      <c r="K3686"/>
    </row>
    <row r="3687" spans="1:11" x14ac:dyDescent="0.25">
      <c r="A3687">
        <v>3</v>
      </c>
      <c r="B3687">
        <v>14</v>
      </c>
      <c r="C3687"/>
      <c r="D3687" t="s">
        <v>31</v>
      </c>
      <c r="E3687" t="s">
        <v>32</v>
      </c>
      <c r="F3687" t="s">
        <v>39</v>
      </c>
      <c r="G3687" s="118">
        <v>0.7063194444444445</v>
      </c>
      <c r="H3687" s="118">
        <v>5.2083333333333333E-4</v>
      </c>
      <c r="I3687" s="118">
        <v>1.8055555555555557E-3</v>
      </c>
      <c r="J3687" s="118">
        <v>5.0462962962962961E-3</v>
      </c>
      <c r="K3687" s="118">
        <v>5.0462962962962961E-3</v>
      </c>
    </row>
    <row r="3688" spans="1:11" x14ac:dyDescent="0.25">
      <c r="A3688">
        <v>5</v>
      </c>
      <c r="B3688">
        <v>15</v>
      </c>
      <c r="C3688"/>
      <c r="D3688" t="s">
        <v>31</v>
      </c>
      <c r="E3688" t="s">
        <v>35</v>
      </c>
      <c r="F3688" t="s">
        <v>47</v>
      </c>
      <c r="G3688" s="118">
        <v>0.70637731481481481</v>
      </c>
      <c r="H3688" s="118">
        <v>8.564814814814815E-4</v>
      </c>
      <c r="I3688" s="118">
        <v>5.2083333333333333E-4</v>
      </c>
      <c r="J3688"/>
      <c r="K3688"/>
    </row>
    <row r="3689" spans="1:11" x14ac:dyDescent="0.25">
      <c r="A3689">
        <v>2</v>
      </c>
      <c r="B3689">
        <v>14</v>
      </c>
      <c r="C3689"/>
      <c r="D3689" t="s">
        <v>31</v>
      </c>
      <c r="E3689" t="s">
        <v>35</v>
      </c>
      <c r="F3689" t="s">
        <v>33</v>
      </c>
      <c r="G3689" s="118">
        <v>0.7065393518518519</v>
      </c>
      <c r="H3689" s="118">
        <v>1.3541666666666667E-3</v>
      </c>
      <c r="I3689" s="118">
        <v>5.2083333333333333E-4</v>
      </c>
      <c r="J3689"/>
      <c r="K3689"/>
    </row>
    <row r="3690" spans="1:11" x14ac:dyDescent="0.25">
      <c r="A3690">
        <v>9</v>
      </c>
      <c r="B3690">
        <v>1</v>
      </c>
      <c r="C3690"/>
      <c r="D3690" t="s">
        <v>31</v>
      </c>
      <c r="E3690" t="s">
        <v>35</v>
      </c>
      <c r="F3690" t="s">
        <v>58</v>
      </c>
      <c r="G3690" s="118">
        <v>0.70659722222222221</v>
      </c>
      <c r="H3690" s="118">
        <v>4.3981481481481481E-4</v>
      </c>
      <c r="I3690" s="118">
        <v>5.7870370370370366E-5</v>
      </c>
      <c r="J3690"/>
      <c r="K3690"/>
    </row>
    <row r="3691" spans="1:11" x14ac:dyDescent="0.25">
      <c r="A3691">
        <v>9</v>
      </c>
      <c r="B3691">
        <v>1</v>
      </c>
      <c r="C3691"/>
      <c r="D3691" t="s">
        <v>31</v>
      </c>
      <c r="E3691" t="s">
        <v>32</v>
      </c>
      <c r="F3691" t="s">
        <v>58</v>
      </c>
      <c r="G3691" s="118">
        <v>0.70665509259259263</v>
      </c>
      <c r="H3691" s="118">
        <v>5.7870370370370366E-5</v>
      </c>
      <c r="I3691" s="118">
        <v>4.8611111111111104E-4</v>
      </c>
      <c r="J3691" s="118">
        <v>5.0462962962962961E-3</v>
      </c>
      <c r="K3691" s="118">
        <v>5.0462962962962961E-3</v>
      </c>
    </row>
    <row r="3692" spans="1:11" x14ac:dyDescent="0.25">
      <c r="A3692">
        <v>4</v>
      </c>
      <c r="B3692">
        <v>14</v>
      </c>
      <c r="C3692"/>
      <c r="D3692" t="s">
        <v>31</v>
      </c>
      <c r="E3692" t="s">
        <v>35</v>
      </c>
      <c r="F3692" t="s">
        <v>45</v>
      </c>
      <c r="G3692" s="118">
        <v>0.70677083333333324</v>
      </c>
      <c r="H3692" s="118">
        <v>1.2384259259259258E-3</v>
      </c>
      <c r="I3692" s="118">
        <v>3.4722222222222224E-4</v>
      </c>
      <c r="J3692"/>
      <c r="K3692"/>
    </row>
    <row r="3693" spans="1:11" x14ac:dyDescent="0.25">
      <c r="A3693">
        <v>8</v>
      </c>
      <c r="B3693">
        <v>1</v>
      </c>
      <c r="C3693"/>
      <c r="D3693" t="s">
        <v>31</v>
      </c>
      <c r="E3693" t="s">
        <v>32</v>
      </c>
      <c r="F3693" t="s">
        <v>48</v>
      </c>
      <c r="G3693" s="118">
        <v>0.70681712962962961</v>
      </c>
      <c r="H3693" s="118">
        <v>5.2083333333333333E-4</v>
      </c>
      <c r="I3693" s="118">
        <v>8.6805555555555551E-4</v>
      </c>
      <c r="J3693" s="118">
        <v>5.0462962962962961E-3</v>
      </c>
      <c r="K3693" s="118">
        <v>5.0462962962962961E-3</v>
      </c>
    </row>
    <row r="3694" spans="1:11" x14ac:dyDescent="0.25">
      <c r="A3694">
        <v>5</v>
      </c>
      <c r="B3694">
        <v>15</v>
      </c>
      <c r="C3694"/>
      <c r="D3694" t="s">
        <v>31</v>
      </c>
      <c r="E3694" t="s">
        <v>32</v>
      </c>
      <c r="F3694" t="s">
        <v>47</v>
      </c>
      <c r="G3694" s="118">
        <v>0.70689814814814811</v>
      </c>
      <c r="H3694" s="118">
        <v>5.2083333333333333E-4</v>
      </c>
      <c r="I3694" s="118">
        <v>8.7962962962962962E-4</v>
      </c>
      <c r="J3694" s="118">
        <v>5.0462962962962961E-3</v>
      </c>
      <c r="K3694" s="118">
        <v>5.0462962962962961E-3</v>
      </c>
    </row>
    <row r="3695" spans="1:11" x14ac:dyDescent="0.25">
      <c r="A3695">
        <v>2</v>
      </c>
      <c r="B3695">
        <v>14</v>
      </c>
      <c r="C3695"/>
      <c r="D3695" t="s">
        <v>31</v>
      </c>
      <c r="E3695" t="s">
        <v>32</v>
      </c>
      <c r="F3695" t="s">
        <v>33</v>
      </c>
      <c r="G3695" s="118">
        <v>0.70706018518518521</v>
      </c>
      <c r="H3695" s="118">
        <v>5.2083333333333333E-4</v>
      </c>
      <c r="I3695" s="118">
        <v>9.6064814814814808E-4</v>
      </c>
      <c r="J3695" s="118">
        <v>5.0462962962962961E-3</v>
      </c>
      <c r="K3695" s="118">
        <v>5.0462962962962961E-3</v>
      </c>
    </row>
    <row r="3696" spans="1:11" x14ac:dyDescent="0.25">
      <c r="A3696">
        <v>4</v>
      </c>
      <c r="B3696">
        <v>14</v>
      </c>
      <c r="C3696"/>
      <c r="D3696" t="s">
        <v>31</v>
      </c>
      <c r="E3696" t="s">
        <v>32</v>
      </c>
      <c r="F3696" t="s">
        <v>45</v>
      </c>
      <c r="G3696" s="118">
        <v>0.70711805555555562</v>
      </c>
      <c r="H3696" s="118">
        <v>3.4722222222222224E-4</v>
      </c>
      <c r="I3696" s="118">
        <v>1.0416666666666667E-3</v>
      </c>
      <c r="J3696" s="118">
        <v>5.0462962962962961E-3</v>
      </c>
      <c r="K3696" s="118">
        <v>5.0462962962962961E-3</v>
      </c>
    </row>
    <row r="3697" spans="1:11" x14ac:dyDescent="0.25">
      <c r="A3697">
        <v>9</v>
      </c>
      <c r="B3697">
        <v>1</v>
      </c>
      <c r="C3697"/>
      <c r="D3697" t="s">
        <v>31</v>
      </c>
      <c r="E3697" t="s">
        <v>35</v>
      </c>
      <c r="F3697" t="s">
        <v>40</v>
      </c>
      <c r="G3697" s="118">
        <v>0.7071412037037037</v>
      </c>
      <c r="H3697" s="118">
        <v>4.8611111111111104E-4</v>
      </c>
      <c r="I3697" s="118">
        <v>4.6296296296296293E-4</v>
      </c>
      <c r="J3697"/>
      <c r="K3697"/>
    </row>
    <row r="3698" spans="1:11" x14ac:dyDescent="0.25">
      <c r="A3698">
        <v>1</v>
      </c>
      <c r="B3698">
        <v>13</v>
      </c>
      <c r="C3698"/>
      <c r="D3698" t="s">
        <v>31</v>
      </c>
      <c r="E3698" t="s">
        <v>35</v>
      </c>
      <c r="F3698" t="s">
        <v>56</v>
      </c>
      <c r="G3698" s="118">
        <v>0.7075231481481481</v>
      </c>
      <c r="H3698" s="118">
        <v>1.261574074074074E-3</v>
      </c>
      <c r="I3698" s="118">
        <v>3.4722222222222224E-4</v>
      </c>
      <c r="J3698"/>
      <c r="K3698"/>
    </row>
    <row r="3699" spans="1:11" x14ac:dyDescent="0.25">
      <c r="A3699">
        <v>9</v>
      </c>
      <c r="B3699">
        <v>1</v>
      </c>
      <c r="C3699"/>
      <c r="D3699" t="s">
        <v>31</v>
      </c>
      <c r="E3699" t="s">
        <v>32</v>
      </c>
      <c r="F3699" t="s">
        <v>40</v>
      </c>
      <c r="G3699" s="118">
        <v>0.7076041666666667</v>
      </c>
      <c r="H3699" s="118">
        <v>4.6296296296296293E-4</v>
      </c>
      <c r="I3699" s="118">
        <v>1.0069444444444444E-3</v>
      </c>
      <c r="J3699" s="118">
        <v>5.0462962962962961E-3</v>
      </c>
      <c r="K3699" s="118">
        <v>5.0462962962962961E-3</v>
      </c>
    </row>
    <row r="3700" spans="1:11" x14ac:dyDescent="0.25">
      <c r="A3700">
        <v>8</v>
      </c>
      <c r="B3700">
        <v>1</v>
      </c>
      <c r="C3700"/>
      <c r="D3700" t="s">
        <v>31</v>
      </c>
      <c r="E3700" t="s">
        <v>35</v>
      </c>
      <c r="F3700" t="s">
        <v>54</v>
      </c>
      <c r="G3700" s="118">
        <v>0.70768518518518519</v>
      </c>
      <c r="H3700" s="118">
        <v>8.6805555555555551E-4</v>
      </c>
      <c r="I3700" s="118">
        <v>3.4722222222222224E-4</v>
      </c>
      <c r="J3700"/>
      <c r="K3700"/>
    </row>
    <row r="3701" spans="1:11" x14ac:dyDescent="0.25">
      <c r="A3701">
        <v>5</v>
      </c>
      <c r="B3701">
        <v>15</v>
      </c>
      <c r="C3701"/>
      <c r="D3701" t="s">
        <v>31</v>
      </c>
      <c r="E3701" t="s">
        <v>35</v>
      </c>
      <c r="F3701" t="s">
        <v>53</v>
      </c>
      <c r="G3701" s="118">
        <v>0.70777777777777784</v>
      </c>
      <c r="H3701" s="118">
        <v>8.7962962962962962E-4</v>
      </c>
      <c r="I3701" s="118">
        <v>3.4722222222222224E-4</v>
      </c>
      <c r="J3701"/>
      <c r="K3701"/>
    </row>
    <row r="3702" spans="1:11" x14ac:dyDescent="0.25">
      <c r="A3702">
        <v>1</v>
      </c>
      <c r="B3702">
        <v>13</v>
      </c>
      <c r="C3702"/>
      <c r="D3702" t="s">
        <v>31</v>
      </c>
      <c r="E3702" t="s">
        <v>32</v>
      </c>
      <c r="F3702" t="s">
        <v>56</v>
      </c>
      <c r="G3702" s="118">
        <v>0.70787037037037026</v>
      </c>
      <c r="H3702" s="118">
        <v>3.4722222222222224E-4</v>
      </c>
      <c r="I3702" s="118">
        <v>9.6064814814814808E-4</v>
      </c>
      <c r="J3702" s="118">
        <v>5.0462962962962961E-3</v>
      </c>
      <c r="K3702" s="118">
        <v>5.0462962962962961E-3</v>
      </c>
    </row>
    <row r="3703" spans="1:11" x14ac:dyDescent="0.25">
      <c r="A3703">
        <v>2</v>
      </c>
      <c r="B3703">
        <v>14</v>
      </c>
      <c r="C3703"/>
      <c r="D3703" t="s">
        <v>31</v>
      </c>
      <c r="E3703" t="s">
        <v>35</v>
      </c>
      <c r="F3703" t="s">
        <v>36</v>
      </c>
      <c r="G3703" s="118">
        <v>0.70802083333333332</v>
      </c>
      <c r="H3703" s="118">
        <v>9.6064814814814808E-4</v>
      </c>
      <c r="I3703" s="118">
        <v>3.4722222222222224E-4</v>
      </c>
      <c r="J3703"/>
      <c r="K3703"/>
    </row>
    <row r="3704" spans="1:11" x14ac:dyDescent="0.25">
      <c r="A3704">
        <v>8</v>
      </c>
      <c r="B3704">
        <v>1</v>
      </c>
      <c r="C3704"/>
      <c r="D3704" t="s">
        <v>31</v>
      </c>
      <c r="E3704" t="s">
        <v>32</v>
      </c>
      <c r="F3704" t="s">
        <v>54</v>
      </c>
      <c r="G3704" s="118">
        <v>0.70803240740740747</v>
      </c>
      <c r="H3704" s="118">
        <v>3.4722222222222224E-4</v>
      </c>
      <c r="I3704" s="118">
        <v>6.5972222222222213E-4</v>
      </c>
      <c r="J3704" s="118">
        <v>5.0462962962962961E-3</v>
      </c>
      <c r="K3704" s="118">
        <v>5.0462962962962961E-3</v>
      </c>
    </row>
    <row r="3705" spans="1:11" x14ac:dyDescent="0.25">
      <c r="A3705">
        <v>3</v>
      </c>
      <c r="B3705">
        <v>14</v>
      </c>
      <c r="C3705"/>
      <c r="D3705" t="s">
        <v>31</v>
      </c>
      <c r="E3705" t="s">
        <v>35</v>
      </c>
      <c r="F3705" t="s">
        <v>46</v>
      </c>
      <c r="G3705" s="118">
        <v>0.708125</v>
      </c>
      <c r="H3705" s="118">
        <v>1.8055555555555557E-3</v>
      </c>
      <c r="I3705" s="118">
        <v>3.4722222222222224E-4</v>
      </c>
      <c r="J3705"/>
      <c r="K3705"/>
    </row>
    <row r="3706" spans="1:11" x14ac:dyDescent="0.25">
      <c r="A3706">
        <v>5</v>
      </c>
      <c r="B3706">
        <v>15</v>
      </c>
      <c r="C3706"/>
      <c r="D3706" t="s">
        <v>31</v>
      </c>
      <c r="E3706" t="s">
        <v>32</v>
      </c>
      <c r="F3706" t="s">
        <v>53</v>
      </c>
      <c r="G3706" s="118">
        <v>0.708125</v>
      </c>
      <c r="H3706" s="118">
        <v>3.4722222222222224E-4</v>
      </c>
      <c r="I3706" s="118">
        <v>8.449074074074075E-4</v>
      </c>
      <c r="J3706" s="118">
        <v>5.0462962962962961E-3</v>
      </c>
      <c r="K3706" s="118">
        <v>5.0462962962962961E-3</v>
      </c>
    </row>
    <row r="3707" spans="1:11" x14ac:dyDescent="0.25">
      <c r="A3707">
        <v>4</v>
      </c>
      <c r="B3707">
        <v>14</v>
      </c>
      <c r="C3707"/>
      <c r="D3707" t="s">
        <v>31</v>
      </c>
      <c r="E3707" t="s">
        <v>35</v>
      </c>
      <c r="F3707" t="s">
        <v>52</v>
      </c>
      <c r="G3707" s="118">
        <v>0.70815972222222223</v>
      </c>
      <c r="H3707" s="118">
        <v>1.0416666666666667E-3</v>
      </c>
      <c r="I3707" s="118">
        <v>3.4722222222222224E-4</v>
      </c>
      <c r="J3707"/>
      <c r="K3707"/>
    </row>
    <row r="3708" spans="1:11" x14ac:dyDescent="0.25">
      <c r="A3708">
        <v>2</v>
      </c>
      <c r="B3708">
        <v>14</v>
      </c>
      <c r="C3708"/>
      <c r="D3708" t="s">
        <v>31</v>
      </c>
      <c r="E3708" t="s">
        <v>32</v>
      </c>
      <c r="F3708" t="s">
        <v>36</v>
      </c>
      <c r="G3708" s="118">
        <v>0.70836805555555549</v>
      </c>
      <c r="H3708" s="118">
        <v>3.4722222222222224E-4</v>
      </c>
      <c r="I3708" s="118">
        <v>1.0995370370370371E-3</v>
      </c>
      <c r="J3708" s="118">
        <v>5.0462962962962961E-3</v>
      </c>
      <c r="K3708" s="118">
        <v>5.0462962962962961E-3</v>
      </c>
    </row>
    <row r="3709" spans="1:11" x14ac:dyDescent="0.25">
      <c r="A3709">
        <v>3</v>
      </c>
      <c r="B3709">
        <v>14</v>
      </c>
      <c r="C3709"/>
      <c r="D3709" t="s">
        <v>31</v>
      </c>
      <c r="E3709" t="s">
        <v>32</v>
      </c>
      <c r="F3709" t="s">
        <v>46</v>
      </c>
      <c r="G3709" s="118">
        <v>0.70847222222222228</v>
      </c>
      <c r="H3709" s="118">
        <v>3.4722222222222224E-4</v>
      </c>
      <c r="I3709" s="118">
        <v>9.1435185185185185E-4</v>
      </c>
      <c r="J3709" s="118">
        <v>5.0462962962962961E-3</v>
      </c>
      <c r="K3709" s="118">
        <v>5.0462962962962961E-3</v>
      </c>
    </row>
    <row r="3710" spans="1:11" x14ac:dyDescent="0.25">
      <c r="A3710">
        <v>4</v>
      </c>
      <c r="B3710">
        <v>14</v>
      </c>
      <c r="C3710"/>
      <c r="D3710" t="s">
        <v>31</v>
      </c>
      <c r="E3710" t="s">
        <v>32</v>
      </c>
      <c r="F3710" t="s">
        <v>52</v>
      </c>
      <c r="G3710" s="118">
        <v>0.7085069444444444</v>
      </c>
      <c r="H3710" s="118">
        <v>3.4722222222222224E-4</v>
      </c>
      <c r="I3710" s="118">
        <v>1.0532407407407407E-3</v>
      </c>
      <c r="J3710" s="118">
        <v>5.0462962962962961E-3</v>
      </c>
      <c r="K3710" s="118">
        <v>5.0462962962962961E-3</v>
      </c>
    </row>
    <row r="3711" spans="1:11" x14ac:dyDescent="0.25">
      <c r="A3711">
        <v>9</v>
      </c>
      <c r="B3711">
        <v>1</v>
      </c>
      <c r="C3711"/>
      <c r="D3711" t="s">
        <v>31</v>
      </c>
      <c r="E3711" t="s">
        <v>35</v>
      </c>
      <c r="F3711" t="s">
        <v>44</v>
      </c>
      <c r="G3711" s="118">
        <v>0.70861111111111119</v>
      </c>
      <c r="H3711" s="118">
        <v>1.0069444444444444E-3</v>
      </c>
      <c r="I3711" s="118">
        <v>3.4722222222222224E-4</v>
      </c>
      <c r="J3711"/>
      <c r="K3711"/>
    </row>
    <row r="3712" spans="1:11" x14ac:dyDescent="0.25">
      <c r="A3712">
        <v>8</v>
      </c>
      <c r="B3712">
        <v>1</v>
      </c>
      <c r="C3712"/>
      <c r="D3712" t="s">
        <v>31</v>
      </c>
      <c r="E3712" t="s">
        <v>35</v>
      </c>
      <c r="F3712" t="s">
        <v>92</v>
      </c>
      <c r="G3712" s="118">
        <v>0.70869212962962969</v>
      </c>
      <c r="H3712" s="118">
        <v>6.5972222222222213E-4</v>
      </c>
      <c r="I3712" s="118">
        <v>5.2083333333333333E-4</v>
      </c>
      <c r="J3712"/>
      <c r="K3712"/>
    </row>
    <row r="3713" spans="1:11" x14ac:dyDescent="0.25">
      <c r="A3713">
        <v>1</v>
      </c>
      <c r="B3713">
        <v>13</v>
      </c>
      <c r="C3713"/>
      <c r="D3713" t="s">
        <v>31</v>
      </c>
      <c r="E3713" t="s">
        <v>35</v>
      </c>
      <c r="F3713" t="s">
        <v>37</v>
      </c>
      <c r="G3713" s="118">
        <v>0.7088310185185186</v>
      </c>
      <c r="H3713" s="118">
        <v>9.6064814814814808E-4</v>
      </c>
      <c r="I3713" s="118">
        <v>3.4722222222222224E-4</v>
      </c>
      <c r="J3713"/>
      <c r="K3713"/>
    </row>
    <row r="3714" spans="1:11" x14ac:dyDescent="0.25">
      <c r="A3714">
        <v>9</v>
      </c>
      <c r="B3714">
        <v>1</v>
      </c>
      <c r="C3714"/>
      <c r="D3714" t="s">
        <v>31</v>
      </c>
      <c r="E3714" t="s">
        <v>32</v>
      </c>
      <c r="F3714" t="s">
        <v>44</v>
      </c>
      <c r="G3714" s="118">
        <v>0.70895833333333336</v>
      </c>
      <c r="H3714" s="118">
        <v>3.4722222222222224E-4</v>
      </c>
      <c r="I3714" s="118">
        <v>9.2592592592592585E-4</v>
      </c>
      <c r="J3714" s="118">
        <v>5.0462962962962961E-3</v>
      </c>
      <c r="K3714" s="118">
        <v>5.0462962962962961E-3</v>
      </c>
    </row>
    <row r="3715" spans="1:11" x14ac:dyDescent="0.25">
      <c r="A3715">
        <v>5</v>
      </c>
      <c r="B3715">
        <v>15</v>
      </c>
      <c r="C3715"/>
      <c r="D3715" t="s">
        <v>31</v>
      </c>
      <c r="E3715" t="s">
        <v>35</v>
      </c>
      <c r="F3715" t="s">
        <v>34</v>
      </c>
      <c r="G3715" s="118">
        <v>0.70896990740740751</v>
      </c>
      <c r="H3715" s="118">
        <v>8.449074074074075E-4</v>
      </c>
      <c r="I3715" s="118">
        <v>3.4722222222222224E-4</v>
      </c>
      <c r="J3715"/>
      <c r="K3715"/>
    </row>
    <row r="3716" spans="1:11" x14ac:dyDescent="0.25">
      <c r="A3716">
        <v>1</v>
      </c>
      <c r="B3716">
        <v>13</v>
      </c>
      <c r="C3716"/>
      <c r="D3716" t="s">
        <v>31</v>
      </c>
      <c r="E3716" t="s">
        <v>32</v>
      </c>
      <c r="F3716" t="s">
        <v>37</v>
      </c>
      <c r="G3716" s="118">
        <v>0.70917824074074076</v>
      </c>
      <c r="H3716" s="118">
        <v>3.4722222222222224E-4</v>
      </c>
      <c r="I3716" s="118">
        <v>9.0277777777777784E-4</v>
      </c>
      <c r="J3716" s="118">
        <v>5.0462962962962961E-3</v>
      </c>
      <c r="K3716" s="118">
        <v>5.0462962962962961E-3</v>
      </c>
    </row>
    <row r="3717" spans="1:11" x14ac:dyDescent="0.25">
      <c r="A3717">
        <v>8</v>
      </c>
      <c r="B3717">
        <v>2</v>
      </c>
      <c r="C3717"/>
      <c r="D3717" t="s">
        <v>31</v>
      </c>
      <c r="E3717" t="s">
        <v>32</v>
      </c>
      <c r="F3717" t="s">
        <v>92</v>
      </c>
      <c r="G3717" s="118">
        <v>0.70921296296296299</v>
      </c>
      <c r="H3717" s="118">
        <v>5.2083333333333333E-4</v>
      </c>
      <c r="I3717" s="118">
        <v>1.0069444444444444E-3</v>
      </c>
      <c r="J3717" s="118">
        <v>5.0462962962962961E-3</v>
      </c>
      <c r="K3717" s="118">
        <v>5.0462962962962961E-3</v>
      </c>
    </row>
    <row r="3718" spans="1:11" x14ac:dyDescent="0.25">
      <c r="A3718">
        <v>5</v>
      </c>
      <c r="B3718">
        <v>15</v>
      </c>
      <c r="C3718"/>
      <c r="D3718" t="s">
        <v>31</v>
      </c>
      <c r="E3718" t="s">
        <v>32</v>
      </c>
      <c r="F3718" t="s">
        <v>34</v>
      </c>
      <c r="G3718" s="118">
        <v>0.70931712962962967</v>
      </c>
      <c r="H3718" s="118">
        <v>3.4722222222222224E-4</v>
      </c>
      <c r="I3718" s="118">
        <v>9.1435185185185185E-4</v>
      </c>
      <c r="J3718" s="118">
        <v>5.0462962962962961E-3</v>
      </c>
      <c r="K3718" s="118">
        <v>5.0462962962962961E-3</v>
      </c>
    </row>
    <row r="3719" spans="1:11" x14ac:dyDescent="0.25">
      <c r="A3719">
        <v>3</v>
      </c>
      <c r="B3719">
        <v>14</v>
      </c>
      <c r="C3719"/>
      <c r="D3719" t="s">
        <v>31</v>
      </c>
      <c r="E3719" t="s">
        <v>35</v>
      </c>
      <c r="F3719" t="s">
        <v>51</v>
      </c>
      <c r="G3719" s="118">
        <v>0.70938657407407402</v>
      </c>
      <c r="H3719" s="118">
        <v>9.1435185185185185E-4</v>
      </c>
      <c r="I3719" s="118">
        <v>3.4722222222222224E-4</v>
      </c>
      <c r="J3719"/>
      <c r="K3719"/>
    </row>
    <row r="3720" spans="1:11" x14ac:dyDescent="0.25">
      <c r="A3720">
        <v>2</v>
      </c>
      <c r="B3720">
        <v>14</v>
      </c>
      <c r="C3720"/>
      <c r="D3720" t="s">
        <v>31</v>
      </c>
      <c r="E3720" t="s">
        <v>35</v>
      </c>
      <c r="F3720" t="s">
        <v>43</v>
      </c>
      <c r="G3720" s="118">
        <v>0.70946759259259251</v>
      </c>
      <c r="H3720" s="118">
        <v>1.0995370370370371E-3</v>
      </c>
      <c r="I3720" s="118">
        <v>3.4722222222222224E-4</v>
      </c>
      <c r="J3720"/>
      <c r="K3720"/>
    </row>
    <row r="3721" spans="1:11" x14ac:dyDescent="0.25">
      <c r="A3721">
        <v>4</v>
      </c>
      <c r="B3721">
        <v>14</v>
      </c>
      <c r="C3721"/>
      <c r="D3721" t="s">
        <v>31</v>
      </c>
      <c r="E3721" t="s">
        <v>35</v>
      </c>
      <c r="F3721" t="s">
        <v>57</v>
      </c>
      <c r="G3721" s="118">
        <v>0.70956018518518515</v>
      </c>
      <c r="H3721" s="118">
        <v>1.0532407407407407E-3</v>
      </c>
      <c r="I3721" s="118">
        <v>3.4722222222222224E-4</v>
      </c>
      <c r="J3721"/>
      <c r="K3721"/>
    </row>
    <row r="3722" spans="1:11" x14ac:dyDescent="0.25">
      <c r="A3722">
        <v>3</v>
      </c>
      <c r="B3722">
        <v>14</v>
      </c>
      <c r="C3722"/>
      <c r="D3722" t="s">
        <v>31</v>
      </c>
      <c r="E3722" t="s">
        <v>32</v>
      </c>
      <c r="F3722" t="s">
        <v>51</v>
      </c>
      <c r="G3722" s="118">
        <v>0.70973379629629629</v>
      </c>
      <c r="H3722" s="118">
        <v>3.4722222222222224E-4</v>
      </c>
      <c r="I3722" s="118">
        <v>1.0069444444444444E-3</v>
      </c>
      <c r="J3722" s="118">
        <v>5.0462962962962961E-3</v>
      </c>
      <c r="K3722" s="118">
        <v>5.0462962962962961E-3</v>
      </c>
    </row>
    <row r="3723" spans="1:11" x14ac:dyDescent="0.25">
      <c r="A3723">
        <v>2</v>
      </c>
      <c r="B3723">
        <v>14</v>
      </c>
      <c r="C3723"/>
      <c r="D3723" t="s">
        <v>31</v>
      </c>
      <c r="E3723" t="s">
        <v>32</v>
      </c>
      <c r="F3723" t="s">
        <v>43</v>
      </c>
      <c r="G3723" s="118">
        <v>0.70981481481481479</v>
      </c>
      <c r="H3723" s="118">
        <v>3.4722222222222224E-4</v>
      </c>
      <c r="I3723" s="118">
        <v>1.1458333333333333E-3</v>
      </c>
      <c r="J3723" s="118">
        <v>5.0462962962962961E-3</v>
      </c>
      <c r="K3723" s="118">
        <v>5.0462962962962961E-3</v>
      </c>
    </row>
    <row r="3724" spans="1:11" x14ac:dyDescent="0.25">
      <c r="A3724">
        <v>9</v>
      </c>
      <c r="B3724">
        <v>1</v>
      </c>
      <c r="C3724"/>
      <c r="D3724" t="s">
        <v>31</v>
      </c>
      <c r="E3724" t="s">
        <v>35</v>
      </c>
      <c r="F3724" t="s">
        <v>49</v>
      </c>
      <c r="G3724" s="118">
        <v>0.70988425925925924</v>
      </c>
      <c r="H3724" s="118">
        <v>9.2592592592592585E-4</v>
      </c>
      <c r="I3724" s="118">
        <v>3.4722222222222224E-4</v>
      </c>
      <c r="J3724"/>
      <c r="K3724"/>
    </row>
    <row r="3725" spans="1:11" x14ac:dyDescent="0.25">
      <c r="A3725">
        <v>4</v>
      </c>
      <c r="B3725">
        <v>14</v>
      </c>
      <c r="C3725"/>
      <c r="D3725" t="s">
        <v>31</v>
      </c>
      <c r="E3725" t="s">
        <v>32</v>
      </c>
      <c r="F3725" t="s">
        <v>57</v>
      </c>
      <c r="G3725" s="118">
        <v>0.70990740740740732</v>
      </c>
      <c r="H3725" s="118">
        <v>3.4722222222222224E-4</v>
      </c>
      <c r="I3725" s="118">
        <v>9.3750000000000007E-4</v>
      </c>
      <c r="J3725" s="118">
        <v>5.0462962962962961E-3</v>
      </c>
      <c r="K3725" s="118">
        <v>5.0462962962962961E-3</v>
      </c>
    </row>
    <row r="3726" spans="1:11" x14ac:dyDescent="0.25">
      <c r="A3726">
        <v>1</v>
      </c>
      <c r="B3726">
        <v>13</v>
      </c>
      <c r="C3726"/>
      <c r="D3726" t="s">
        <v>31</v>
      </c>
      <c r="E3726" t="s">
        <v>35</v>
      </c>
      <c r="F3726" t="s">
        <v>42</v>
      </c>
      <c r="G3726" s="118">
        <v>0.71008101851851846</v>
      </c>
      <c r="H3726" s="118">
        <v>9.0277777777777784E-4</v>
      </c>
      <c r="I3726" s="118">
        <v>3.4722222222222224E-4</v>
      </c>
      <c r="J3726"/>
      <c r="K3726"/>
    </row>
    <row r="3727" spans="1:11" x14ac:dyDescent="0.25">
      <c r="A3727">
        <v>8</v>
      </c>
      <c r="B3727">
        <v>2</v>
      </c>
      <c r="C3727"/>
      <c r="D3727" t="s">
        <v>31</v>
      </c>
      <c r="E3727" t="s">
        <v>35</v>
      </c>
      <c r="F3727" t="s">
        <v>41</v>
      </c>
      <c r="G3727" s="118">
        <v>0.71021990740740737</v>
      </c>
      <c r="H3727" s="118">
        <v>1.0069444444444444E-3</v>
      </c>
      <c r="I3727" s="118">
        <v>3.4722222222222224E-4</v>
      </c>
      <c r="J3727"/>
      <c r="K3727"/>
    </row>
    <row r="3728" spans="1:11" x14ac:dyDescent="0.25">
      <c r="A3728">
        <v>5</v>
      </c>
      <c r="B3728">
        <v>15</v>
      </c>
      <c r="C3728"/>
      <c r="D3728" t="s">
        <v>31</v>
      </c>
      <c r="E3728" t="s">
        <v>35</v>
      </c>
      <c r="F3728" t="s">
        <v>38</v>
      </c>
      <c r="G3728" s="118">
        <v>0.71023148148148152</v>
      </c>
      <c r="H3728" s="118">
        <v>9.1435185185185185E-4</v>
      </c>
      <c r="I3728" s="118">
        <v>3.4722222222222224E-4</v>
      </c>
      <c r="J3728"/>
      <c r="K3728"/>
    </row>
    <row r="3729" spans="1:11" x14ac:dyDescent="0.25">
      <c r="A3729">
        <v>9</v>
      </c>
      <c r="B3729">
        <v>1</v>
      </c>
      <c r="C3729"/>
      <c r="D3729" t="s">
        <v>31</v>
      </c>
      <c r="E3729" t="s">
        <v>32</v>
      </c>
      <c r="F3729" t="s">
        <v>49</v>
      </c>
      <c r="G3729" s="118">
        <v>0.71023148148148152</v>
      </c>
      <c r="H3729" s="118">
        <v>3.4722222222222224E-4</v>
      </c>
      <c r="I3729" s="118">
        <v>1.3541666666666667E-3</v>
      </c>
      <c r="J3729" s="118">
        <v>5.0462962962962961E-3</v>
      </c>
      <c r="K3729" s="118">
        <v>5.0462962962962961E-3</v>
      </c>
    </row>
    <row r="3730" spans="1:11" x14ac:dyDescent="0.25">
      <c r="A3730">
        <v>1</v>
      </c>
      <c r="B3730">
        <v>13</v>
      </c>
      <c r="C3730"/>
      <c r="D3730" t="s">
        <v>31</v>
      </c>
      <c r="E3730" t="s">
        <v>32</v>
      </c>
      <c r="F3730" t="s">
        <v>42</v>
      </c>
      <c r="G3730" s="118">
        <v>0.71042824074074085</v>
      </c>
      <c r="H3730" s="118">
        <v>3.4722222222222224E-4</v>
      </c>
      <c r="I3730" s="118">
        <v>9.1435185185185185E-4</v>
      </c>
      <c r="J3730" s="118">
        <v>5.0462962962962961E-3</v>
      </c>
      <c r="K3730" s="118">
        <v>5.0462962962962961E-3</v>
      </c>
    </row>
    <row r="3731" spans="1:11" x14ac:dyDescent="0.25">
      <c r="A3731">
        <v>8</v>
      </c>
      <c r="B3731">
        <v>2</v>
      </c>
      <c r="C3731"/>
      <c r="D3731" t="s">
        <v>31</v>
      </c>
      <c r="E3731" t="s">
        <v>32</v>
      </c>
      <c r="F3731" t="s">
        <v>41</v>
      </c>
      <c r="G3731" s="118">
        <v>0.71056712962962953</v>
      </c>
      <c r="H3731" s="118">
        <v>3.4722222222222224E-4</v>
      </c>
      <c r="I3731" s="118">
        <v>8.564814814814815E-4</v>
      </c>
      <c r="J3731" s="118">
        <v>5.0462962962962961E-3</v>
      </c>
      <c r="K3731" s="118">
        <v>5.0462962962962961E-3</v>
      </c>
    </row>
    <row r="3732" spans="1:11" x14ac:dyDescent="0.25">
      <c r="A3732">
        <v>5</v>
      </c>
      <c r="B3732">
        <v>15</v>
      </c>
      <c r="C3732"/>
      <c r="D3732" t="s">
        <v>31</v>
      </c>
      <c r="E3732" t="s">
        <v>32</v>
      </c>
      <c r="F3732" t="s">
        <v>38</v>
      </c>
      <c r="G3732" s="118">
        <v>0.71057870370370368</v>
      </c>
      <c r="H3732" s="118">
        <v>3.4722222222222224E-4</v>
      </c>
      <c r="I3732" s="118">
        <v>1.2384259259259258E-3</v>
      </c>
      <c r="J3732" s="118">
        <v>5.0462962962962961E-3</v>
      </c>
      <c r="K3732" s="118">
        <v>5.0462962962962961E-3</v>
      </c>
    </row>
    <row r="3733" spans="1:11" x14ac:dyDescent="0.25">
      <c r="A3733">
        <v>3</v>
      </c>
      <c r="B3733">
        <v>14</v>
      </c>
      <c r="C3733"/>
      <c r="D3733" t="s">
        <v>31</v>
      </c>
      <c r="E3733" t="s">
        <v>35</v>
      </c>
      <c r="F3733" t="s">
        <v>55</v>
      </c>
      <c r="G3733" s="118">
        <v>0.71074074074074067</v>
      </c>
      <c r="H3733" s="118">
        <v>1.0069444444444444E-3</v>
      </c>
      <c r="I3733" s="118">
        <v>4.6296296296296293E-4</v>
      </c>
      <c r="J3733"/>
      <c r="K3733"/>
    </row>
    <row r="3734" spans="1:11" x14ac:dyDescent="0.25">
      <c r="A3734">
        <v>4</v>
      </c>
      <c r="B3734">
        <v>14</v>
      </c>
      <c r="C3734"/>
      <c r="D3734" t="s">
        <v>31</v>
      </c>
      <c r="E3734" t="s">
        <v>35</v>
      </c>
      <c r="F3734" t="s">
        <v>39</v>
      </c>
      <c r="G3734" s="118">
        <v>0.71084490740740736</v>
      </c>
      <c r="H3734" s="118">
        <v>9.3750000000000007E-4</v>
      </c>
      <c r="I3734" s="118">
        <v>5.2083333333333333E-4</v>
      </c>
      <c r="J3734"/>
      <c r="K3734"/>
    </row>
    <row r="3735" spans="1:11" x14ac:dyDescent="0.25">
      <c r="A3735">
        <v>2</v>
      </c>
      <c r="B3735">
        <v>14</v>
      </c>
      <c r="C3735"/>
      <c r="D3735" t="s">
        <v>31</v>
      </c>
      <c r="E3735" t="s">
        <v>35</v>
      </c>
      <c r="F3735" t="s">
        <v>50</v>
      </c>
      <c r="G3735" s="118">
        <v>0.71096064814814808</v>
      </c>
      <c r="H3735" s="118">
        <v>1.1458333333333333E-3</v>
      </c>
      <c r="I3735" s="118">
        <v>3.4722222222222224E-4</v>
      </c>
      <c r="J3735"/>
      <c r="K3735"/>
    </row>
    <row r="3736" spans="1:11" x14ac:dyDescent="0.25">
      <c r="A3736">
        <v>3</v>
      </c>
      <c r="B3736">
        <v>14</v>
      </c>
      <c r="C3736"/>
      <c r="D3736" t="s">
        <v>31</v>
      </c>
      <c r="E3736" t="s">
        <v>32</v>
      </c>
      <c r="F3736" t="s">
        <v>55</v>
      </c>
      <c r="G3736" s="118">
        <v>0.71120370370370367</v>
      </c>
      <c r="H3736" s="118">
        <v>4.6296296296296293E-4</v>
      </c>
      <c r="I3736" s="118">
        <v>4.3981481481481481E-4</v>
      </c>
      <c r="J3736" s="118">
        <v>5.0462962962962961E-3</v>
      </c>
      <c r="K3736" s="118">
        <v>5.0462962962962961E-3</v>
      </c>
    </row>
    <row r="3737" spans="1:11" x14ac:dyDescent="0.25">
      <c r="A3737">
        <v>2</v>
      </c>
      <c r="B3737">
        <v>14</v>
      </c>
      <c r="C3737"/>
      <c r="D3737" t="s">
        <v>31</v>
      </c>
      <c r="E3737" t="s">
        <v>32</v>
      </c>
      <c r="F3737" t="s">
        <v>50</v>
      </c>
      <c r="G3737" s="118">
        <v>0.71130787037037047</v>
      </c>
      <c r="H3737" s="118">
        <v>3.4722222222222224E-4</v>
      </c>
      <c r="I3737" s="118">
        <v>1.261574074074074E-3</v>
      </c>
      <c r="J3737" s="118">
        <v>5.0462962962962961E-3</v>
      </c>
      <c r="K3737" s="118">
        <v>5.0462962962962961E-3</v>
      </c>
    </row>
    <row r="3738" spans="1:11" x14ac:dyDescent="0.25">
      <c r="A3738">
        <v>1</v>
      </c>
      <c r="B3738">
        <v>13</v>
      </c>
      <c r="C3738"/>
      <c r="D3738" t="s">
        <v>31</v>
      </c>
      <c r="E3738" t="s">
        <v>35</v>
      </c>
      <c r="F3738" t="s">
        <v>48</v>
      </c>
      <c r="G3738" s="118">
        <v>0.71134259259259258</v>
      </c>
      <c r="H3738" s="118">
        <v>9.1435185185185185E-4</v>
      </c>
      <c r="I3738" s="118">
        <v>5.2083333333333333E-4</v>
      </c>
      <c r="J3738"/>
      <c r="K3738"/>
    </row>
    <row r="3739" spans="1:11" x14ac:dyDescent="0.25">
      <c r="A3739">
        <v>4</v>
      </c>
      <c r="B3739">
        <v>14</v>
      </c>
      <c r="C3739"/>
      <c r="D3739" t="s">
        <v>31</v>
      </c>
      <c r="E3739" t="s">
        <v>32</v>
      </c>
      <c r="F3739" t="s">
        <v>39</v>
      </c>
      <c r="G3739" s="118">
        <v>0.71136574074074066</v>
      </c>
      <c r="H3739" s="118">
        <v>5.2083333333333333E-4</v>
      </c>
      <c r="I3739" s="118">
        <v>1.8055555555555557E-3</v>
      </c>
      <c r="J3739" s="118">
        <v>5.0462962962962961E-3</v>
      </c>
      <c r="K3739" s="118">
        <v>5.0462962962962961E-3</v>
      </c>
    </row>
    <row r="3740" spans="1:11" x14ac:dyDescent="0.25">
      <c r="A3740">
        <v>8</v>
      </c>
      <c r="B3740">
        <v>2</v>
      </c>
      <c r="C3740"/>
      <c r="D3740" t="s">
        <v>31</v>
      </c>
      <c r="E3740" t="s">
        <v>35</v>
      </c>
      <c r="F3740" t="s">
        <v>47</v>
      </c>
      <c r="G3740" s="118">
        <v>0.71142361111111108</v>
      </c>
      <c r="H3740" s="118">
        <v>8.564814814814815E-4</v>
      </c>
      <c r="I3740" s="118">
        <v>5.2083333333333333E-4</v>
      </c>
      <c r="J3740"/>
      <c r="K3740"/>
    </row>
    <row r="3741" spans="1:11" x14ac:dyDescent="0.25">
      <c r="A3741">
        <v>9</v>
      </c>
      <c r="B3741">
        <v>1</v>
      </c>
      <c r="C3741"/>
      <c r="D3741" t="s">
        <v>31</v>
      </c>
      <c r="E3741" t="s">
        <v>35</v>
      </c>
      <c r="F3741" t="s">
        <v>33</v>
      </c>
      <c r="G3741" s="118">
        <v>0.71158564814814806</v>
      </c>
      <c r="H3741" s="118">
        <v>1.3541666666666667E-3</v>
      </c>
      <c r="I3741" s="118">
        <v>5.2083333333333333E-4</v>
      </c>
      <c r="J3741"/>
      <c r="K3741"/>
    </row>
    <row r="3742" spans="1:11" x14ac:dyDescent="0.25">
      <c r="A3742">
        <v>3</v>
      </c>
      <c r="B3742">
        <v>14</v>
      </c>
      <c r="C3742"/>
      <c r="D3742" t="s">
        <v>31</v>
      </c>
      <c r="E3742" t="s">
        <v>35</v>
      </c>
      <c r="F3742" t="s">
        <v>58</v>
      </c>
      <c r="G3742" s="118">
        <v>0.71164351851851848</v>
      </c>
      <c r="H3742" s="118">
        <v>4.3981481481481481E-4</v>
      </c>
      <c r="I3742" s="118">
        <v>5.7870370370370366E-5</v>
      </c>
      <c r="J3742"/>
      <c r="K3742"/>
    </row>
    <row r="3743" spans="1:11" x14ac:dyDescent="0.25">
      <c r="A3743">
        <v>3</v>
      </c>
      <c r="B3743">
        <v>14</v>
      </c>
      <c r="C3743"/>
      <c r="D3743" t="s">
        <v>31</v>
      </c>
      <c r="E3743" t="s">
        <v>32</v>
      </c>
      <c r="F3743" t="s">
        <v>58</v>
      </c>
      <c r="G3743" s="118">
        <v>0.7117013888888889</v>
      </c>
      <c r="H3743" s="118">
        <v>5.7870370370370366E-5</v>
      </c>
      <c r="I3743" s="118">
        <v>4.8611111111111104E-4</v>
      </c>
      <c r="J3743" s="118">
        <v>5.0462962962962961E-3</v>
      </c>
      <c r="K3743" s="118">
        <v>5.0462962962962961E-3</v>
      </c>
    </row>
    <row r="3744" spans="1:11" x14ac:dyDescent="0.25">
      <c r="A3744">
        <v>5</v>
      </c>
      <c r="B3744">
        <v>15</v>
      </c>
      <c r="C3744"/>
      <c r="D3744" t="s">
        <v>31</v>
      </c>
      <c r="E3744" t="s">
        <v>35</v>
      </c>
      <c r="F3744" t="s">
        <v>45</v>
      </c>
      <c r="G3744" s="118">
        <v>0.71181712962962962</v>
      </c>
      <c r="H3744" s="118">
        <v>1.2384259259259258E-3</v>
      </c>
      <c r="I3744" s="118">
        <v>3.4722222222222224E-4</v>
      </c>
      <c r="J3744"/>
      <c r="K3744"/>
    </row>
    <row r="3745" spans="1:11" x14ac:dyDescent="0.25">
      <c r="A3745">
        <v>1</v>
      </c>
      <c r="B3745">
        <v>13</v>
      </c>
      <c r="C3745"/>
      <c r="D3745" t="s">
        <v>31</v>
      </c>
      <c r="E3745" t="s">
        <v>32</v>
      </c>
      <c r="F3745" t="s">
        <v>48</v>
      </c>
      <c r="G3745" s="118">
        <v>0.71186342592592589</v>
      </c>
      <c r="H3745" s="118">
        <v>5.2083333333333333E-4</v>
      </c>
      <c r="I3745" s="118">
        <v>8.6805555555555551E-4</v>
      </c>
      <c r="J3745" s="118">
        <v>5.0462962962962961E-3</v>
      </c>
      <c r="K3745" s="118">
        <v>5.0462962962962961E-3</v>
      </c>
    </row>
    <row r="3746" spans="1:11" x14ac:dyDescent="0.25">
      <c r="A3746">
        <v>8</v>
      </c>
      <c r="B3746">
        <v>2</v>
      </c>
      <c r="C3746"/>
      <c r="D3746" t="s">
        <v>31</v>
      </c>
      <c r="E3746" t="s">
        <v>32</v>
      </c>
      <c r="F3746" t="s">
        <v>47</v>
      </c>
      <c r="G3746" s="118">
        <v>0.71194444444444438</v>
      </c>
      <c r="H3746" s="118">
        <v>5.2083333333333333E-4</v>
      </c>
      <c r="I3746" s="118">
        <v>8.7962962962962962E-4</v>
      </c>
      <c r="J3746" s="118">
        <v>5.0462962962962961E-3</v>
      </c>
      <c r="K3746" s="118">
        <v>5.0462962962962961E-3</v>
      </c>
    </row>
    <row r="3747" spans="1:11" x14ac:dyDescent="0.25">
      <c r="A3747">
        <v>9</v>
      </c>
      <c r="B3747">
        <v>1</v>
      </c>
      <c r="C3747"/>
      <c r="D3747" t="s">
        <v>31</v>
      </c>
      <c r="E3747" t="s">
        <v>32</v>
      </c>
      <c r="F3747" t="s">
        <v>33</v>
      </c>
      <c r="G3747" s="118">
        <v>0.71210648148148159</v>
      </c>
      <c r="H3747" s="118">
        <v>5.2083333333333333E-4</v>
      </c>
      <c r="I3747" s="118">
        <v>9.6064814814814808E-4</v>
      </c>
      <c r="J3747" s="118">
        <v>5.0462962962962961E-3</v>
      </c>
      <c r="K3747" s="118">
        <v>5.0462962962962961E-3</v>
      </c>
    </row>
    <row r="3748" spans="1:11" x14ac:dyDescent="0.25">
      <c r="A3748">
        <v>5</v>
      </c>
      <c r="B3748">
        <v>15</v>
      </c>
      <c r="C3748"/>
      <c r="D3748" t="s">
        <v>31</v>
      </c>
      <c r="E3748" t="s">
        <v>32</v>
      </c>
      <c r="F3748" t="s">
        <v>45</v>
      </c>
      <c r="G3748" s="118">
        <v>0.71216435185185178</v>
      </c>
      <c r="H3748" s="118">
        <v>3.4722222222222224E-4</v>
      </c>
      <c r="I3748" s="118">
        <v>1.0416666666666667E-3</v>
      </c>
      <c r="J3748" s="118">
        <v>5.0462962962962961E-3</v>
      </c>
      <c r="K3748" s="118">
        <v>5.0462962962962961E-3</v>
      </c>
    </row>
    <row r="3749" spans="1:11" x14ac:dyDescent="0.25">
      <c r="A3749">
        <v>3</v>
      </c>
      <c r="B3749">
        <v>14</v>
      </c>
      <c r="C3749"/>
      <c r="D3749" t="s">
        <v>31</v>
      </c>
      <c r="E3749" t="s">
        <v>35</v>
      </c>
      <c r="F3749" t="s">
        <v>40</v>
      </c>
      <c r="G3749" s="118">
        <v>0.71218750000000008</v>
      </c>
      <c r="H3749" s="118">
        <v>4.8611111111111104E-4</v>
      </c>
      <c r="I3749" s="118">
        <v>4.6296296296296293E-4</v>
      </c>
      <c r="J3749"/>
      <c r="K3749"/>
    </row>
    <row r="3750" spans="1:11" x14ac:dyDescent="0.25">
      <c r="A3750">
        <v>2</v>
      </c>
      <c r="B3750">
        <v>14</v>
      </c>
      <c r="C3750"/>
      <c r="D3750" t="s">
        <v>31</v>
      </c>
      <c r="E3750" t="s">
        <v>35</v>
      </c>
      <c r="F3750" t="s">
        <v>56</v>
      </c>
      <c r="G3750" s="118">
        <v>0.71256944444444448</v>
      </c>
      <c r="H3750" s="118">
        <v>1.261574074074074E-3</v>
      </c>
      <c r="I3750" s="118">
        <v>3.4722222222222224E-4</v>
      </c>
      <c r="J3750"/>
      <c r="K3750"/>
    </row>
    <row r="3751" spans="1:11" x14ac:dyDescent="0.25">
      <c r="A3751">
        <v>3</v>
      </c>
      <c r="B3751">
        <v>14</v>
      </c>
      <c r="C3751"/>
      <c r="D3751" t="s">
        <v>31</v>
      </c>
      <c r="E3751" t="s">
        <v>32</v>
      </c>
      <c r="F3751" t="s">
        <v>40</v>
      </c>
      <c r="G3751" s="118">
        <v>0.71265046296296297</v>
      </c>
      <c r="H3751" s="118">
        <v>4.6296296296296293E-4</v>
      </c>
      <c r="I3751" s="118">
        <v>1.0069444444444444E-3</v>
      </c>
      <c r="J3751" s="118">
        <v>5.0462962962962961E-3</v>
      </c>
      <c r="K3751" s="118">
        <v>5.0462962962962961E-3</v>
      </c>
    </row>
    <row r="3752" spans="1:11" x14ac:dyDescent="0.25">
      <c r="A3752">
        <v>1</v>
      </c>
      <c r="B3752">
        <v>13</v>
      </c>
      <c r="C3752"/>
      <c r="D3752" t="s">
        <v>31</v>
      </c>
      <c r="E3752" t="s">
        <v>35</v>
      </c>
      <c r="F3752" t="s">
        <v>54</v>
      </c>
      <c r="G3752" s="118">
        <v>0.71273148148148147</v>
      </c>
      <c r="H3752" s="118">
        <v>8.6805555555555551E-4</v>
      </c>
      <c r="I3752" s="118">
        <v>3.4722222222222224E-4</v>
      </c>
      <c r="J3752"/>
      <c r="K3752"/>
    </row>
    <row r="3753" spans="1:11" x14ac:dyDescent="0.25">
      <c r="A3753">
        <v>8</v>
      </c>
      <c r="B3753">
        <v>2</v>
      </c>
      <c r="C3753"/>
      <c r="D3753" t="s">
        <v>31</v>
      </c>
      <c r="E3753" t="s">
        <v>35</v>
      </c>
      <c r="F3753" t="s">
        <v>53</v>
      </c>
      <c r="G3753" s="118">
        <v>0.712824074074074</v>
      </c>
      <c r="H3753" s="118">
        <v>8.7962962962962962E-4</v>
      </c>
      <c r="I3753" s="118">
        <v>3.4722222222222224E-4</v>
      </c>
      <c r="J3753"/>
      <c r="K3753"/>
    </row>
    <row r="3754" spans="1:11" x14ac:dyDescent="0.25">
      <c r="A3754">
        <v>2</v>
      </c>
      <c r="B3754">
        <v>14</v>
      </c>
      <c r="C3754"/>
      <c r="D3754" t="s">
        <v>31</v>
      </c>
      <c r="E3754" t="s">
        <v>32</v>
      </c>
      <c r="F3754" t="s">
        <v>56</v>
      </c>
      <c r="G3754" s="118">
        <v>0.71291666666666664</v>
      </c>
      <c r="H3754" s="118">
        <v>3.4722222222222224E-4</v>
      </c>
      <c r="I3754" s="118">
        <v>9.6064814814814808E-4</v>
      </c>
      <c r="J3754" s="118">
        <v>5.0462962962962961E-3</v>
      </c>
      <c r="K3754" s="118">
        <v>5.0462962962962961E-3</v>
      </c>
    </row>
    <row r="3755" spans="1:11" x14ac:dyDescent="0.25">
      <c r="A3755">
        <v>9</v>
      </c>
      <c r="B3755">
        <v>1</v>
      </c>
      <c r="C3755"/>
      <c r="D3755" t="s">
        <v>31</v>
      </c>
      <c r="E3755" t="s">
        <v>35</v>
      </c>
      <c r="F3755" t="s">
        <v>36</v>
      </c>
      <c r="G3755" s="118">
        <v>0.7130671296296297</v>
      </c>
      <c r="H3755" s="118">
        <v>9.6064814814814808E-4</v>
      </c>
      <c r="I3755" s="118">
        <v>3.4722222222222224E-4</v>
      </c>
      <c r="J3755"/>
      <c r="K3755"/>
    </row>
    <row r="3756" spans="1:11" x14ac:dyDescent="0.25">
      <c r="A3756">
        <v>1</v>
      </c>
      <c r="B3756">
        <v>13</v>
      </c>
      <c r="C3756"/>
      <c r="D3756" t="s">
        <v>31</v>
      </c>
      <c r="E3756" t="s">
        <v>32</v>
      </c>
      <c r="F3756" t="s">
        <v>54</v>
      </c>
      <c r="G3756" s="118">
        <v>0.71307870370370363</v>
      </c>
      <c r="H3756" s="118">
        <v>3.4722222222222224E-4</v>
      </c>
      <c r="I3756" s="118">
        <v>6.5972222222222213E-4</v>
      </c>
      <c r="J3756" s="118">
        <v>5.0462962962962961E-3</v>
      </c>
      <c r="K3756" s="118">
        <v>5.0462962962962961E-3</v>
      </c>
    </row>
    <row r="3757" spans="1:11" x14ac:dyDescent="0.25">
      <c r="A3757">
        <v>4</v>
      </c>
      <c r="B3757">
        <v>14</v>
      </c>
      <c r="C3757"/>
      <c r="D3757" t="s">
        <v>31</v>
      </c>
      <c r="E3757" t="s">
        <v>35</v>
      </c>
      <c r="F3757" t="s">
        <v>46</v>
      </c>
      <c r="G3757" s="118">
        <v>0.71317129629629628</v>
      </c>
      <c r="H3757" s="118">
        <v>1.8055555555555557E-3</v>
      </c>
      <c r="I3757" s="118">
        <v>3.4722222222222224E-4</v>
      </c>
      <c r="J3757"/>
      <c r="K3757"/>
    </row>
    <row r="3758" spans="1:11" x14ac:dyDescent="0.25">
      <c r="A3758">
        <v>8</v>
      </c>
      <c r="B3758">
        <v>2</v>
      </c>
      <c r="C3758"/>
      <c r="D3758" t="s">
        <v>31</v>
      </c>
      <c r="E3758" t="s">
        <v>32</v>
      </c>
      <c r="F3758" t="s">
        <v>53</v>
      </c>
      <c r="G3758" s="118">
        <v>0.71317129629629628</v>
      </c>
      <c r="H3758" s="118">
        <v>3.4722222222222224E-4</v>
      </c>
      <c r="I3758" s="118">
        <v>8.449074074074075E-4</v>
      </c>
      <c r="J3758" s="118">
        <v>5.0462962962962961E-3</v>
      </c>
      <c r="K3758" s="118">
        <v>5.0462962962962961E-3</v>
      </c>
    </row>
    <row r="3759" spans="1:11" x14ac:dyDescent="0.25">
      <c r="A3759">
        <v>5</v>
      </c>
      <c r="B3759">
        <v>15</v>
      </c>
      <c r="C3759"/>
      <c r="D3759" t="s">
        <v>31</v>
      </c>
      <c r="E3759" t="s">
        <v>35</v>
      </c>
      <c r="F3759" t="s">
        <v>52</v>
      </c>
      <c r="G3759" s="118">
        <v>0.71320601851851861</v>
      </c>
      <c r="H3759" s="118">
        <v>1.0416666666666667E-3</v>
      </c>
      <c r="I3759" s="118">
        <v>3.4722222222222224E-4</v>
      </c>
      <c r="J3759"/>
      <c r="K3759"/>
    </row>
    <row r="3760" spans="1:11" x14ac:dyDescent="0.25">
      <c r="A3760">
        <v>9</v>
      </c>
      <c r="B3760">
        <v>1</v>
      </c>
      <c r="C3760"/>
      <c r="D3760" t="s">
        <v>31</v>
      </c>
      <c r="E3760" t="s">
        <v>32</v>
      </c>
      <c r="F3760" t="s">
        <v>36</v>
      </c>
      <c r="G3760" s="118">
        <v>0.71341435185185187</v>
      </c>
      <c r="H3760" s="118">
        <v>3.4722222222222224E-4</v>
      </c>
      <c r="I3760" s="118">
        <v>1.0995370370370371E-3</v>
      </c>
      <c r="J3760" s="118">
        <v>5.0462962962962961E-3</v>
      </c>
      <c r="K3760" s="118">
        <v>5.0462962962962961E-3</v>
      </c>
    </row>
    <row r="3761" spans="1:11" x14ac:dyDescent="0.25">
      <c r="A3761">
        <v>4</v>
      </c>
      <c r="B3761">
        <v>14</v>
      </c>
      <c r="C3761"/>
      <c r="D3761" t="s">
        <v>31</v>
      </c>
      <c r="E3761" t="s">
        <v>32</v>
      </c>
      <c r="F3761" t="s">
        <v>46</v>
      </c>
      <c r="G3761" s="118">
        <v>0.71351851851851855</v>
      </c>
      <c r="H3761" s="118">
        <v>3.4722222222222224E-4</v>
      </c>
      <c r="I3761" s="118">
        <v>9.1435185185185185E-4</v>
      </c>
      <c r="J3761" s="118">
        <v>5.0462962962962961E-3</v>
      </c>
      <c r="K3761" s="118">
        <v>5.0462962962962961E-3</v>
      </c>
    </row>
    <row r="3762" spans="1:11" x14ac:dyDescent="0.25">
      <c r="A3762">
        <v>5</v>
      </c>
      <c r="B3762">
        <v>15</v>
      </c>
      <c r="C3762"/>
      <c r="D3762" t="s">
        <v>31</v>
      </c>
      <c r="E3762" t="s">
        <v>32</v>
      </c>
      <c r="F3762" t="s">
        <v>52</v>
      </c>
      <c r="G3762" s="118">
        <v>0.71355324074074078</v>
      </c>
      <c r="H3762" s="118">
        <v>3.4722222222222224E-4</v>
      </c>
      <c r="I3762" s="118">
        <v>1.0532407407407407E-3</v>
      </c>
      <c r="J3762" s="118">
        <v>5.0462962962962961E-3</v>
      </c>
      <c r="K3762" s="118">
        <v>5.0462962962962961E-3</v>
      </c>
    </row>
    <row r="3763" spans="1:11" x14ac:dyDescent="0.25">
      <c r="A3763">
        <v>3</v>
      </c>
      <c r="B3763">
        <v>14</v>
      </c>
      <c r="C3763"/>
      <c r="D3763" t="s">
        <v>31</v>
      </c>
      <c r="E3763" t="s">
        <v>35</v>
      </c>
      <c r="F3763" t="s">
        <v>44</v>
      </c>
      <c r="G3763" s="118">
        <v>0.71365740740740735</v>
      </c>
      <c r="H3763" s="118">
        <v>1.0069444444444444E-3</v>
      </c>
      <c r="I3763" s="118">
        <v>3.4722222222222224E-4</v>
      </c>
      <c r="J3763"/>
      <c r="K3763"/>
    </row>
    <row r="3764" spans="1:11" x14ac:dyDescent="0.25">
      <c r="A3764">
        <v>1</v>
      </c>
      <c r="B3764">
        <v>13</v>
      </c>
      <c r="C3764"/>
      <c r="D3764" t="s">
        <v>31</v>
      </c>
      <c r="E3764" t="s">
        <v>35</v>
      </c>
      <c r="F3764" t="s">
        <v>92</v>
      </c>
      <c r="G3764" s="118">
        <v>0.71373842592592596</v>
      </c>
      <c r="H3764" s="118">
        <v>6.5972222222222213E-4</v>
      </c>
      <c r="I3764" s="118">
        <v>5.2083333333333333E-4</v>
      </c>
      <c r="J3764"/>
      <c r="K3764"/>
    </row>
    <row r="3765" spans="1:11" x14ac:dyDescent="0.25">
      <c r="A3765">
        <v>2</v>
      </c>
      <c r="B3765">
        <v>14</v>
      </c>
      <c r="C3765"/>
      <c r="D3765" t="s">
        <v>31</v>
      </c>
      <c r="E3765" t="s">
        <v>35</v>
      </c>
      <c r="F3765" t="s">
        <v>37</v>
      </c>
      <c r="G3765" s="118">
        <v>0.71387731481481476</v>
      </c>
      <c r="H3765" s="118">
        <v>9.6064814814814808E-4</v>
      </c>
      <c r="I3765" s="118">
        <v>3.4722222222222224E-4</v>
      </c>
      <c r="J3765"/>
      <c r="K3765"/>
    </row>
    <row r="3766" spans="1:11" x14ac:dyDescent="0.25">
      <c r="A3766">
        <v>3</v>
      </c>
      <c r="B3766">
        <v>14</v>
      </c>
      <c r="C3766"/>
      <c r="D3766" t="s">
        <v>31</v>
      </c>
      <c r="E3766" t="s">
        <v>32</v>
      </c>
      <c r="F3766" t="s">
        <v>44</v>
      </c>
      <c r="G3766" s="118">
        <v>0.71400462962962974</v>
      </c>
      <c r="H3766" s="118">
        <v>3.4722222222222224E-4</v>
      </c>
      <c r="I3766" s="118">
        <v>9.2592592592592585E-4</v>
      </c>
      <c r="J3766" s="118">
        <v>5.0462962962962961E-3</v>
      </c>
      <c r="K3766" s="118">
        <v>5.0462962962962961E-3</v>
      </c>
    </row>
    <row r="3767" spans="1:11" x14ac:dyDescent="0.25">
      <c r="A3767">
        <v>8</v>
      </c>
      <c r="B3767">
        <v>2</v>
      </c>
      <c r="C3767"/>
      <c r="D3767" t="s">
        <v>31</v>
      </c>
      <c r="E3767" t="s">
        <v>35</v>
      </c>
      <c r="F3767" t="s">
        <v>34</v>
      </c>
      <c r="G3767" s="118">
        <v>0.71401620370370367</v>
      </c>
      <c r="H3767" s="118">
        <v>8.449074074074075E-4</v>
      </c>
      <c r="I3767" s="118">
        <v>3.4722222222222224E-4</v>
      </c>
      <c r="J3767"/>
      <c r="K3767"/>
    </row>
    <row r="3768" spans="1:11" x14ac:dyDescent="0.25">
      <c r="A3768">
        <v>2</v>
      </c>
      <c r="B3768">
        <v>14</v>
      </c>
      <c r="C3768"/>
      <c r="D3768" t="s">
        <v>31</v>
      </c>
      <c r="E3768" t="s">
        <v>32</v>
      </c>
      <c r="F3768" t="s">
        <v>37</v>
      </c>
      <c r="G3768" s="118">
        <v>0.71422453703703714</v>
      </c>
      <c r="H3768" s="118">
        <v>3.4722222222222224E-4</v>
      </c>
      <c r="I3768" s="118">
        <v>9.0277777777777784E-4</v>
      </c>
      <c r="J3768" s="118">
        <v>5.0462962962962961E-3</v>
      </c>
      <c r="K3768" s="118">
        <v>5.0462962962962961E-3</v>
      </c>
    </row>
    <row r="3769" spans="1:11" x14ac:dyDescent="0.25">
      <c r="A3769">
        <v>1</v>
      </c>
      <c r="B3769">
        <v>14</v>
      </c>
      <c r="C3769"/>
      <c r="D3769" t="s">
        <v>31</v>
      </c>
      <c r="E3769" t="s">
        <v>32</v>
      </c>
      <c r="F3769" t="s">
        <v>92</v>
      </c>
      <c r="G3769" s="118">
        <v>0.71425925925925926</v>
      </c>
      <c r="H3769" s="118">
        <v>5.2083333333333333E-4</v>
      </c>
      <c r="I3769" s="118">
        <v>1.0069444444444444E-3</v>
      </c>
      <c r="J3769" s="118">
        <v>5.0462962962962961E-3</v>
      </c>
      <c r="K3769" s="118">
        <v>5.0462962962962961E-3</v>
      </c>
    </row>
    <row r="3770" spans="1:11" x14ac:dyDescent="0.25">
      <c r="A3770">
        <v>8</v>
      </c>
      <c r="B3770">
        <v>2</v>
      </c>
      <c r="C3770"/>
      <c r="D3770" t="s">
        <v>31</v>
      </c>
      <c r="E3770" t="s">
        <v>32</v>
      </c>
      <c r="F3770" t="s">
        <v>34</v>
      </c>
      <c r="G3770" s="118">
        <v>0.71436342592592583</v>
      </c>
      <c r="H3770" s="118">
        <v>3.4722222222222224E-4</v>
      </c>
      <c r="I3770" s="118">
        <v>9.1435185185185185E-4</v>
      </c>
      <c r="J3770" s="118">
        <v>5.0462962962962961E-3</v>
      </c>
      <c r="K3770" s="118">
        <v>5.0462962962962961E-3</v>
      </c>
    </row>
    <row r="3771" spans="1:11" x14ac:dyDescent="0.25">
      <c r="A3771">
        <v>4</v>
      </c>
      <c r="B3771">
        <v>14</v>
      </c>
      <c r="C3771"/>
      <c r="D3771" t="s">
        <v>31</v>
      </c>
      <c r="E3771" t="s">
        <v>35</v>
      </c>
      <c r="F3771" t="s">
        <v>51</v>
      </c>
      <c r="G3771" s="118">
        <v>0.7144328703703704</v>
      </c>
      <c r="H3771" s="118">
        <v>9.1435185185185185E-4</v>
      </c>
      <c r="I3771" s="118">
        <v>3.4722222222222224E-4</v>
      </c>
      <c r="J3771"/>
      <c r="K3771"/>
    </row>
    <row r="3772" spans="1:11" x14ac:dyDescent="0.25">
      <c r="A3772">
        <v>9</v>
      </c>
      <c r="B3772">
        <v>1</v>
      </c>
      <c r="C3772"/>
      <c r="D3772" t="s">
        <v>31</v>
      </c>
      <c r="E3772" t="s">
        <v>35</v>
      </c>
      <c r="F3772" t="s">
        <v>43</v>
      </c>
      <c r="G3772" s="118">
        <v>0.71451388888888889</v>
      </c>
      <c r="H3772" s="118">
        <v>1.0995370370370371E-3</v>
      </c>
      <c r="I3772" s="118">
        <v>3.4722222222222224E-4</v>
      </c>
      <c r="J3772"/>
      <c r="K3772"/>
    </row>
    <row r="3773" spans="1:11" x14ac:dyDescent="0.25">
      <c r="A3773">
        <v>5</v>
      </c>
      <c r="B3773">
        <v>15</v>
      </c>
      <c r="C3773"/>
      <c r="D3773" t="s">
        <v>31</v>
      </c>
      <c r="E3773" t="s">
        <v>35</v>
      </c>
      <c r="F3773" t="s">
        <v>57</v>
      </c>
      <c r="G3773" s="118">
        <v>0.71460648148148154</v>
      </c>
      <c r="H3773" s="118">
        <v>1.0532407407407407E-3</v>
      </c>
      <c r="I3773" s="118">
        <v>3.4722222222222224E-4</v>
      </c>
      <c r="J3773"/>
      <c r="K3773"/>
    </row>
    <row r="3774" spans="1:11" x14ac:dyDescent="0.25">
      <c r="A3774">
        <v>4</v>
      </c>
      <c r="B3774">
        <v>14</v>
      </c>
      <c r="C3774"/>
      <c r="D3774" t="s">
        <v>31</v>
      </c>
      <c r="E3774" t="s">
        <v>32</v>
      </c>
      <c r="F3774" t="s">
        <v>51</v>
      </c>
      <c r="G3774" s="118">
        <v>0.71478009259259256</v>
      </c>
      <c r="H3774" s="118">
        <v>3.4722222222222224E-4</v>
      </c>
      <c r="I3774" s="118">
        <v>1.0069444444444444E-3</v>
      </c>
      <c r="J3774" s="118">
        <v>5.0462962962962961E-3</v>
      </c>
      <c r="K3774" s="118">
        <v>5.0462962962962961E-3</v>
      </c>
    </row>
    <row r="3775" spans="1:11" x14ac:dyDescent="0.25">
      <c r="A3775">
        <v>9</v>
      </c>
      <c r="B3775">
        <v>1</v>
      </c>
      <c r="C3775"/>
      <c r="D3775" t="s">
        <v>31</v>
      </c>
      <c r="E3775" t="s">
        <v>32</v>
      </c>
      <c r="F3775" t="s">
        <v>43</v>
      </c>
      <c r="G3775" s="118">
        <v>0.71486111111111106</v>
      </c>
      <c r="H3775" s="118">
        <v>3.4722222222222224E-4</v>
      </c>
      <c r="I3775" s="118">
        <v>1.1458333333333333E-3</v>
      </c>
      <c r="J3775" s="118">
        <v>5.0462962962962961E-3</v>
      </c>
      <c r="K3775" s="118">
        <v>5.0462962962962961E-3</v>
      </c>
    </row>
    <row r="3776" spans="1:11" x14ac:dyDescent="0.25">
      <c r="A3776">
        <v>3</v>
      </c>
      <c r="B3776">
        <v>14</v>
      </c>
      <c r="C3776"/>
      <c r="D3776" t="s">
        <v>31</v>
      </c>
      <c r="E3776" t="s">
        <v>35</v>
      </c>
      <c r="F3776" t="s">
        <v>49</v>
      </c>
      <c r="G3776" s="118">
        <v>0.71493055555555562</v>
      </c>
      <c r="H3776" s="118">
        <v>9.2592592592592585E-4</v>
      </c>
      <c r="I3776" s="118">
        <v>3.4722222222222224E-4</v>
      </c>
      <c r="J3776"/>
      <c r="K3776"/>
    </row>
    <row r="3777" spans="1:11" x14ac:dyDescent="0.25">
      <c r="A3777">
        <v>5</v>
      </c>
      <c r="B3777">
        <v>15</v>
      </c>
      <c r="C3777"/>
      <c r="D3777" t="s">
        <v>31</v>
      </c>
      <c r="E3777" t="s">
        <v>32</v>
      </c>
      <c r="F3777" t="s">
        <v>57</v>
      </c>
      <c r="G3777" s="118">
        <v>0.7149537037037037</v>
      </c>
      <c r="H3777" s="118">
        <v>3.4722222222222224E-4</v>
      </c>
      <c r="I3777" s="118">
        <v>9.3750000000000007E-4</v>
      </c>
      <c r="J3777" s="118">
        <v>5.0462962962962961E-3</v>
      </c>
      <c r="K3777" s="118">
        <v>5.0462962962962961E-3</v>
      </c>
    </row>
    <row r="3778" spans="1:11" x14ac:dyDescent="0.25">
      <c r="A3778">
        <v>2</v>
      </c>
      <c r="B3778">
        <v>14</v>
      </c>
      <c r="C3778"/>
      <c r="D3778" t="s">
        <v>31</v>
      </c>
      <c r="E3778" t="s">
        <v>35</v>
      </c>
      <c r="F3778" t="s">
        <v>42</v>
      </c>
      <c r="G3778" s="118">
        <v>0.71512731481481484</v>
      </c>
      <c r="H3778" s="118">
        <v>9.0277777777777784E-4</v>
      </c>
      <c r="I3778" s="118">
        <v>3.4722222222222224E-4</v>
      </c>
      <c r="J3778"/>
      <c r="K3778"/>
    </row>
    <row r="3779" spans="1:11" x14ac:dyDescent="0.25">
      <c r="A3779">
        <v>1</v>
      </c>
      <c r="B3779">
        <v>14</v>
      </c>
      <c r="C3779"/>
      <c r="D3779" t="s">
        <v>31</v>
      </c>
      <c r="E3779" t="s">
        <v>35</v>
      </c>
      <c r="F3779" t="s">
        <v>41</v>
      </c>
      <c r="G3779" s="118">
        <v>0.71526620370370375</v>
      </c>
      <c r="H3779" s="118">
        <v>1.0069444444444444E-3</v>
      </c>
      <c r="I3779" s="118">
        <v>3.4722222222222224E-4</v>
      </c>
      <c r="J3779"/>
      <c r="K3779"/>
    </row>
    <row r="3780" spans="1:11" x14ac:dyDescent="0.25">
      <c r="A3780">
        <v>3</v>
      </c>
      <c r="B3780">
        <v>14</v>
      </c>
      <c r="C3780"/>
      <c r="D3780" t="s">
        <v>31</v>
      </c>
      <c r="E3780" t="s">
        <v>32</v>
      </c>
      <c r="F3780" t="s">
        <v>49</v>
      </c>
      <c r="G3780" s="118">
        <v>0.71527777777777779</v>
      </c>
      <c r="H3780" s="118">
        <v>3.4722222222222224E-4</v>
      </c>
      <c r="I3780" s="118">
        <v>1.3541666666666667E-3</v>
      </c>
      <c r="J3780" s="118">
        <v>5.0462962962962961E-3</v>
      </c>
      <c r="K3780" s="118">
        <v>5.0462962962962961E-3</v>
      </c>
    </row>
    <row r="3781" spans="1:11" x14ac:dyDescent="0.25">
      <c r="A3781">
        <v>8</v>
      </c>
      <c r="B3781">
        <v>2</v>
      </c>
      <c r="C3781"/>
      <c r="D3781" t="s">
        <v>31</v>
      </c>
      <c r="E3781" t="s">
        <v>35</v>
      </c>
      <c r="F3781" t="s">
        <v>38</v>
      </c>
      <c r="G3781" s="118">
        <v>0.71527777777777779</v>
      </c>
      <c r="H3781" s="118">
        <v>9.1435185185185185E-4</v>
      </c>
      <c r="I3781" s="118">
        <v>3.4722222222222224E-4</v>
      </c>
      <c r="J3781"/>
      <c r="K3781"/>
    </row>
    <row r="3782" spans="1:11" x14ac:dyDescent="0.25">
      <c r="A3782">
        <v>2</v>
      </c>
      <c r="B3782">
        <v>14</v>
      </c>
      <c r="C3782"/>
      <c r="D3782" t="s">
        <v>31</v>
      </c>
      <c r="E3782" t="s">
        <v>32</v>
      </c>
      <c r="F3782" t="s">
        <v>42</v>
      </c>
      <c r="G3782" s="118">
        <v>0.71547453703703701</v>
      </c>
      <c r="H3782" s="118">
        <v>3.4722222222222224E-4</v>
      </c>
      <c r="I3782" s="118">
        <v>9.1435185185185185E-4</v>
      </c>
      <c r="J3782" s="118">
        <v>5.0462962962962961E-3</v>
      </c>
      <c r="K3782" s="118">
        <v>5.0462962962962961E-3</v>
      </c>
    </row>
    <row r="3783" spans="1:11" x14ac:dyDescent="0.25">
      <c r="A3783">
        <v>1</v>
      </c>
      <c r="B3783">
        <v>14</v>
      </c>
      <c r="C3783"/>
      <c r="D3783" t="s">
        <v>31</v>
      </c>
      <c r="E3783" t="s">
        <v>32</v>
      </c>
      <c r="F3783" t="s">
        <v>41</v>
      </c>
      <c r="G3783" s="118">
        <v>0.71561342592592592</v>
      </c>
      <c r="H3783" s="118">
        <v>3.4722222222222224E-4</v>
      </c>
      <c r="I3783" s="118">
        <v>8.564814814814815E-4</v>
      </c>
      <c r="J3783" s="118">
        <v>5.0462962962962961E-3</v>
      </c>
      <c r="K3783" s="118">
        <v>5.0462962962962961E-3</v>
      </c>
    </row>
    <row r="3784" spans="1:11" x14ac:dyDescent="0.25">
      <c r="A3784">
        <v>8</v>
      </c>
      <c r="B3784">
        <v>2</v>
      </c>
      <c r="C3784"/>
      <c r="D3784" t="s">
        <v>31</v>
      </c>
      <c r="E3784" t="s">
        <v>32</v>
      </c>
      <c r="F3784" t="s">
        <v>38</v>
      </c>
      <c r="G3784" s="118">
        <v>0.71562500000000007</v>
      </c>
      <c r="H3784" s="118">
        <v>3.4722222222222224E-4</v>
      </c>
      <c r="I3784" s="118">
        <v>1.2384259259259258E-3</v>
      </c>
      <c r="J3784" s="118">
        <v>5.0462962962962961E-3</v>
      </c>
      <c r="K3784" s="118">
        <v>5.0462962962962961E-3</v>
      </c>
    </row>
    <row r="3785" spans="1:11" x14ac:dyDescent="0.25">
      <c r="A3785">
        <v>4</v>
      </c>
      <c r="B3785">
        <v>14</v>
      </c>
      <c r="C3785"/>
      <c r="D3785" t="s">
        <v>31</v>
      </c>
      <c r="E3785" t="s">
        <v>35</v>
      </c>
      <c r="F3785" t="s">
        <v>55</v>
      </c>
      <c r="G3785" s="118">
        <v>0.71578703703703705</v>
      </c>
      <c r="H3785" s="118">
        <v>1.0069444444444444E-3</v>
      </c>
      <c r="I3785" s="118">
        <v>4.6296296296296293E-4</v>
      </c>
      <c r="J3785"/>
      <c r="K3785"/>
    </row>
    <row r="3786" spans="1:11" x14ac:dyDescent="0.25">
      <c r="A3786">
        <v>5</v>
      </c>
      <c r="B3786">
        <v>15</v>
      </c>
      <c r="C3786"/>
      <c r="D3786" t="s">
        <v>31</v>
      </c>
      <c r="E3786" t="s">
        <v>35</v>
      </c>
      <c r="F3786" t="s">
        <v>39</v>
      </c>
      <c r="G3786" s="118">
        <v>0.71589120370370374</v>
      </c>
      <c r="H3786" s="118">
        <v>9.3750000000000007E-4</v>
      </c>
      <c r="I3786" s="118">
        <v>5.2083333333333333E-4</v>
      </c>
      <c r="J3786"/>
      <c r="K3786"/>
    </row>
    <row r="3787" spans="1:11" x14ac:dyDescent="0.25">
      <c r="A3787">
        <v>9</v>
      </c>
      <c r="B3787">
        <v>1</v>
      </c>
      <c r="C3787"/>
      <c r="D3787" t="s">
        <v>31</v>
      </c>
      <c r="E3787" t="s">
        <v>35</v>
      </c>
      <c r="F3787" t="s">
        <v>50</v>
      </c>
      <c r="G3787" s="118">
        <v>0.71600694444444446</v>
      </c>
      <c r="H3787" s="118">
        <v>1.1458333333333333E-3</v>
      </c>
      <c r="I3787" s="118">
        <v>3.4722222222222224E-4</v>
      </c>
      <c r="J3787"/>
      <c r="K3787"/>
    </row>
    <row r="3788" spans="1:11" x14ac:dyDescent="0.25">
      <c r="A3788">
        <v>4</v>
      </c>
      <c r="B3788">
        <v>14</v>
      </c>
      <c r="C3788"/>
      <c r="D3788" t="s">
        <v>31</v>
      </c>
      <c r="E3788" t="s">
        <v>32</v>
      </c>
      <c r="F3788" t="s">
        <v>55</v>
      </c>
      <c r="G3788" s="118">
        <v>0.71625000000000005</v>
      </c>
      <c r="H3788" s="118">
        <v>4.6296296296296293E-4</v>
      </c>
      <c r="I3788" s="118">
        <v>4.3981481481481481E-4</v>
      </c>
      <c r="J3788" s="118">
        <v>5.0462962962962961E-3</v>
      </c>
      <c r="K3788" s="118">
        <v>5.0462962962962961E-3</v>
      </c>
    </row>
    <row r="3789" spans="1:11" x14ac:dyDescent="0.25">
      <c r="A3789">
        <v>9</v>
      </c>
      <c r="B3789">
        <v>1</v>
      </c>
      <c r="C3789"/>
      <c r="D3789" t="s">
        <v>31</v>
      </c>
      <c r="E3789" t="s">
        <v>32</v>
      </c>
      <c r="F3789" t="s">
        <v>50</v>
      </c>
      <c r="G3789" s="118">
        <v>0.71635416666666663</v>
      </c>
      <c r="H3789" s="118">
        <v>3.4722222222222224E-4</v>
      </c>
      <c r="I3789" s="118">
        <v>1.261574074074074E-3</v>
      </c>
      <c r="J3789" s="118">
        <v>5.0462962962962961E-3</v>
      </c>
      <c r="K3789" s="118">
        <v>5.0462962962962961E-3</v>
      </c>
    </row>
    <row r="3790" spans="1:11" x14ac:dyDescent="0.25">
      <c r="A3790">
        <v>2</v>
      </c>
      <c r="B3790">
        <v>14</v>
      </c>
      <c r="C3790"/>
      <c r="D3790" t="s">
        <v>31</v>
      </c>
      <c r="E3790" t="s">
        <v>35</v>
      </c>
      <c r="F3790" t="s">
        <v>48</v>
      </c>
      <c r="G3790" s="118">
        <v>0.71638888888888885</v>
      </c>
      <c r="H3790" s="118">
        <v>9.1435185185185185E-4</v>
      </c>
      <c r="I3790" s="118">
        <v>5.2083333333333333E-4</v>
      </c>
      <c r="J3790"/>
      <c r="K3790"/>
    </row>
    <row r="3791" spans="1:11" x14ac:dyDescent="0.25">
      <c r="A3791">
        <v>5</v>
      </c>
      <c r="B3791">
        <v>15</v>
      </c>
      <c r="C3791"/>
      <c r="D3791" t="s">
        <v>31</v>
      </c>
      <c r="E3791" t="s">
        <v>32</v>
      </c>
      <c r="F3791" t="s">
        <v>39</v>
      </c>
      <c r="G3791" s="118">
        <v>0.71641203703703704</v>
      </c>
      <c r="H3791" s="118">
        <v>5.2083333333333333E-4</v>
      </c>
      <c r="I3791" s="118">
        <v>1.8055555555555557E-3</v>
      </c>
      <c r="J3791" s="118">
        <v>5.0462962962962961E-3</v>
      </c>
      <c r="K3791" s="118">
        <v>5.0462962962962961E-3</v>
      </c>
    </row>
    <row r="3792" spans="1:11" x14ac:dyDescent="0.25">
      <c r="A3792">
        <v>1</v>
      </c>
      <c r="B3792">
        <v>14</v>
      </c>
      <c r="C3792"/>
      <c r="D3792" t="s">
        <v>31</v>
      </c>
      <c r="E3792" t="s">
        <v>35</v>
      </c>
      <c r="F3792" t="s">
        <v>47</v>
      </c>
      <c r="G3792" s="118">
        <v>0.71646990740740746</v>
      </c>
      <c r="H3792" s="118">
        <v>8.564814814814815E-4</v>
      </c>
      <c r="I3792" s="118">
        <v>5.2083333333333333E-4</v>
      </c>
      <c r="J3792"/>
      <c r="K3792"/>
    </row>
    <row r="3793" spans="1:11" x14ac:dyDescent="0.25">
      <c r="A3793">
        <v>3</v>
      </c>
      <c r="B3793">
        <v>14</v>
      </c>
      <c r="C3793"/>
      <c r="D3793" t="s">
        <v>31</v>
      </c>
      <c r="E3793" t="s">
        <v>35</v>
      </c>
      <c r="F3793" t="s">
        <v>33</v>
      </c>
      <c r="G3793" s="118">
        <v>0.71663194444444445</v>
      </c>
      <c r="H3793" s="118">
        <v>1.3541666666666667E-3</v>
      </c>
      <c r="I3793" s="118">
        <v>5.2083333333333333E-4</v>
      </c>
      <c r="J3793"/>
      <c r="K3793"/>
    </row>
    <row r="3794" spans="1:11" x14ac:dyDescent="0.25">
      <c r="A3794">
        <v>4</v>
      </c>
      <c r="B3794">
        <v>14</v>
      </c>
      <c r="C3794"/>
      <c r="D3794" t="s">
        <v>31</v>
      </c>
      <c r="E3794" t="s">
        <v>35</v>
      </c>
      <c r="F3794" t="s">
        <v>58</v>
      </c>
      <c r="G3794" s="118">
        <v>0.71668981481481486</v>
      </c>
      <c r="H3794" s="118">
        <v>4.3981481481481481E-4</v>
      </c>
      <c r="I3794" s="118">
        <v>5.7870370370370366E-5</v>
      </c>
      <c r="J3794"/>
      <c r="K3794"/>
    </row>
    <row r="3795" spans="1:11" x14ac:dyDescent="0.25">
      <c r="A3795">
        <v>4</v>
      </c>
      <c r="B3795">
        <v>14</v>
      </c>
      <c r="C3795"/>
      <c r="D3795" t="s">
        <v>31</v>
      </c>
      <c r="E3795" t="s">
        <v>32</v>
      </c>
      <c r="F3795" t="s">
        <v>58</v>
      </c>
      <c r="G3795" s="118">
        <v>0.71674768518518517</v>
      </c>
      <c r="H3795" s="118">
        <v>5.7870370370370366E-5</v>
      </c>
      <c r="I3795" s="118">
        <v>4.8611111111111104E-4</v>
      </c>
      <c r="J3795" s="118">
        <v>5.0462962962962961E-3</v>
      </c>
      <c r="K3795" s="118">
        <v>5.0462962962962961E-3</v>
      </c>
    </row>
    <row r="3796" spans="1:11" x14ac:dyDescent="0.25">
      <c r="A3796">
        <v>8</v>
      </c>
      <c r="B3796">
        <v>2</v>
      </c>
      <c r="C3796"/>
      <c r="D3796" t="s">
        <v>31</v>
      </c>
      <c r="E3796" t="s">
        <v>35</v>
      </c>
      <c r="F3796" t="s">
        <v>45</v>
      </c>
      <c r="G3796" s="118">
        <v>0.716863425925926</v>
      </c>
      <c r="H3796" s="118">
        <v>1.2384259259259258E-3</v>
      </c>
      <c r="I3796" s="118">
        <v>3.4722222222222224E-4</v>
      </c>
      <c r="J3796"/>
      <c r="K3796"/>
    </row>
    <row r="3797" spans="1:11" x14ac:dyDescent="0.25">
      <c r="A3797">
        <v>2</v>
      </c>
      <c r="B3797">
        <v>14</v>
      </c>
      <c r="C3797"/>
      <c r="D3797" t="s">
        <v>31</v>
      </c>
      <c r="E3797" t="s">
        <v>32</v>
      </c>
      <c r="F3797" t="s">
        <v>48</v>
      </c>
      <c r="G3797" s="118">
        <v>0.71690972222222227</v>
      </c>
      <c r="H3797" s="118">
        <v>5.2083333333333333E-4</v>
      </c>
      <c r="I3797" s="118">
        <v>8.6805555555555551E-4</v>
      </c>
      <c r="J3797" s="118">
        <v>5.0462962962962961E-3</v>
      </c>
      <c r="K3797" s="118">
        <v>5.0462962962962961E-3</v>
      </c>
    </row>
    <row r="3798" spans="1:11" x14ac:dyDescent="0.25">
      <c r="A3798">
        <v>1</v>
      </c>
      <c r="B3798">
        <v>14</v>
      </c>
      <c r="C3798"/>
      <c r="D3798" t="s">
        <v>31</v>
      </c>
      <c r="E3798" t="s">
        <v>32</v>
      </c>
      <c r="F3798" t="s">
        <v>47</v>
      </c>
      <c r="G3798" s="118">
        <v>0.71699074074074076</v>
      </c>
      <c r="H3798" s="118">
        <v>5.2083333333333333E-4</v>
      </c>
      <c r="I3798" s="118">
        <v>8.7962962962962962E-4</v>
      </c>
      <c r="J3798" s="118">
        <v>5.0462962962962961E-3</v>
      </c>
      <c r="K3798" s="118">
        <v>5.0462962962962961E-3</v>
      </c>
    </row>
    <row r="3799" spans="1:11" x14ac:dyDescent="0.25">
      <c r="A3799">
        <v>3</v>
      </c>
      <c r="B3799">
        <v>14</v>
      </c>
      <c r="C3799"/>
      <c r="D3799" t="s">
        <v>31</v>
      </c>
      <c r="E3799" t="s">
        <v>32</v>
      </c>
      <c r="F3799" t="s">
        <v>33</v>
      </c>
      <c r="G3799" s="118">
        <v>0.71715277777777775</v>
      </c>
      <c r="H3799" s="118">
        <v>5.2083333333333333E-4</v>
      </c>
      <c r="I3799" s="118">
        <v>9.6064814814814808E-4</v>
      </c>
      <c r="J3799" s="118">
        <v>5.0462962962962961E-3</v>
      </c>
      <c r="K3799" s="118">
        <v>5.0462962962962961E-3</v>
      </c>
    </row>
    <row r="3800" spans="1:11" x14ac:dyDescent="0.25">
      <c r="A3800">
        <v>8</v>
      </c>
      <c r="B3800">
        <v>2</v>
      </c>
      <c r="C3800"/>
      <c r="D3800" t="s">
        <v>31</v>
      </c>
      <c r="E3800" t="s">
        <v>32</v>
      </c>
      <c r="F3800" t="s">
        <v>45</v>
      </c>
      <c r="G3800" s="118">
        <v>0.71721064814814817</v>
      </c>
      <c r="H3800" s="118">
        <v>3.4722222222222224E-4</v>
      </c>
      <c r="I3800" s="118">
        <v>1.0416666666666667E-3</v>
      </c>
      <c r="J3800" s="118">
        <v>5.0462962962962961E-3</v>
      </c>
      <c r="K3800" s="118">
        <v>5.0462962962962961E-3</v>
      </c>
    </row>
    <row r="3801" spans="1:11" x14ac:dyDescent="0.25">
      <c r="A3801">
        <v>4</v>
      </c>
      <c r="B3801">
        <v>14</v>
      </c>
      <c r="C3801"/>
      <c r="D3801" t="s">
        <v>31</v>
      </c>
      <c r="E3801" t="s">
        <v>35</v>
      </c>
      <c r="F3801" t="s">
        <v>40</v>
      </c>
      <c r="G3801" s="118">
        <v>0.71723379629629624</v>
      </c>
      <c r="H3801" s="118">
        <v>4.8611111111111104E-4</v>
      </c>
      <c r="I3801" s="118">
        <v>4.6296296296296293E-4</v>
      </c>
      <c r="J3801"/>
      <c r="K3801"/>
    </row>
    <row r="3802" spans="1:11" x14ac:dyDescent="0.25">
      <c r="A3802">
        <v>9</v>
      </c>
      <c r="B3802">
        <v>1</v>
      </c>
      <c r="C3802"/>
      <c r="D3802" t="s">
        <v>31</v>
      </c>
      <c r="E3802" t="s">
        <v>35</v>
      </c>
      <c r="F3802" t="s">
        <v>56</v>
      </c>
      <c r="G3802" s="118">
        <v>0.71761574074074075</v>
      </c>
      <c r="H3802" s="118">
        <v>1.261574074074074E-3</v>
      </c>
      <c r="I3802" s="118">
        <v>3.4722222222222224E-4</v>
      </c>
      <c r="J3802"/>
      <c r="K3802"/>
    </row>
    <row r="3803" spans="1:11" x14ac:dyDescent="0.25">
      <c r="A3803">
        <v>4</v>
      </c>
      <c r="B3803">
        <v>14</v>
      </c>
      <c r="C3803"/>
      <c r="D3803" t="s">
        <v>31</v>
      </c>
      <c r="E3803" t="s">
        <v>32</v>
      </c>
      <c r="F3803" t="s">
        <v>40</v>
      </c>
      <c r="G3803" s="118">
        <v>0.71769675925925924</v>
      </c>
      <c r="H3803" s="118">
        <v>4.6296296296296293E-4</v>
      </c>
      <c r="I3803" s="118">
        <v>1.0069444444444444E-3</v>
      </c>
      <c r="J3803" s="118">
        <v>5.0462962962962961E-3</v>
      </c>
      <c r="K3803" s="118">
        <v>5.0462962962962961E-3</v>
      </c>
    </row>
    <row r="3804" spans="1:11" x14ac:dyDescent="0.25">
      <c r="A3804">
        <v>2</v>
      </c>
      <c r="B3804">
        <v>14</v>
      </c>
      <c r="C3804"/>
      <c r="D3804" t="s">
        <v>31</v>
      </c>
      <c r="E3804" t="s">
        <v>35</v>
      </c>
      <c r="F3804" t="s">
        <v>54</v>
      </c>
      <c r="G3804" s="118">
        <v>0.71777777777777774</v>
      </c>
      <c r="H3804" s="118">
        <v>8.6805555555555551E-4</v>
      </c>
      <c r="I3804" s="118">
        <v>3.4722222222222224E-4</v>
      </c>
      <c r="J3804"/>
      <c r="K3804"/>
    </row>
    <row r="3805" spans="1:11" x14ac:dyDescent="0.25">
      <c r="A3805">
        <v>1</v>
      </c>
      <c r="B3805">
        <v>14</v>
      </c>
      <c r="C3805"/>
      <c r="D3805" t="s">
        <v>31</v>
      </c>
      <c r="E3805" t="s">
        <v>35</v>
      </c>
      <c r="F3805" t="s">
        <v>53</v>
      </c>
      <c r="G3805" s="118">
        <v>0.71787037037037038</v>
      </c>
      <c r="H3805" s="118">
        <v>8.7962962962962962E-4</v>
      </c>
      <c r="I3805" s="118">
        <v>3.4722222222222224E-4</v>
      </c>
      <c r="J3805"/>
      <c r="K3805"/>
    </row>
    <row r="3806" spans="1:11" x14ac:dyDescent="0.25">
      <c r="A3806">
        <v>9</v>
      </c>
      <c r="B3806">
        <v>1</v>
      </c>
      <c r="C3806"/>
      <c r="D3806" t="s">
        <v>31</v>
      </c>
      <c r="E3806" t="s">
        <v>32</v>
      </c>
      <c r="F3806" t="s">
        <v>56</v>
      </c>
      <c r="G3806" s="118">
        <v>0.71796296296296302</v>
      </c>
      <c r="H3806" s="118">
        <v>3.4722222222222224E-4</v>
      </c>
      <c r="I3806" s="118">
        <v>9.6064814814814808E-4</v>
      </c>
      <c r="J3806" s="118">
        <v>5.0462962962962961E-3</v>
      </c>
      <c r="K3806" s="118">
        <v>5.0462962962962961E-3</v>
      </c>
    </row>
    <row r="3807" spans="1:11" x14ac:dyDescent="0.25">
      <c r="A3807">
        <v>3</v>
      </c>
      <c r="B3807">
        <v>14</v>
      </c>
      <c r="C3807"/>
      <c r="D3807" t="s">
        <v>31</v>
      </c>
      <c r="E3807" t="s">
        <v>35</v>
      </c>
      <c r="F3807" t="s">
        <v>36</v>
      </c>
      <c r="G3807" s="118">
        <v>0.71811342592592586</v>
      </c>
      <c r="H3807" s="118">
        <v>9.6064814814814808E-4</v>
      </c>
      <c r="I3807" s="118">
        <v>3.4722222222222224E-4</v>
      </c>
      <c r="J3807"/>
      <c r="K3807"/>
    </row>
    <row r="3808" spans="1:11" x14ac:dyDescent="0.25">
      <c r="A3808">
        <v>2</v>
      </c>
      <c r="B3808">
        <v>14</v>
      </c>
      <c r="C3808"/>
      <c r="D3808" t="s">
        <v>31</v>
      </c>
      <c r="E3808" t="s">
        <v>32</v>
      </c>
      <c r="F3808" t="s">
        <v>54</v>
      </c>
      <c r="G3808" s="118">
        <v>0.71812500000000001</v>
      </c>
      <c r="H3808" s="118">
        <v>3.4722222222222224E-4</v>
      </c>
      <c r="I3808" s="118">
        <v>6.5972222222222213E-4</v>
      </c>
      <c r="J3808" s="118">
        <v>5.0462962962962961E-3</v>
      </c>
      <c r="K3808" s="118">
        <v>5.0462962962962961E-3</v>
      </c>
    </row>
    <row r="3809" spans="1:11" x14ac:dyDescent="0.25">
      <c r="A3809">
        <v>1</v>
      </c>
      <c r="B3809">
        <v>14</v>
      </c>
      <c r="C3809"/>
      <c r="D3809" t="s">
        <v>31</v>
      </c>
      <c r="E3809" t="s">
        <v>32</v>
      </c>
      <c r="F3809" t="s">
        <v>53</v>
      </c>
      <c r="G3809" s="118">
        <v>0.71821759259259255</v>
      </c>
      <c r="H3809" s="118">
        <v>3.4722222222222224E-4</v>
      </c>
      <c r="I3809" s="118">
        <v>8.449074074074075E-4</v>
      </c>
      <c r="J3809" s="118">
        <v>5.0462962962962961E-3</v>
      </c>
      <c r="K3809" s="118">
        <v>5.0462962962962961E-3</v>
      </c>
    </row>
    <row r="3810" spans="1:11" x14ac:dyDescent="0.25">
      <c r="A3810">
        <v>5</v>
      </c>
      <c r="B3810">
        <v>15</v>
      </c>
      <c r="C3810"/>
      <c r="D3810" t="s">
        <v>31</v>
      </c>
      <c r="E3810" t="s">
        <v>35</v>
      </c>
      <c r="F3810" t="s">
        <v>46</v>
      </c>
      <c r="G3810" s="118">
        <v>0.71821759259259255</v>
      </c>
      <c r="H3810" s="118">
        <v>1.8055555555555557E-3</v>
      </c>
      <c r="I3810" s="118">
        <v>3.4722222222222224E-4</v>
      </c>
      <c r="J3810"/>
      <c r="K3810"/>
    </row>
    <row r="3811" spans="1:11" x14ac:dyDescent="0.25">
      <c r="A3811">
        <v>8</v>
      </c>
      <c r="B3811">
        <v>2</v>
      </c>
      <c r="C3811"/>
      <c r="D3811" t="s">
        <v>31</v>
      </c>
      <c r="E3811" t="s">
        <v>35</v>
      </c>
      <c r="F3811" t="s">
        <v>52</v>
      </c>
      <c r="G3811" s="118">
        <v>0.71825231481481477</v>
      </c>
      <c r="H3811" s="118">
        <v>1.0416666666666667E-3</v>
      </c>
      <c r="I3811" s="118">
        <v>3.4722222222222224E-4</v>
      </c>
      <c r="J3811"/>
      <c r="K3811"/>
    </row>
    <row r="3812" spans="1:11" x14ac:dyDescent="0.25">
      <c r="A3812">
        <v>3</v>
      </c>
      <c r="B3812">
        <v>14</v>
      </c>
      <c r="C3812"/>
      <c r="D3812" t="s">
        <v>31</v>
      </c>
      <c r="E3812" t="s">
        <v>32</v>
      </c>
      <c r="F3812" t="s">
        <v>36</v>
      </c>
      <c r="G3812" s="118">
        <v>0.71846064814814825</v>
      </c>
      <c r="H3812" s="118">
        <v>3.4722222222222224E-4</v>
      </c>
      <c r="I3812" s="118">
        <v>1.0995370370370371E-3</v>
      </c>
      <c r="J3812" s="118">
        <v>5.0462962962962961E-3</v>
      </c>
      <c r="K3812" s="118">
        <v>5.0462962962962961E-3</v>
      </c>
    </row>
    <row r="3813" spans="1:11" x14ac:dyDescent="0.25">
      <c r="A3813">
        <v>5</v>
      </c>
      <c r="B3813">
        <v>15</v>
      </c>
      <c r="C3813"/>
      <c r="D3813" t="s">
        <v>31</v>
      </c>
      <c r="E3813" t="s">
        <v>32</v>
      </c>
      <c r="F3813" t="s">
        <v>46</v>
      </c>
      <c r="G3813" s="118">
        <v>0.71856481481481482</v>
      </c>
      <c r="H3813" s="118">
        <v>3.4722222222222224E-4</v>
      </c>
      <c r="I3813" s="118">
        <v>9.1435185185185185E-4</v>
      </c>
      <c r="J3813" s="118">
        <v>5.0462962962962961E-3</v>
      </c>
      <c r="K3813" s="118">
        <v>5.0462962962962961E-3</v>
      </c>
    </row>
    <row r="3814" spans="1:11" x14ac:dyDescent="0.25">
      <c r="A3814">
        <v>8</v>
      </c>
      <c r="B3814">
        <v>2</v>
      </c>
      <c r="C3814"/>
      <c r="D3814" t="s">
        <v>31</v>
      </c>
      <c r="E3814" t="s">
        <v>32</v>
      </c>
      <c r="F3814" t="s">
        <v>52</v>
      </c>
      <c r="G3814" s="118">
        <v>0.71859953703703694</v>
      </c>
      <c r="H3814" s="118">
        <v>3.4722222222222224E-4</v>
      </c>
      <c r="I3814" s="118">
        <v>1.0532407407407407E-3</v>
      </c>
      <c r="J3814" s="118">
        <v>5.0462962962962961E-3</v>
      </c>
      <c r="K3814" s="118">
        <v>5.0462962962962961E-3</v>
      </c>
    </row>
    <row r="3815" spans="1:11" x14ac:dyDescent="0.25">
      <c r="A3815">
        <v>4</v>
      </c>
      <c r="B3815">
        <v>14</v>
      </c>
      <c r="C3815"/>
      <c r="D3815" t="s">
        <v>31</v>
      </c>
      <c r="E3815" t="s">
        <v>35</v>
      </c>
      <c r="F3815" t="s">
        <v>44</v>
      </c>
      <c r="G3815" s="118">
        <v>0.71870370370370373</v>
      </c>
      <c r="H3815" s="118">
        <v>1.0069444444444444E-3</v>
      </c>
      <c r="I3815" s="118">
        <v>3.4722222222222224E-4</v>
      </c>
      <c r="J3815"/>
      <c r="K3815"/>
    </row>
    <row r="3816" spans="1:11" x14ac:dyDescent="0.25">
      <c r="A3816">
        <v>2</v>
      </c>
      <c r="B3816">
        <v>14</v>
      </c>
      <c r="C3816"/>
      <c r="D3816" t="s">
        <v>31</v>
      </c>
      <c r="E3816" t="s">
        <v>35</v>
      </c>
      <c r="F3816" t="s">
        <v>92</v>
      </c>
      <c r="G3816" s="118">
        <v>0.71878472222222223</v>
      </c>
      <c r="H3816" s="118">
        <v>6.5972222222222213E-4</v>
      </c>
      <c r="I3816" s="118">
        <v>5.2083333333333333E-4</v>
      </c>
      <c r="J3816"/>
      <c r="K3816"/>
    </row>
    <row r="3817" spans="1:11" x14ac:dyDescent="0.25">
      <c r="A3817">
        <v>9</v>
      </c>
      <c r="B3817">
        <v>1</v>
      </c>
      <c r="C3817"/>
      <c r="D3817" t="s">
        <v>31</v>
      </c>
      <c r="E3817" t="s">
        <v>35</v>
      </c>
      <c r="F3817" t="s">
        <v>37</v>
      </c>
      <c r="G3817" s="118">
        <v>0.71892361111111114</v>
      </c>
      <c r="H3817" s="118">
        <v>9.6064814814814808E-4</v>
      </c>
      <c r="I3817" s="118">
        <v>3.4722222222222224E-4</v>
      </c>
      <c r="J3817"/>
      <c r="K3817"/>
    </row>
    <row r="3818" spans="1:11" x14ac:dyDescent="0.25">
      <c r="A3818">
        <v>4</v>
      </c>
      <c r="B3818">
        <v>14</v>
      </c>
      <c r="C3818"/>
      <c r="D3818" t="s">
        <v>31</v>
      </c>
      <c r="E3818" t="s">
        <v>32</v>
      </c>
      <c r="F3818" t="s">
        <v>44</v>
      </c>
      <c r="G3818" s="118">
        <v>0.7190509259259259</v>
      </c>
      <c r="H3818" s="118">
        <v>3.4722222222222224E-4</v>
      </c>
      <c r="I3818" s="118">
        <v>9.2592592592592585E-4</v>
      </c>
      <c r="J3818" s="118">
        <v>5.0462962962962961E-3</v>
      </c>
      <c r="K3818" s="118">
        <v>5.0462962962962961E-3</v>
      </c>
    </row>
    <row r="3819" spans="1:11" x14ac:dyDescent="0.25">
      <c r="A3819">
        <v>1</v>
      </c>
      <c r="B3819">
        <v>14</v>
      </c>
      <c r="C3819"/>
      <c r="D3819" t="s">
        <v>31</v>
      </c>
      <c r="E3819" t="s">
        <v>35</v>
      </c>
      <c r="F3819" t="s">
        <v>34</v>
      </c>
      <c r="G3819" s="118">
        <v>0.71906250000000005</v>
      </c>
      <c r="H3819" s="118">
        <v>8.449074074074075E-4</v>
      </c>
      <c r="I3819" s="118">
        <v>3.4722222222222224E-4</v>
      </c>
      <c r="J3819"/>
      <c r="K3819"/>
    </row>
    <row r="3820" spans="1:11" x14ac:dyDescent="0.25">
      <c r="A3820">
        <v>9</v>
      </c>
      <c r="B3820">
        <v>1</v>
      </c>
      <c r="C3820"/>
      <c r="D3820" t="s">
        <v>31</v>
      </c>
      <c r="E3820" t="s">
        <v>32</v>
      </c>
      <c r="F3820" t="s">
        <v>37</v>
      </c>
      <c r="G3820" s="118">
        <v>0.7192708333333333</v>
      </c>
      <c r="H3820" s="118">
        <v>3.4722222222222224E-4</v>
      </c>
      <c r="I3820" s="118">
        <v>9.0277777777777784E-4</v>
      </c>
      <c r="J3820" s="118">
        <v>5.0462962962962961E-3</v>
      </c>
      <c r="K3820" s="118">
        <v>5.0462962962962961E-3</v>
      </c>
    </row>
    <row r="3821" spans="1:11" x14ac:dyDescent="0.25">
      <c r="A3821">
        <v>2</v>
      </c>
      <c r="B3821">
        <v>15</v>
      </c>
      <c r="C3821"/>
      <c r="D3821" t="s">
        <v>31</v>
      </c>
      <c r="E3821" t="s">
        <v>32</v>
      </c>
      <c r="F3821" t="s">
        <v>92</v>
      </c>
      <c r="G3821" s="118">
        <v>0.71930555555555553</v>
      </c>
      <c r="H3821" s="118">
        <v>5.2083333333333333E-4</v>
      </c>
      <c r="I3821" s="118">
        <v>1.0069444444444444E-3</v>
      </c>
      <c r="J3821" s="118">
        <v>5.0462962962962961E-3</v>
      </c>
      <c r="K3821" s="118">
        <v>5.0462962962962961E-3</v>
      </c>
    </row>
    <row r="3822" spans="1:11" x14ac:dyDescent="0.25">
      <c r="A3822">
        <v>1</v>
      </c>
      <c r="B3822">
        <v>14</v>
      </c>
      <c r="C3822"/>
      <c r="D3822" t="s">
        <v>31</v>
      </c>
      <c r="E3822" t="s">
        <v>32</v>
      </c>
      <c r="F3822" t="s">
        <v>34</v>
      </c>
      <c r="G3822" s="118">
        <v>0.71940972222222221</v>
      </c>
      <c r="H3822" s="118">
        <v>3.4722222222222224E-4</v>
      </c>
      <c r="I3822" s="118">
        <v>9.1435185185185185E-4</v>
      </c>
      <c r="J3822" s="118">
        <v>5.0462962962962961E-3</v>
      </c>
      <c r="K3822" s="118">
        <v>5.0462962962962961E-3</v>
      </c>
    </row>
    <row r="3823" spans="1:11" x14ac:dyDescent="0.25">
      <c r="A3823">
        <v>5</v>
      </c>
      <c r="B3823">
        <v>15</v>
      </c>
      <c r="C3823"/>
      <c r="D3823" t="s">
        <v>31</v>
      </c>
      <c r="E3823" t="s">
        <v>35</v>
      </c>
      <c r="F3823" t="s">
        <v>51</v>
      </c>
      <c r="G3823" s="118">
        <v>0.71947916666666656</v>
      </c>
      <c r="H3823" s="118">
        <v>9.1435185185185185E-4</v>
      </c>
      <c r="I3823" s="118">
        <v>3.4722222222222224E-4</v>
      </c>
      <c r="J3823"/>
      <c r="K3823"/>
    </row>
    <row r="3824" spans="1:11" x14ac:dyDescent="0.25">
      <c r="A3824">
        <v>3</v>
      </c>
      <c r="B3824">
        <v>14</v>
      </c>
      <c r="C3824"/>
      <c r="D3824" t="s">
        <v>31</v>
      </c>
      <c r="E3824" t="s">
        <v>35</v>
      </c>
      <c r="F3824" t="s">
        <v>43</v>
      </c>
      <c r="G3824" s="118">
        <v>0.71956018518518527</v>
      </c>
      <c r="H3824" s="118">
        <v>1.0995370370370371E-3</v>
      </c>
      <c r="I3824" s="118">
        <v>3.4722222222222224E-4</v>
      </c>
      <c r="J3824"/>
      <c r="K3824"/>
    </row>
    <row r="3825" spans="1:11" x14ac:dyDescent="0.25">
      <c r="A3825">
        <v>8</v>
      </c>
      <c r="B3825">
        <v>2</v>
      </c>
      <c r="C3825"/>
      <c r="D3825" t="s">
        <v>31</v>
      </c>
      <c r="E3825" t="s">
        <v>35</v>
      </c>
      <c r="F3825" t="s">
        <v>57</v>
      </c>
      <c r="G3825" s="118">
        <v>0.71965277777777781</v>
      </c>
      <c r="H3825" s="118">
        <v>1.0532407407407407E-3</v>
      </c>
      <c r="I3825" s="118">
        <v>3.4722222222222224E-4</v>
      </c>
      <c r="J3825"/>
      <c r="K3825"/>
    </row>
    <row r="3826" spans="1:11" x14ac:dyDescent="0.25">
      <c r="A3826">
        <v>5</v>
      </c>
      <c r="B3826">
        <v>15</v>
      </c>
      <c r="C3826"/>
      <c r="D3826" t="s">
        <v>31</v>
      </c>
      <c r="E3826" t="s">
        <v>32</v>
      </c>
      <c r="F3826" t="s">
        <v>51</v>
      </c>
      <c r="G3826" s="118">
        <v>0.71982638888888895</v>
      </c>
      <c r="H3826" s="118">
        <v>3.4722222222222224E-4</v>
      </c>
      <c r="I3826" s="118">
        <v>1.0069444444444444E-3</v>
      </c>
      <c r="J3826" s="118">
        <v>5.0462962962962961E-3</v>
      </c>
      <c r="K3826" s="118">
        <v>5.0462962962962961E-3</v>
      </c>
    </row>
    <row r="3827" spans="1:11" x14ac:dyDescent="0.25">
      <c r="A3827">
        <v>3</v>
      </c>
      <c r="B3827">
        <v>14</v>
      </c>
      <c r="C3827"/>
      <c r="D3827" t="s">
        <v>31</v>
      </c>
      <c r="E3827" t="s">
        <v>32</v>
      </c>
      <c r="F3827" t="s">
        <v>43</v>
      </c>
      <c r="G3827" s="118">
        <v>0.71990740740740744</v>
      </c>
      <c r="H3827" s="118">
        <v>3.4722222222222224E-4</v>
      </c>
      <c r="I3827" s="118">
        <v>1.1458333333333333E-3</v>
      </c>
      <c r="J3827" s="118">
        <v>5.0462962962962961E-3</v>
      </c>
      <c r="K3827" s="118">
        <v>5.0462962962962961E-3</v>
      </c>
    </row>
    <row r="3828" spans="1:11" x14ac:dyDescent="0.25">
      <c r="A3828">
        <v>4</v>
      </c>
      <c r="B3828">
        <v>14</v>
      </c>
      <c r="C3828"/>
      <c r="D3828" t="s">
        <v>31</v>
      </c>
      <c r="E3828" t="s">
        <v>35</v>
      </c>
      <c r="F3828" t="s">
        <v>49</v>
      </c>
      <c r="G3828" s="118">
        <v>0.71997685185185178</v>
      </c>
      <c r="H3828" s="118">
        <v>9.2592592592592585E-4</v>
      </c>
      <c r="I3828" s="118">
        <v>3.4722222222222224E-4</v>
      </c>
      <c r="J3828"/>
      <c r="K3828"/>
    </row>
    <row r="3829" spans="1:11" x14ac:dyDescent="0.25">
      <c r="A3829">
        <v>8</v>
      </c>
      <c r="B3829">
        <v>2</v>
      </c>
      <c r="C3829"/>
      <c r="D3829" t="s">
        <v>31</v>
      </c>
      <c r="E3829" t="s">
        <v>32</v>
      </c>
      <c r="F3829" t="s">
        <v>57</v>
      </c>
      <c r="G3829" s="118">
        <v>0.72000000000000008</v>
      </c>
      <c r="H3829" s="118">
        <v>3.4722222222222224E-4</v>
      </c>
      <c r="I3829" s="118">
        <v>9.3750000000000007E-4</v>
      </c>
      <c r="J3829" s="118">
        <v>5.0462962962962961E-3</v>
      </c>
      <c r="K3829" s="118">
        <v>5.0462962962962961E-3</v>
      </c>
    </row>
    <row r="3830" spans="1:11" x14ac:dyDescent="0.25">
      <c r="A3830">
        <v>9</v>
      </c>
      <c r="B3830">
        <v>1</v>
      </c>
      <c r="C3830"/>
      <c r="D3830" t="s">
        <v>31</v>
      </c>
      <c r="E3830" t="s">
        <v>35</v>
      </c>
      <c r="F3830" t="s">
        <v>42</v>
      </c>
      <c r="G3830" s="118">
        <v>0.72017361111111111</v>
      </c>
      <c r="H3830" s="118">
        <v>9.0277777777777784E-4</v>
      </c>
      <c r="I3830" s="118">
        <v>3.4722222222222224E-4</v>
      </c>
      <c r="J3830"/>
      <c r="K3830"/>
    </row>
    <row r="3831" spans="1:11" x14ac:dyDescent="0.25">
      <c r="A3831">
        <v>2</v>
      </c>
      <c r="B3831">
        <v>15</v>
      </c>
      <c r="C3831"/>
      <c r="D3831" t="s">
        <v>31</v>
      </c>
      <c r="E3831" t="s">
        <v>35</v>
      </c>
      <c r="F3831" t="s">
        <v>41</v>
      </c>
      <c r="G3831" s="118">
        <v>0.72031250000000002</v>
      </c>
      <c r="H3831" s="118">
        <v>1.0069444444444444E-3</v>
      </c>
      <c r="I3831" s="118">
        <v>3.4722222222222224E-4</v>
      </c>
      <c r="J3831"/>
      <c r="K3831"/>
    </row>
    <row r="3832" spans="1:11" x14ac:dyDescent="0.25">
      <c r="A3832">
        <v>1</v>
      </c>
      <c r="B3832">
        <v>14</v>
      </c>
      <c r="C3832"/>
      <c r="D3832" t="s">
        <v>31</v>
      </c>
      <c r="E3832" t="s">
        <v>35</v>
      </c>
      <c r="F3832" t="s">
        <v>38</v>
      </c>
      <c r="G3832" s="118">
        <v>0.72032407407407406</v>
      </c>
      <c r="H3832" s="118">
        <v>9.1435185185185185E-4</v>
      </c>
      <c r="I3832" s="118">
        <v>3.4722222222222224E-4</v>
      </c>
      <c r="J3832"/>
      <c r="K3832"/>
    </row>
    <row r="3833" spans="1:11" x14ac:dyDescent="0.25">
      <c r="A3833">
        <v>4</v>
      </c>
      <c r="B3833">
        <v>14</v>
      </c>
      <c r="C3833"/>
      <c r="D3833" t="s">
        <v>31</v>
      </c>
      <c r="E3833" t="s">
        <v>32</v>
      </c>
      <c r="F3833" t="s">
        <v>49</v>
      </c>
      <c r="G3833" s="118">
        <v>0.72032407407407406</v>
      </c>
      <c r="H3833" s="118">
        <v>3.4722222222222224E-4</v>
      </c>
      <c r="I3833" s="118">
        <v>1.3541666666666667E-3</v>
      </c>
      <c r="J3833" s="118">
        <v>5.0462962962962961E-3</v>
      </c>
      <c r="K3833" s="118">
        <v>5.0462962962962961E-3</v>
      </c>
    </row>
    <row r="3834" spans="1:11" x14ac:dyDescent="0.25">
      <c r="A3834">
        <v>9</v>
      </c>
      <c r="B3834">
        <v>1</v>
      </c>
      <c r="C3834"/>
      <c r="D3834" t="s">
        <v>31</v>
      </c>
      <c r="E3834" t="s">
        <v>32</v>
      </c>
      <c r="F3834" t="s">
        <v>42</v>
      </c>
      <c r="G3834" s="118">
        <v>0.72052083333333339</v>
      </c>
      <c r="H3834" s="118">
        <v>3.4722222222222224E-4</v>
      </c>
      <c r="I3834" s="118">
        <v>9.1435185185185185E-4</v>
      </c>
      <c r="J3834" s="118">
        <v>5.0462962962962961E-3</v>
      </c>
      <c r="K3834" s="118">
        <v>5.0462962962962961E-3</v>
      </c>
    </row>
    <row r="3835" spans="1:11" x14ac:dyDescent="0.25">
      <c r="A3835">
        <v>2</v>
      </c>
      <c r="B3835">
        <v>15</v>
      </c>
      <c r="C3835"/>
      <c r="D3835" t="s">
        <v>31</v>
      </c>
      <c r="E3835" t="s">
        <v>32</v>
      </c>
      <c r="F3835" t="s">
        <v>41</v>
      </c>
      <c r="G3835" s="118">
        <v>0.7206597222222223</v>
      </c>
      <c r="H3835" s="118">
        <v>3.4722222222222224E-4</v>
      </c>
      <c r="I3835" s="118">
        <v>8.564814814814815E-4</v>
      </c>
      <c r="J3835" s="118">
        <v>5.0462962962962961E-3</v>
      </c>
      <c r="K3835" s="118">
        <v>5.0462962962962961E-3</v>
      </c>
    </row>
    <row r="3836" spans="1:11" x14ac:dyDescent="0.25">
      <c r="A3836">
        <v>1</v>
      </c>
      <c r="B3836">
        <v>14</v>
      </c>
      <c r="C3836"/>
      <c r="D3836" t="s">
        <v>31</v>
      </c>
      <c r="E3836" t="s">
        <v>32</v>
      </c>
      <c r="F3836" t="s">
        <v>38</v>
      </c>
      <c r="G3836" s="118">
        <v>0.72067129629629623</v>
      </c>
      <c r="H3836" s="118">
        <v>3.4722222222222224E-4</v>
      </c>
      <c r="I3836" s="118">
        <v>1.2384259259259258E-3</v>
      </c>
      <c r="J3836" s="118">
        <v>5.0462962962962961E-3</v>
      </c>
      <c r="K3836" s="118">
        <v>5.0462962962962961E-3</v>
      </c>
    </row>
    <row r="3837" spans="1:11" x14ac:dyDescent="0.25">
      <c r="A3837">
        <v>5</v>
      </c>
      <c r="B3837">
        <v>15</v>
      </c>
      <c r="C3837"/>
      <c r="D3837" t="s">
        <v>31</v>
      </c>
      <c r="E3837" t="s">
        <v>35</v>
      </c>
      <c r="F3837" t="s">
        <v>55</v>
      </c>
      <c r="G3837" s="118">
        <v>0.72083333333333333</v>
      </c>
      <c r="H3837" s="118">
        <v>1.0069444444444444E-3</v>
      </c>
      <c r="I3837" s="118">
        <v>4.6296296296296293E-4</v>
      </c>
      <c r="J3837"/>
      <c r="K3837"/>
    </row>
    <row r="3838" spans="1:11" x14ac:dyDescent="0.25">
      <c r="A3838">
        <v>8</v>
      </c>
      <c r="B3838">
        <v>2</v>
      </c>
      <c r="C3838"/>
      <c r="D3838" t="s">
        <v>31</v>
      </c>
      <c r="E3838" t="s">
        <v>35</v>
      </c>
      <c r="F3838" t="s">
        <v>39</v>
      </c>
      <c r="G3838" s="118">
        <v>0.7209374999999999</v>
      </c>
      <c r="H3838" s="118">
        <v>9.3750000000000007E-4</v>
      </c>
      <c r="I3838" s="118">
        <v>5.2083333333333333E-4</v>
      </c>
      <c r="J3838"/>
      <c r="K3838"/>
    </row>
    <row r="3839" spans="1:11" x14ac:dyDescent="0.25">
      <c r="A3839">
        <v>3</v>
      </c>
      <c r="B3839">
        <v>14</v>
      </c>
      <c r="C3839"/>
      <c r="D3839" t="s">
        <v>31</v>
      </c>
      <c r="E3839" t="s">
        <v>35</v>
      </c>
      <c r="F3839" t="s">
        <v>50</v>
      </c>
      <c r="G3839" s="118">
        <v>0.72105324074074073</v>
      </c>
      <c r="H3839" s="118">
        <v>1.1458333333333333E-3</v>
      </c>
      <c r="I3839" s="118">
        <v>3.4722222222222224E-4</v>
      </c>
      <c r="J3839"/>
      <c r="K3839"/>
    </row>
    <row r="3840" spans="1:11" x14ac:dyDescent="0.25">
      <c r="A3840">
        <v>5</v>
      </c>
      <c r="B3840">
        <v>15</v>
      </c>
      <c r="C3840"/>
      <c r="D3840" t="s">
        <v>31</v>
      </c>
      <c r="E3840" t="s">
        <v>32</v>
      </c>
      <c r="F3840" t="s">
        <v>55</v>
      </c>
      <c r="G3840" s="118">
        <v>0.72129629629629621</v>
      </c>
      <c r="H3840" s="118">
        <v>4.6296296296296293E-4</v>
      </c>
      <c r="I3840" s="118">
        <v>4.3981481481481481E-4</v>
      </c>
      <c r="J3840" s="118">
        <v>5.0462962962962961E-3</v>
      </c>
      <c r="K3840" s="118">
        <v>5.0462962962962961E-3</v>
      </c>
    </row>
    <row r="3841" spans="1:11" x14ac:dyDescent="0.25">
      <c r="A3841">
        <v>3</v>
      </c>
      <c r="B3841">
        <v>14</v>
      </c>
      <c r="C3841"/>
      <c r="D3841" t="s">
        <v>31</v>
      </c>
      <c r="E3841" t="s">
        <v>32</v>
      </c>
      <c r="F3841" t="s">
        <v>50</v>
      </c>
      <c r="G3841" s="118">
        <v>0.72140046296296301</v>
      </c>
      <c r="H3841" s="118">
        <v>3.4722222222222224E-4</v>
      </c>
      <c r="I3841" s="118">
        <v>1.261574074074074E-3</v>
      </c>
      <c r="J3841" s="118">
        <v>5.0462962962962961E-3</v>
      </c>
      <c r="K3841" s="118">
        <v>5.0462962962962961E-3</v>
      </c>
    </row>
    <row r="3842" spans="1:11" x14ac:dyDescent="0.25">
      <c r="A3842">
        <v>9</v>
      </c>
      <c r="B3842">
        <v>1</v>
      </c>
      <c r="C3842"/>
      <c r="D3842" t="s">
        <v>31</v>
      </c>
      <c r="E3842" t="s">
        <v>35</v>
      </c>
      <c r="F3842" t="s">
        <v>48</v>
      </c>
      <c r="G3842" s="118">
        <v>0.72143518518518512</v>
      </c>
      <c r="H3842" s="118">
        <v>9.1435185185185185E-4</v>
      </c>
      <c r="I3842" s="118">
        <v>5.2083333333333333E-4</v>
      </c>
      <c r="J3842"/>
      <c r="K3842"/>
    </row>
    <row r="3843" spans="1:11" x14ac:dyDescent="0.25">
      <c r="A3843">
        <v>8</v>
      </c>
      <c r="B3843">
        <v>2</v>
      </c>
      <c r="C3843"/>
      <c r="D3843" t="s">
        <v>31</v>
      </c>
      <c r="E3843" t="s">
        <v>32</v>
      </c>
      <c r="F3843" t="s">
        <v>39</v>
      </c>
      <c r="G3843" s="118">
        <v>0.72145833333333342</v>
      </c>
      <c r="H3843" s="118">
        <v>5.2083333333333333E-4</v>
      </c>
      <c r="I3843" s="118">
        <v>1.8055555555555557E-3</v>
      </c>
      <c r="J3843" s="118">
        <v>5.0462962962962961E-3</v>
      </c>
      <c r="K3843" s="118">
        <v>5.0462962962962961E-3</v>
      </c>
    </row>
    <row r="3844" spans="1:11" x14ac:dyDescent="0.25">
      <c r="A3844">
        <v>2</v>
      </c>
      <c r="B3844">
        <v>15</v>
      </c>
      <c r="C3844"/>
      <c r="D3844" t="s">
        <v>31</v>
      </c>
      <c r="E3844" t="s">
        <v>35</v>
      </c>
      <c r="F3844" t="s">
        <v>47</v>
      </c>
      <c r="G3844" s="118">
        <v>0.72151620370370362</v>
      </c>
      <c r="H3844" s="118">
        <v>8.564814814814815E-4</v>
      </c>
      <c r="I3844" s="118">
        <v>5.2083333333333333E-4</v>
      </c>
      <c r="J3844"/>
      <c r="K3844"/>
    </row>
    <row r="3845" spans="1:11" x14ac:dyDescent="0.25">
      <c r="A3845">
        <v>4</v>
      </c>
      <c r="B3845">
        <v>14</v>
      </c>
      <c r="C3845"/>
      <c r="D3845" t="s">
        <v>31</v>
      </c>
      <c r="E3845" t="s">
        <v>35</v>
      </c>
      <c r="F3845" t="s">
        <v>33</v>
      </c>
      <c r="G3845" s="118">
        <v>0.72167824074074083</v>
      </c>
      <c r="H3845" s="118">
        <v>1.3541666666666667E-3</v>
      </c>
      <c r="I3845" s="118">
        <v>5.2083333333333333E-4</v>
      </c>
      <c r="J3845"/>
      <c r="K3845"/>
    </row>
    <row r="3846" spans="1:11" x14ac:dyDescent="0.25">
      <c r="A3846">
        <v>5</v>
      </c>
      <c r="B3846">
        <v>15</v>
      </c>
      <c r="C3846"/>
      <c r="D3846" t="s">
        <v>31</v>
      </c>
      <c r="E3846" t="s">
        <v>35</v>
      </c>
      <c r="F3846" t="s">
        <v>58</v>
      </c>
      <c r="G3846" s="118">
        <v>0.72173611111111102</v>
      </c>
      <c r="H3846" s="118">
        <v>4.3981481481481481E-4</v>
      </c>
      <c r="I3846" s="118">
        <v>5.7870370370370366E-5</v>
      </c>
      <c r="J3846"/>
      <c r="K3846"/>
    </row>
    <row r="3847" spans="1:11" x14ac:dyDescent="0.25">
      <c r="A3847">
        <v>5</v>
      </c>
      <c r="B3847">
        <v>15</v>
      </c>
      <c r="C3847"/>
      <c r="D3847" t="s">
        <v>31</v>
      </c>
      <c r="E3847" t="s">
        <v>32</v>
      </c>
      <c r="F3847" t="s">
        <v>58</v>
      </c>
      <c r="G3847" s="118">
        <v>0.72179398148148144</v>
      </c>
      <c r="H3847" s="118">
        <v>5.7870370370370366E-5</v>
      </c>
      <c r="I3847" s="118">
        <v>4.8611111111111104E-4</v>
      </c>
      <c r="J3847" s="118">
        <v>5.0462962962962961E-3</v>
      </c>
      <c r="K3847" s="118">
        <v>5.0462962962962961E-3</v>
      </c>
    </row>
    <row r="3848" spans="1:11" x14ac:dyDescent="0.25">
      <c r="A3848">
        <v>1</v>
      </c>
      <c r="B3848">
        <v>14</v>
      </c>
      <c r="C3848"/>
      <c r="D3848" t="s">
        <v>31</v>
      </c>
      <c r="E3848" t="s">
        <v>35</v>
      </c>
      <c r="F3848" t="s">
        <v>45</v>
      </c>
      <c r="G3848" s="118">
        <v>0.72190972222222216</v>
      </c>
      <c r="H3848" s="118">
        <v>1.2384259259259258E-3</v>
      </c>
      <c r="I3848" s="118">
        <v>3.4722222222222224E-4</v>
      </c>
      <c r="J3848"/>
      <c r="K3848"/>
    </row>
    <row r="3849" spans="1:11" x14ac:dyDescent="0.25">
      <c r="A3849">
        <v>9</v>
      </c>
      <c r="B3849">
        <v>1</v>
      </c>
      <c r="C3849"/>
      <c r="D3849" t="s">
        <v>31</v>
      </c>
      <c r="E3849" t="s">
        <v>32</v>
      </c>
      <c r="F3849" t="s">
        <v>48</v>
      </c>
      <c r="G3849" s="118">
        <v>0.72195601851851843</v>
      </c>
      <c r="H3849" s="118">
        <v>5.2083333333333333E-4</v>
      </c>
      <c r="I3849" s="118">
        <v>8.6805555555555551E-4</v>
      </c>
      <c r="J3849" s="118">
        <v>5.0462962962962961E-3</v>
      </c>
      <c r="K3849" s="118">
        <v>5.0462962962962961E-3</v>
      </c>
    </row>
    <row r="3850" spans="1:11" x14ac:dyDescent="0.25">
      <c r="A3850">
        <v>2</v>
      </c>
      <c r="B3850">
        <v>15</v>
      </c>
      <c r="C3850"/>
      <c r="D3850" t="s">
        <v>31</v>
      </c>
      <c r="E3850" t="s">
        <v>32</v>
      </c>
      <c r="F3850" t="s">
        <v>47</v>
      </c>
      <c r="G3850" s="118">
        <v>0.72203703703703714</v>
      </c>
      <c r="H3850" s="118">
        <v>5.2083333333333333E-4</v>
      </c>
      <c r="I3850" s="118">
        <v>8.7962962962962962E-4</v>
      </c>
      <c r="J3850" s="118">
        <v>5.0462962962962961E-3</v>
      </c>
      <c r="K3850" s="118">
        <v>5.0462962962962961E-3</v>
      </c>
    </row>
    <row r="3851" spans="1:11" x14ac:dyDescent="0.25">
      <c r="A3851">
        <v>4</v>
      </c>
      <c r="B3851">
        <v>14</v>
      </c>
      <c r="C3851"/>
      <c r="D3851" t="s">
        <v>31</v>
      </c>
      <c r="E3851" t="s">
        <v>32</v>
      </c>
      <c r="F3851" t="s">
        <v>33</v>
      </c>
      <c r="G3851" s="118">
        <v>0.72219907407407413</v>
      </c>
      <c r="H3851" s="118">
        <v>5.2083333333333333E-4</v>
      </c>
      <c r="I3851" s="118">
        <v>9.6064814814814808E-4</v>
      </c>
      <c r="J3851" s="118">
        <v>5.0462962962962961E-3</v>
      </c>
      <c r="K3851" s="118">
        <v>5.0462962962962961E-3</v>
      </c>
    </row>
    <row r="3852" spans="1:11" x14ac:dyDescent="0.25">
      <c r="A3852">
        <v>1</v>
      </c>
      <c r="B3852">
        <v>14</v>
      </c>
      <c r="C3852"/>
      <c r="D3852" t="s">
        <v>31</v>
      </c>
      <c r="E3852" t="s">
        <v>32</v>
      </c>
      <c r="F3852" t="s">
        <v>45</v>
      </c>
      <c r="G3852" s="118">
        <v>0.72225694444444455</v>
      </c>
      <c r="H3852" s="118">
        <v>3.4722222222222224E-4</v>
      </c>
      <c r="I3852" s="118">
        <v>1.0416666666666667E-3</v>
      </c>
      <c r="J3852" s="118">
        <v>5.0462962962962961E-3</v>
      </c>
      <c r="K3852" s="118">
        <v>5.0462962962962961E-3</v>
      </c>
    </row>
    <row r="3853" spans="1:11" x14ac:dyDescent="0.25">
      <c r="A3853">
        <v>5</v>
      </c>
      <c r="B3853">
        <v>15</v>
      </c>
      <c r="C3853"/>
      <c r="D3853" t="s">
        <v>31</v>
      </c>
      <c r="E3853" t="s">
        <v>35</v>
      </c>
      <c r="F3853" t="s">
        <v>40</v>
      </c>
      <c r="G3853" s="118">
        <v>0.72228009259259263</v>
      </c>
      <c r="H3853" s="118">
        <v>4.8611111111111104E-4</v>
      </c>
      <c r="I3853" s="118">
        <v>4.6296296296296293E-4</v>
      </c>
      <c r="J3853"/>
      <c r="K3853"/>
    </row>
    <row r="3854" spans="1:11" x14ac:dyDescent="0.25">
      <c r="A3854">
        <v>3</v>
      </c>
      <c r="B3854">
        <v>14</v>
      </c>
      <c r="C3854"/>
      <c r="D3854" t="s">
        <v>31</v>
      </c>
      <c r="E3854" t="s">
        <v>35</v>
      </c>
      <c r="F3854" t="s">
        <v>56</v>
      </c>
      <c r="G3854" s="118">
        <v>0.72266203703703702</v>
      </c>
      <c r="H3854" s="118">
        <v>1.261574074074074E-3</v>
      </c>
      <c r="I3854" s="118">
        <v>3.4722222222222224E-4</v>
      </c>
      <c r="J3854"/>
      <c r="K3854"/>
    </row>
    <row r="3855" spans="1:11" x14ac:dyDescent="0.25">
      <c r="A3855">
        <v>5</v>
      </c>
      <c r="B3855">
        <v>15</v>
      </c>
      <c r="C3855"/>
      <c r="D3855" t="s">
        <v>31</v>
      </c>
      <c r="E3855" t="s">
        <v>32</v>
      </c>
      <c r="F3855" t="s">
        <v>40</v>
      </c>
      <c r="G3855" s="118">
        <v>0.72274305555555562</v>
      </c>
      <c r="H3855" s="118">
        <v>4.6296296296296293E-4</v>
      </c>
      <c r="I3855" s="118">
        <v>1.0069444444444444E-3</v>
      </c>
      <c r="J3855" s="118">
        <v>5.0462962962962961E-3</v>
      </c>
      <c r="K3855" s="118">
        <v>5.0462962962962961E-3</v>
      </c>
    </row>
    <row r="3856" spans="1:11" x14ac:dyDescent="0.25">
      <c r="A3856">
        <v>9</v>
      </c>
      <c r="B3856">
        <v>1</v>
      </c>
      <c r="C3856"/>
      <c r="D3856" t="s">
        <v>31</v>
      </c>
      <c r="E3856" t="s">
        <v>35</v>
      </c>
      <c r="F3856" t="s">
        <v>54</v>
      </c>
      <c r="G3856" s="118">
        <v>0.72282407407407412</v>
      </c>
      <c r="H3856" s="118">
        <v>8.6805555555555551E-4</v>
      </c>
      <c r="I3856" s="118">
        <v>3.4722222222222224E-4</v>
      </c>
      <c r="J3856"/>
      <c r="K3856"/>
    </row>
    <row r="3857" spans="1:11" x14ac:dyDescent="0.25">
      <c r="A3857">
        <v>2</v>
      </c>
      <c r="B3857">
        <v>15</v>
      </c>
      <c r="C3857"/>
      <c r="D3857" t="s">
        <v>31</v>
      </c>
      <c r="E3857" t="s">
        <v>35</v>
      </c>
      <c r="F3857" t="s">
        <v>53</v>
      </c>
      <c r="G3857" s="118">
        <v>0.72291666666666676</v>
      </c>
      <c r="H3857" s="118">
        <v>8.7962962962962962E-4</v>
      </c>
      <c r="I3857" s="118">
        <v>3.4722222222222224E-4</v>
      </c>
      <c r="J3857"/>
      <c r="K3857"/>
    </row>
    <row r="3858" spans="1:11" x14ac:dyDescent="0.25">
      <c r="A3858">
        <v>3</v>
      </c>
      <c r="B3858">
        <v>14</v>
      </c>
      <c r="C3858"/>
      <c r="D3858" t="s">
        <v>31</v>
      </c>
      <c r="E3858" t="s">
        <v>32</v>
      </c>
      <c r="F3858" t="s">
        <v>56</v>
      </c>
      <c r="G3858" s="118">
        <v>0.7230092592592593</v>
      </c>
      <c r="H3858" s="118">
        <v>3.4722222222222224E-4</v>
      </c>
      <c r="I3858" s="118">
        <v>9.6064814814814808E-4</v>
      </c>
      <c r="J3858" s="118">
        <v>5.0462962962962961E-3</v>
      </c>
      <c r="K3858" s="118">
        <v>5.0462962962962961E-3</v>
      </c>
    </row>
    <row r="3859" spans="1:11" x14ac:dyDescent="0.25">
      <c r="A3859">
        <v>4</v>
      </c>
      <c r="B3859">
        <v>14</v>
      </c>
      <c r="C3859"/>
      <c r="D3859" t="s">
        <v>31</v>
      </c>
      <c r="E3859" t="s">
        <v>35</v>
      </c>
      <c r="F3859" t="s">
        <v>36</v>
      </c>
      <c r="G3859" s="118">
        <v>0.72315972222222225</v>
      </c>
      <c r="H3859" s="118">
        <v>9.6064814814814808E-4</v>
      </c>
      <c r="I3859" s="118">
        <v>3.4722222222222224E-4</v>
      </c>
      <c r="J3859"/>
      <c r="K3859"/>
    </row>
    <row r="3860" spans="1:11" x14ac:dyDescent="0.25">
      <c r="A3860">
        <v>9</v>
      </c>
      <c r="B3860">
        <v>1</v>
      </c>
      <c r="C3860"/>
      <c r="D3860" t="s">
        <v>31</v>
      </c>
      <c r="E3860" t="s">
        <v>32</v>
      </c>
      <c r="F3860" t="s">
        <v>54</v>
      </c>
      <c r="G3860" s="118">
        <v>0.72317129629629628</v>
      </c>
      <c r="H3860" s="118">
        <v>3.4722222222222224E-4</v>
      </c>
      <c r="I3860" s="118">
        <v>6.5972222222222213E-4</v>
      </c>
      <c r="J3860" s="118">
        <v>5.0462962962962961E-3</v>
      </c>
      <c r="K3860" s="118">
        <v>5.0462962962962961E-3</v>
      </c>
    </row>
    <row r="3861" spans="1:11" x14ac:dyDescent="0.25">
      <c r="A3861">
        <v>2</v>
      </c>
      <c r="B3861">
        <v>15</v>
      </c>
      <c r="C3861"/>
      <c r="D3861" t="s">
        <v>31</v>
      </c>
      <c r="E3861" t="s">
        <v>32</v>
      </c>
      <c r="F3861" t="s">
        <v>53</v>
      </c>
      <c r="G3861" s="118">
        <v>0.72326388888888893</v>
      </c>
      <c r="H3861" s="118">
        <v>3.4722222222222224E-4</v>
      </c>
      <c r="I3861" s="118">
        <v>8.449074074074075E-4</v>
      </c>
      <c r="J3861" s="118">
        <v>5.0462962962962961E-3</v>
      </c>
      <c r="K3861" s="118">
        <v>5.0462962962962961E-3</v>
      </c>
    </row>
    <row r="3862" spans="1:11" x14ac:dyDescent="0.25">
      <c r="A3862">
        <v>8</v>
      </c>
      <c r="B3862">
        <v>2</v>
      </c>
      <c r="C3862"/>
      <c r="D3862" t="s">
        <v>31</v>
      </c>
      <c r="E3862" t="s">
        <v>35</v>
      </c>
      <c r="F3862" t="s">
        <v>46</v>
      </c>
      <c r="G3862" s="118">
        <v>0.72326388888888893</v>
      </c>
      <c r="H3862" s="118">
        <v>1.8055555555555557E-3</v>
      </c>
      <c r="I3862" s="118">
        <v>3.4722222222222224E-4</v>
      </c>
      <c r="J3862"/>
      <c r="K3862"/>
    </row>
    <row r="3863" spans="1:11" x14ac:dyDescent="0.25">
      <c r="A3863">
        <v>1</v>
      </c>
      <c r="B3863">
        <v>14</v>
      </c>
      <c r="C3863"/>
      <c r="D3863" t="s">
        <v>31</v>
      </c>
      <c r="E3863" t="s">
        <v>35</v>
      </c>
      <c r="F3863" t="s">
        <v>52</v>
      </c>
      <c r="G3863" s="118">
        <v>0.72329861111111116</v>
      </c>
      <c r="H3863" s="118">
        <v>1.0416666666666667E-3</v>
      </c>
      <c r="I3863" s="118">
        <v>3.4722222222222224E-4</v>
      </c>
      <c r="J3863"/>
      <c r="K3863"/>
    </row>
    <row r="3864" spans="1:11" x14ac:dyDescent="0.25">
      <c r="A3864">
        <v>4</v>
      </c>
      <c r="B3864">
        <v>14</v>
      </c>
      <c r="C3864"/>
      <c r="D3864" t="s">
        <v>31</v>
      </c>
      <c r="E3864" t="s">
        <v>32</v>
      </c>
      <c r="F3864" t="s">
        <v>36</v>
      </c>
      <c r="G3864" s="118">
        <v>0.72350694444444441</v>
      </c>
      <c r="H3864" s="118">
        <v>3.4722222222222224E-4</v>
      </c>
      <c r="I3864" s="118">
        <v>1.0995370370370371E-3</v>
      </c>
      <c r="J3864" s="118">
        <v>5.0462962962962961E-3</v>
      </c>
      <c r="K3864" s="118">
        <v>5.0462962962962961E-3</v>
      </c>
    </row>
    <row r="3865" spans="1:11" x14ac:dyDescent="0.25">
      <c r="A3865">
        <v>8</v>
      </c>
      <c r="B3865">
        <v>2</v>
      </c>
      <c r="C3865"/>
      <c r="D3865" t="s">
        <v>31</v>
      </c>
      <c r="E3865" t="s">
        <v>32</v>
      </c>
      <c r="F3865" t="s">
        <v>46</v>
      </c>
      <c r="G3865" s="118">
        <v>0.72361111111111109</v>
      </c>
      <c r="H3865" s="118">
        <v>3.4722222222222224E-4</v>
      </c>
      <c r="I3865" s="118">
        <v>9.1435185185185185E-4</v>
      </c>
      <c r="J3865" s="118">
        <v>5.0462962962962961E-3</v>
      </c>
      <c r="K3865" s="118">
        <v>5.0462962962962961E-3</v>
      </c>
    </row>
    <row r="3866" spans="1:11" x14ac:dyDescent="0.25">
      <c r="A3866">
        <v>1</v>
      </c>
      <c r="B3866">
        <v>14</v>
      </c>
      <c r="C3866"/>
      <c r="D3866" t="s">
        <v>31</v>
      </c>
      <c r="E3866" t="s">
        <v>32</v>
      </c>
      <c r="F3866" t="s">
        <v>52</v>
      </c>
      <c r="G3866" s="118">
        <v>0.72364583333333332</v>
      </c>
      <c r="H3866" s="118">
        <v>3.4722222222222224E-4</v>
      </c>
      <c r="I3866" s="118">
        <v>1.0532407407407407E-3</v>
      </c>
      <c r="J3866" s="118">
        <v>5.0462962962962961E-3</v>
      </c>
      <c r="K3866" s="118">
        <v>5.0462962962962961E-3</v>
      </c>
    </row>
    <row r="3867" spans="1:11" x14ac:dyDescent="0.25">
      <c r="A3867">
        <v>5</v>
      </c>
      <c r="B3867">
        <v>15</v>
      </c>
      <c r="C3867"/>
      <c r="D3867" t="s">
        <v>31</v>
      </c>
      <c r="E3867" t="s">
        <v>35</v>
      </c>
      <c r="F3867" t="s">
        <v>44</v>
      </c>
      <c r="G3867" s="118">
        <v>0.72375</v>
      </c>
      <c r="H3867" s="118">
        <v>1.0069444444444444E-3</v>
      </c>
      <c r="I3867" s="118">
        <v>3.4722222222222224E-4</v>
      </c>
      <c r="J3867"/>
      <c r="K3867"/>
    </row>
    <row r="3868" spans="1:11" x14ac:dyDescent="0.25">
      <c r="A3868">
        <v>9</v>
      </c>
      <c r="B3868">
        <v>1</v>
      </c>
      <c r="C3868"/>
      <c r="D3868" t="s">
        <v>31</v>
      </c>
      <c r="E3868" t="s">
        <v>35</v>
      </c>
      <c r="F3868" t="s">
        <v>92</v>
      </c>
      <c r="G3868" s="118">
        <v>0.7238310185185185</v>
      </c>
      <c r="H3868" s="118">
        <v>6.5972222222222213E-4</v>
      </c>
      <c r="I3868" s="118">
        <v>5.2083333333333333E-4</v>
      </c>
      <c r="J3868"/>
      <c r="K3868"/>
    </row>
    <row r="3869" spans="1:11" x14ac:dyDescent="0.25">
      <c r="A3869">
        <v>3</v>
      </c>
      <c r="B3869">
        <v>14</v>
      </c>
      <c r="C3869"/>
      <c r="D3869" t="s">
        <v>31</v>
      </c>
      <c r="E3869" t="s">
        <v>35</v>
      </c>
      <c r="F3869" t="s">
        <v>37</v>
      </c>
      <c r="G3869" s="118">
        <v>0.72396990740740741</v>
      </c>
      <c r="H3869" s="118">
        <v>9.6064814814814808E-4</v>
      </c>
      <c r="I3869" s="118">
        <v>3.4722222222222224E-4</v>
      </c>
      <c r="J3869"/>
      <c r="K3869"/>
    </row>
    <row r="3870" spans="1:11" x14ac:dyDescent="0.25">
      <c r="A3870">
        <v>5</v>
      </c>
      <c r="B3870">
        <v>15</v>
      </c>
      <c r="C3870"/>
      <c r="D3870" t="s">
        <v>31</v>
      </c>
      <c r="E3870" t="s">
        <v>32</v>
      </c>
      <c r="F3870" t="s">
        <v>44</v>
      </c>
      <c r="G3870" s="118">
        <v>0.72409722222222228</v>
      </c>
      <c r="H3870" s="118">
        <v>3.4722222222222224E-4</v>
      </c>
      <c r="I3870" s="118">
        <v>9.2592592592592585E-4</v>
      </c>
      <c r="J3870" s="118">
        <v>5.0462962962962961E-3</v>
      </c>
      <c r="K3870" s="118">
        <v>5.0462962962962961E-3</v>
      </c>
    </row>
    <row r="3871" spans="1:11" x14ac:dyDescent="0.25">
      <c r="A3871">
        <v>2</v>
      </c>
      <c r="B3871">
        <v>15</v>
      </c>
      <c r="C3871"/>
      <c r="D3871" t="s">
        <v>31</v>
      </c>
      <c r="E3871" t="s">
        <v>35</v>
      </c>
      <c r="F3871" t="s">
        <v>34</v>
      </c>
      <c r="G3871" s="118">
        <v>0.72410879629629632</v>
      </c>
      <c r="H3871" s="118">
        <v>8.449074074074075E-4</v>
      </c>
      <c r="I3871" s="118">
        <v>3.4722222222222224E-4</v>
      </c>
      <c r="J3871"/>
      <c r="K3871"/>
    </row>
    <row r="3872" spans="1:11" x14ac:dyDescent="0.25">
      <c r="A3872">
        <v>3</v>
      </c>
      <c r="B3872">
        <v>14</v>
      </c>
      <c r="C3872"/>
      <c r="D3872" t="s">
        <v>31</v>
      </c>
      <c r="E3872" t="s">
        <v>32</v>
      </c>
      <c r="F3872" t="s">
        <v>37</v>
      </c>
      <c r="G3872" s="118">
        <v>0.72431712962962969</v>
      </c>
      <c r="H3872" s="118">
        <v>3.4722222222222224E-4</v>
      </c>
      <c r="I3872" s="118">
        <v>9.0277777777777784E-4</v>
      </c>
      <c r="J3872" s="118">
        <v>5.0462962962962961E-3</v>
      </c>
      <c r="K3872" s="118">
        <v>5.0462962962962961E-3</v>
      </c>
    </row>
    <row r="3873" spans="1:11" x14ac:dyDescent="0.25">
      <c r="A3873">
        <v>9</v>
      </c>
      <c r="B3873">
        <v>2</v>
      </c>
      <c r="C3873"/>
      <c r="D3873" t="s">
        <v>31</v>
      </c>
      <c r="E3873" t="s">
        <v>32</v>
      </c>
      <c r="F3873" t="s">
        <v>92</v>
      </c>
      <c r="G3873" s="118">
        <v>0.7243518518518518</v>
      </c>
      <c r="H3873" s="118">
        <v>5.2083333333333333E-4</v>
      </c>
      <c r="I3873" s="118">
        <v>1.0069444444444444E-3</v>
      </c>
      <c r="J3873" s="118">
        <v>5.0462962962962961E-3</v>
      </c>
      <c r="K3873" s="118">
        <v>5.0462962962962961E-3</v>
      </c>
    </row>
    <row r="3874" spans="1:11" x14ac:dyDescent="0.25">
      <c r="A3874">
        <v>2</v>
      </c>
      <c r="B3874">
        <v>15</v>
      </c>
      <c r="C3874"/>
      <c r="D3874" t="s">
        <v>31</v>
      </c>
      <c r="E3874" t="s">
        <v>32</v>
      </c>
      <c r="F3874" t="s">
        <v>34</v>
      </c>
      <c r="G3874" s="118">
        <v>0.7244560185185186</v>
      </c>
      <c r="H3874" s="118">
        <v>3.4722222222222224E-4</v>
      </c>
      <c r="I3874" s="118">
        <v>9.1435185185185185E-4</v>
      </c>
      <c r="J3874" s="118">
        <v>5.0462962962962961E-3</v>
      </c>
      <c r="K3874" s="118">
        <v>5.0462962962962961E-3</v>
      </c>
    </row>
    <row r="3875" spans="1:11" x14ac:dyDescent="0.25">
      <c r="A3875">
        <v>8</v>
      </c>
      <c r="B3875">
        <v>2</v>
      </c>
      <c r="C3875"/>
      <c r="D3875" t="s">
        <v>31</v>
      </c>
      <c r="E3875" t="s">
        <v>35</v>
      </c>
      <c r="F3875" t="s">
        <v>51</v>
      </c>
      <c r="G3875" s="118">
        <v>0.72452546296296294</v>
      </c>
      <c r="H3875" s="118">
        <v>9.1435185185185185E-4</v>
      </c>
      <c r="I3875" s="118">
        <v>3.4722222222222224E-4</v>
      </c>
      <c r="J3875"/>
      <c r="K3875"/>
    </row>
    <row r="3876" spans="1:11" x14ac:dyDescent="0.25">
      <c r="A3876">
        <v>4</v>
      </c>
      <c r="B3876">
        <v>14</v>
      </c>
      <c r="C3876"/>
      <c r="D3876" t="s">
        <v>31</v>
      </c>
      <c r="E3876" t="s">
        <v>35</v>
      </c>
      <c r="F3876" t="s">
        <v>43</v>
      </c>
      <c r="G3876" s="118">
        <v>0.72460648148148143</v>
      </c>
      <c r="H3876" s="118">
        <v>1.0995370370370371E-3</v>
      </c>
      <c r="I3876" s="118">
        <v>3.4722222222222224E-4</v>
      </c>
      <c r="J3876"/>
      <c r="K3876"/>
    </row>
    <row r="3877" spans="1:11" x14ac:dyDescent="0.25">
      <c r="A3877">
        <v>1</v>
      </c>
      <c r="B3877">
        <v>14</v>
      </c>
      <c r="C3877"/>
      <c r="D3877" t="s">
        <v>31</v>
      </c>
      <c r="E3877" t="s">
        <v>35</v>
      </c>
      <c r="F3877" t="s">
        <v>57</v>
      </c>
      <c r="G3877" s="118">
        <v>0.72469907407407408</v>
      </c>
      <c r="H3877" s="118">
        <v>1.0532407407407407E-3</v>
      </c>
      <c r="I3877" s="118">
        <v>3.4722222222222224E-4</v>
      </c>
      <c r="J3877"/>
      <c r="K3877"/>
    </row>
    <row r="3878" spans="1:11" x14ac:dyDescent="0.25">
      <c r="A3878">
        <v>8</v>
      </c>
      <c r="B3878">
        <v>2</v>
      </c>
      <c r="C3878"/>
      <c r="D3878" t="s">
        <v>31</v>
      </c>
      <c r="E3878" t="s">
        <v>32</v>
      </c>
      <c r="F3878" t="s">
        <v>51</v>
      </c>
      <c r="G3878" s="118">
        <v>0.72487268518518511</v>
      </c>
      <c r="H3878" s="118">
        <v>3.4722222222222224E-4</v>
      </c>
      <c r="I3878" s="118">
        <v>1.0069444444444444E-3</v>
      </c>
      <c r="J3878" s="118">
        <v>5.0462962962962961E-3</v>
      </c>
      <c r="K3878" s="118">
        <v>5.0462962962962961E-3</v>
      </c>
    </row>
    <row r="3879" spans="1:11" x14ac:dyDescent="0.25">
      <c r="A3879">
        <v>4</v>
      </c>
      <c r="B3879">
        <v>14</v>
      </c>
      <c r="C3879"/>
      <c r="D3879" t="s">
        <v>31</v>
      </c>
      <c r="E3879" t="s">
        <v>32</v>
      </c>
      <c r="F3879" t="s">
        <v>43</v>
      </c>
      <c r="G3879" s="118">
        <v>0.7249537037037036</v>
      </c>
      <c r="H3879" s="118">
        <v>3.4722222222222224E-4</v>
      </c>
      <c r="I3879" s="118">
        <v>1.1458333333333333E-3</v>
      </c>
      <c r="J3879" s="118">
        <v>5.0462962962962961E-3</v>
      </c>
      <c r="K3879" s="118">
        <v>5.0462962962962961E-3</v>
      </c>
    </row>
    <row r="3880" spans="1:11" x14ac:dyDescent="0.25">
      <c r="A3880">
        <v>5</v>
      </c>
      <c r="B3880">
        <v>15</v>
      </c>
      <c r="C3880"/>
      <c r="D3880" t="s">
        <v>31</v>
      </c>
      <c r="E3880" t="s">
        <v>35</v>
      </c>
      <c r="F3880" t="s">
        <v>49</v>
      </c>
      <c r="G3880" s="118">
        <v>0.72502314814814817</v>
      </c>
      <c r="H3880" s="118">
        <v>9.2592592592592585E-4</v>
      </c>
      <c r="I3880" s="118">
        <v>3.4722222222222224E-4</v>
      </c>
      <c r="J3880"/>
      <c r="K3880"/>
    </row>
    <row r="3881" spans="1:11" x14ac:dyDescent="0.25">
      <c r="A3881">
        <v>1</v>
      </c>
      <c r="B3881">
        <v>14</v>
      </c>
      <c r="C3881"/>
      <c r="D3881" t="s">
        <v>31</v>
      </c>
      <c r="E3881" t="s">
        <v>32</v>
      </c>
      <c r="F3881" t="s">
        <v>57</v>
      </c>
      <c r="G3881" s="118">
        <v>0.72504629629629624</v>
      </c>
      <c r="H3881" s="118">
        <v>3.4722222222222224E-4</v>
      </c>
      <c r="I3881" s="118">
        <v>9.3750000000000007E-4</v>
      </c>
      <c r="J3881" s="118">
        <v>5.0462962962962961E-3</v>
      </c>
      <c r="K3881" s="118">
        <v>5.0462962962962961E-3</v>
      </c>
    </row>
    <row r="3882" spans="1:11" x14ac:dyDescent="0.25">
      <c r="A3882">
        <v>3</v>
      </c>
      <c r="B3882">
        <v>14</v>
      </c>
      <c r="C3882"/>
      <c r="D3882" t="s">
        <v>31</v>
      </c>
      <c r="E3882" t="s">
        <v>35</v>
      </c>
      <c r="F3882" t="s">
        <v>42</v>
      </c>
      <c r="G3882" s="118">
        <v>0.72521990740740738</v>
      </c>
      <c r="H3882" s="118">
        <v>9.0277777777777784E-4</v>
      </c>
      <c r="I3882" s="118">
        <v>3.4722222222222224E-4</v>
      </c>
      <c r="J3882"/>
      <c r="K3882"/>
    </row>
    <row r="3883" spans="1:11" x14ac:dyDescent="0.25">
      <c r="A3883">
        <v>9</v>
      </c>
      <c r="B3883">
        <v>2</v>
      </c>
      <c r="C3883"/>
      <c r="D3883" t="s">
        <v>31</v>
      </c>
      <c r="E3883" t="s">
        <v>35</v>
      </c>
      <c r="F3883" t="s">
        <v>41</v>
      </c>
      <c r="G3883" s="118">
        <v>0.72535879629629629</v>
      </c>
      <c r="H3883" s="118">
        <v>1.0069444444444444E-3</v>
      </c>
      <c r="I3883" s="118">
        <v>3.4722222222222224E-4</v>
      </c>
      <c r="J3883"/>
      <c r="K3883"/>
    </row>
    <row r="3884" spans="1:11" x14ac:dyDescent="0.25">
      <c r="A3884">
        <v>2</v>
      </c>
      <c r="B3884">
        <v>15</v>
      </c>
      <c r="C3884"/>
      <c r="D3884" t="s">
        <v>31</v>
      </c>
      <c r="E3884" t="s">
        <v>35</v>
      </c>
      <c r="F3884" t="s">
        <v>38</v>
      </c>
      <c r="G3884" s="118">
        <v>0.72537037037037033</v>
      </c>
      <c r="H3884" s="118">
        <v>9.1435185185185185E-4</v>
      </c>
      <c r="I3884" s="118">
        <v>3.4722222222222224E-4</v>
      </c>
      <c r="J3884"/>
      <c r="K3884"/>
    </row>
    <row r="3885" spans="1:11" x14ac:dyDescent="0.25">
      <c r="A3885">
        <v>5</v>
      </c>
      <c r="B3885">
        <v>15</v>
      </c>
      <c r="C3885"/>
      <c r="D3885" t="s">
        <v>31</v>
      </c>
      <c r="E3885" t="s">
        <v>32</v>
      </c>
      <c r="F3885" t="s">
        <v>49</v>
      </c>
      <c r="G3885" s="118">
        <v>0.72537037037037033</v>
      </c>
      <c r="H3885" s="118">
        <v>3.4722222222222224E-4</v>
      </c>
      <c r="I3885" s="118">
        <v>1.3541666666666667E-3</v>
      </c>
      <c r="J3885" s="118">
        <v>5.0462962962962961E-3</v>
      </c>
      <c r="K3885" s="118">
        <v>5.0462962962962961E-3</v>
      </c>
    </row>
    <row r="3886" spans="1:11" x14ac:dyDescent="0.25">
      <c r="A3886">
        <v>3</v>
      </c>
      <c r="B3886">
        <v>14</v>
      </c>
      <c r="C3886"/>
      <c r="D3886" t="s">
        <v>31</v>
      </c>
      <c r="E3886" t="s">
        <v>32</v>
      </c>
      <c r="F3886" t="s">
        <v>42</v>
      </c>
      <c r="G3886" s="118">
        <v>0.72556712962962966</v>
      </c>
      <c r="H3886" s="118">
        <v>3.4722222222222224E-4</v>
      </c>
      <c r="I3886" s="118">
        <v>9.1435185185185185E-4</v>
      </c>
      <c r="J3886" s="118">
        <v>5.0462962962962961E-3</v>
      </c>
      <c r="K3886" s="118">
        <v>5.0462962962962961E-3</v>
      </c>
    </row>
    <row r="3887" spans="1:11" x14ac:dyDescent="0.25">
      <c r="A3887">
        <v>9</v>
      </c>
      <c r="B3887">
        <v>2</v>
      </c>
      <c r="C3887"/>
      <c r="D3887" t="s">
        <v>31</v>
      </c>
      <c r="E3887" t="s">
        <v>32</v>
      </c>
      <c r="F3887" t="s">
        <v>41</v>
      </c>
      <c r="G3887" s="118">
        <v>0.72570601851851846</v>
      </c>
      <c r="H3887" s="118">
        <v>3.4722222222222224E-4</v>
      </c>
      <c r="I3887" s="118">
        <v>8.564814814814815E-4</v>
      </c>
      <c r="J3887" s="118">
        <v>5.0462962962962961E-3</v>
      </c>
      <c r="K3887" s="118">
        <v>5.0462962962962961E-3</v>
      </c>
    </row>
    <row r="3888" spans="1:11" x14ac:dyDescent="0.25">
      <c r="A3888">
        <v>2</v>
      </c>
      <c r="B3888">
        <v>15</v>
      </c>
      <c r="C3888"/>
      <c r="D3888" t="s">
        <v>31</v>
      </c>
      <c r="E3888" t="s">
        <v>32</v>
      </c>
      <c r="F3888" t="s">
        <v>38</v>
      </c>
      <c r="G3888" s="118">
        <v>0.72571759259259261</v>
      </c>
      <c r="H3888" s="118">
        <v>3.4722222222222224E-4</v>
      </c>
      <c r="I3888" s="118">
        <v>1.2384259259259258E-3</v>
      </c>
      <c r="J3888" s="118">
        <v>5.0462962962962961E-3</v>
      </c>
      <c r="K3888" s="118">
        <v>5.0462962962962961E-3</v>
      </c>
    </row>
    <row r="3889" spans="1:11" x14ac:dyDescent="0.25">
      <c r="A3889">
        <v>8</v>
      </c>
      <c r="B3889">
        <v>2</v>
      </c>
      <c r="C3889"/>
      <c r="D3889" t="s">
        <v>31</v>
      </c>
      <c r="E3889" t="s">
        <v>35</v>
      </c>
      <c r="F3889" t="s">
        <v>55</v>
      </c>
      <c r="G3889" s="118">
        <v>0.7258796296296296</v>
      </c>
      <c r="H3889" s="118">
        <v>1.0069444444444444E-3</v>
      </c>
      <c r="I3889" s="118">
        <v>4.6296296296296293E-4</v>
      </c>
      <c r="J3889"/>
      <c r="K3889"/>
    </row>
    <row r="3890" spans="1:11" x14ac:dyDescent="0.25">
      <c r="A3890">
        <v>1</v>
      </c>
      <c r="B3890">
        <v>14</v>
      </c>
      <c r="C3890"/>
      <c r="D3890" t="s">
        <v>31</v>
      </c>
      <c r="E3890" t="s">
        <v>35</v>
      </c>
      <c r="F3890" t="s">
        <v>39</v>
      </c>
      <c r="G3890" s="118">
        <v>0.72598379629629628</v>
      </c>
      <c r="H3890" s="118">
        <v>9.3750000000000007E-4</v>
      </c>
      <c r="I3890" s="118">
        <v>5.2083333333333333E-4</v>
      </c>
      <c r="J3890"/>
      <c r="K3890"/>
    </row>
    <row r="3891" spans="1:11" x14ac:dyDescent="0.25">
      <c r="A3891">
        <v>4</v>
      </c>
      <c r="B3891">
        <v>14</v>
      </c>
      <c r="C3891"/>
      <c r="D3891" t="s">
        <v>31</v>
      </c>
      <c r="E3891" t="s">
        <v>35</v>
      </c>
      <c r="F3891" t="s">
        <v>50</v>
      </c>
      <c r="G3891" s="118">
        <v>0.726099537037037</v>
      </c>
      <c r="H3891" s="118">
        <v>1.1458333333333333E-3</v>
      </c>
      <c r="I3891" s="118">
        <v>3.4722222222222224E-4</v>
      </c>
      <c r="J3891"/>
      <c r="K3891"/>
    </row>
    <row r="3892" spans="1:11" x14ac:dyDescent="0.25">
      <c r="A3892">
        <v>8</v>
      </c>
      <c r="B3892">
        <v>2</v>
      </c>
      <c r="C3892"/>
      <c r="D3892" t="s">
        <v>31</v>
      </c>
      <c r="E3892" t="s">
        <v>32</v>
      </c>
      <c r="F3892" t="s">
        <v>55</v>
      </c>
      <c r="G3892" s="118">
        <v>0.7263425925925926</v>
      </c>
      <c r="H3892" s="118">
        <v>4.6296296296296293E-4</v>
      </c>
      <c r="I3892" s="118">
        <v>4.3981481481481481E-4</v>
      </c>
      <c r="J3892" s="118">
        <v>5.0462962962962961E-3</v>
      </c>
      <c r="K3892" s="118">
        <v>5.0462962962962961E-3</v>
      </c>
    </row>
    <row r="3893" spans="1:11" x14ac:dyDescent="0.25">
      <c r="A3893">
        <v>4</v>
      </c>
      <c r="B3893">
        <v>14</v>
      </c>
      <c r="C3893"/>
      <c r="D3893" t="s">
        <v>31</v>
      </c>
      <c r="E3893" t="s">
        <v>32</v>
      </c>
      <c r="F3893" t="s">
        <v>50</v>
      </c>
      <c r="G3893" s="118">
        <v>0.72644675925925928</v>
      </c>
      <c r="H3893" s="118">
        <v>3.4722222222222224E-4</v>
      </c>
      <c r="I3893" s="118">
        <v>1.261574074074074E-3</v>
      </c>
      <c r="J3893" s="118">
        <v>5.0462962962962961E-3</v>
      </c>
      <c r="K3893" s="118">
        <v>5.0462962962962961E-3</v>
      </c>
    </row>
    <row r="3894" spans="1:11" x14ac:dyDescent="0.25">
      <c r="A3894">
        <v>3</v>
      </c>
      <c r="B3894">
        <v>14</v>
      </c>
      <c r="C3894"/>
      <c r="D3894" t="s">
        <v>31</v>
      </c>
      <c r="E3894" t="s">
        <v>35</v>
      </c>
      <c r="F3894" t="s">
        <v>48</v>
      </c>
      <c r="G3894" s="118">
        <v>0.72648148148148151</v>
      </c>
      <c r="H3894" s="118">
        <v>9.1435185185185185E-4</v>
      </c>
      <c r="I3894" s="118">
        <v>5.2083333333333333E-4</v>
      </c>
      <c r="J3894"/>
      <c r="K3894"/>
    </row>
    <row r="3895" spans="1:11" x14ac:dyDescent="0.25">
      <c r="A3895">
        <v>1</v>
      </c>
      <c r="B3895">
        <v>14</v>
      </c>
      <c r="C3895"/>
      <c r="D3895" t="s">
        <v>31</v>
      </c>
      <c r="E3895" t="s">
        <v>32</v>
      </c>
      <c r="F3895" t="s">
        <v>39</v>
      </c>
      <c r="G3895" s="118">
        <v>0.72650462962962958</v>
      </c>
      <c r="H3895" s="118">
        <v>5.2083333333333333E-4</v>
      </c>
      <c r="I3895" s="118">
        <v>1.8055555555555557E-3</v>
      </c>
      <c r="J3895" s="118">
        <v>5.0462962962962961E-3</v>
      </c>
      <c r="K3895" s="118">
        <v>5.0462962962962961E-3</v>
      </c>
    </row>
    <row r="3896" spans="1:11" x14ac:dyDescent="0.25">
      <c r="A3896">
        <v>9</v>
      </c>
      <c r="B3896">
        <v>2</v>
      </c>
      <c r="C3896"/>
      <c r="D3896" t="s">
        <v>31</v>
      </c>
      <c r="E3896" t="s">
        <v>35</v>
      </c>
      <c r="F3896" t="s">
        <v>47</v>
      </c>
      <c r="G3896" s="118">
        <v>0.7265625</v>
      </c>
      <c r="H3896" s="118">
        <v>8.564814814814815E-4</v>
      </c>
      <c r="I3896" s="118">
        <v>5.2083333333333333E-4</v>
      </c>
      <c r="J3896"/>
      <c r="K3896"/>
    </row>
    <row r="3897" spans="1:11" x14ac:dyDescent="0.25">
      <c r="A3897">
        <v>5</v>
      </c>
      <c r="B3897">
        <v>15</v>
      </c>
      <c r="C3897"/>
      <c r="D3897" t="s">
        <v>31</v>
      </c>
      <c r="E3897" t="s">
        <v>35</v>
      </c>
      <c r="F3897" t="s">
        <v>33</v>
      </c>
      <c r="G3897" s="118">
        <v>0.72672453703703699</v>
      </c>
      <c r="H3897" s="118">
        <v>1.3541666666666667E-3</v>
      </c>
      <c r="I3897" s="118">
        <v>5.2083333333333333E-4</v>
      </c>
      <c r="J3897"/>
      <c r="K3897"/>
    </row>
    <row r="3898" spans="1:11" x14ac:dyDescent="0.25">
      <c r="A3898">
        <v>8</v>
      </c>
      <c r="B3898">
        <v>2</v>
      </c>
      <c r="C3898"/>
      <c r="D3898" t="s">
        <v>31</v>
      </c>
      <c r="E3898" t="s">
        <v>35</v>
      </c>
      <c r="F3898" t="s">
        <v>58</v>
      </c>
      <c r="G3898" s="118">
        <v>0.7267824074074074</v>
      </c>
      <c r="H3898" s="118">
        <v>4.3981481481481481E-4</v>
      </c>
      <c r="I3898" s="118">
        <v>5.7870370370370366E-5</v>
      </c>
      <c r="J3898"/>
      <c r="K3898"/>
    </row>
    <row r="3899" spans="1:11" x14ac:dyDescent="0.25">
      <c r="A3899">
        <v>8</v>
      </c>
      <c r="B3899">
        <v>2</v>
      </c>
      <c r="C3899"/>
      <c r="D3899" t="s">
        <v>31</v>
      </c>
      <c r="E3899" t="s">
        <v>32</v>
      </c>
      <c r="F3899" t="s">
        <v>58</v>
      </c>
      <c r="G3899" s="118">
        <v>0.72684027777777782</v>
      </c>
      <c r="H3899" s="118">
        <v>5.7870370370370366E-5</v>
      </c>
      <c r="I3899" s="118">
        <v>4.8611111111111104E-4</v>
      </c>
      <c r="J3899" s="118">
        <v>5.0462962962962961E-3</v>
      </c>
      <c r="K3899" s="118">
        <v>5.0462962962962961E-3</v>
      </c>
    </row>
    <row r="3900" spans="1:11" x14ac:dyDescent="0.25">
      <c r="A3900">
        <v>2</v>
      </c>
      <c r="B3900">
        <v>15</v>
      </c>
      <c r="C3900"/>
      <c r="D3900" t="s">
        <v>31</v>
      </c>
      <c r="E3900" t="s">
        <v>35</v>
      </c>
      <c r="F3900" t="s">
        <v>45</v>
      </c>
      <c r="G3900" s="118">
        <v>0.72695601851851854</v>
      </c>
      <c r="H3900" s="118">
        <v>1.2384259259259258E-3</v>
      </c>
      <c r="I3900" s="118">
        <v>3.4722222222222224E-4</v>
      </c>
      <c r="J3900"/>
      <c r="K3900"/>
    </row>
    <row r="3901" spans="1:11" x14ac:dyDescent="0.25">
      <c r="A3901">
        <v>3</v>
      </c>
      <c r="B3901">
        <v>14</v>
      </c>
      <c r="C3901"/>
      <c r="D3901" t="s">
        <v>31</v>
      </c>
      <c r="E3901" t="s">
        <v>32</v>
      </c>
      <c r="F3901" t="s">
        <v>48</v>
      </c>
      <c r="G3901" s="118">
        <v>0.72700231481481481</v>
      </c>
      <c r="H3901" s="118">
        <v>5.2083333333333333E-4</v>
      </c>
      <c r="I3901" s="118">
        <v>8.6805555555555551E-4</v>
      </c>
      <c r="J3901" s="118">
        <v>5.0462962962962961E-3</v>
      </c>
      <c r="K3901" s="118">
        <v>5.0462962962962961E-3</v>
      </c>
    </row>
    <row r="3902" spans="1:11" x14ac:dyDescent="0.25">
      <c r="A3902">
        <v>9</v>
      </c>
      <c r="B3902">
        <v>2</v>
      </c>
      <c r="C3902"/>
      <c r="D3902" t="s">
        <v>31</v>
      </c>
      <c r="E3902" t="s">
        <v>32</v>
      </c>
      <c r="F3902" t="s">
        <v>47</v>
      </c>
      <c r="G3902" s="118">
        <v>0.7270833333333333</v>
      </c>
      <c r="H3902" s="118">
        <v>5.2083333333333333E-4</v>
      </c>
      <c r="I3902" s="118">
        <v>8.7962962962962962E-4</v>
      </c>
      <c r="J3902" s="118">
        <v>5.0462962962962961E-3</v>
      </c>
      <c r="K3902" s="118">
        <v>5.0462962962962961E-3</v>
      </c>
    </row>
    <row r="3903" spans="1:11" x14ac:dyDescent="0.25">
      <c r="A3903">
        <v>5</v>
      </c>
      <c r="B3903">
        <v>15</v>
      </c>
      <c r="C3903"/>
      <c r="D3903" t="s">
        <v>31</v>
      </c>
      <c r="E3903" t="s">
        <v>32</v>
      </c>
      <c r="F3903" t="s">
        <v>33</v>
      </c>
      <c r="G3903" s="118">
        <v>0.7272453703703704</v>
      </c>
      <c r="H3903" s="118">
        <v>5.2083333333333333E-4</v>
      </c>
      <c r="I3903" s="118">
        <v>9.6064814814814808E-4</v>
      </c>
      <c r="J3903" s="118">
        <v>5.0462962962962961E-3</v>
      </c>
      <c r="K3903" s="118">
        <v>5.0462962962962961E-3</v>
      </c>
    </row>
    <row r="3904" spans="1:11" x14ac:dyDescent="0.25">
      <c r="A3904">
        <v>2</v>
      </c>
      <c r="B3904">
        <v>15</v>
      </c>
      <c r="C3904"/>
      <c r="D3904" t="s">
        <v>31</v>
      </c>
      <c r="E3904" t="s">
        <v>32</v>
      </c>
      <c r="F3904" t="s">
        <v>45</v>
      </c>
      <c r="G3904" s="118">
        <v>0.72730324074074071</v>
      </c>
      <c r="H3904" s="118">
        <v>3.4722222222222224E-4</v>
      </c>
      <c r="I3904" s="118">
        <v>1.0416666666666667E-3</v>
      </c>
      <c r="J3904" s="118">
        <v>5.0462962962962961E-3</v>
      </c>
      <c r="K3904" s="118">
        <v>5.0462962962962961E-3</v>
      </c>
    </row>
    <row r="3905" spans="1:11" x14ac:dyDescent="0.25">
      <c r="A3905">
        <v>8</v>
      </c>
      <c r="B3905">
        <v>2</v>
      </c>
      <c r="C3905"/>
      <c r="D3905" t="s">
        <v>31</v>
      </c>
      <c r="E3905" t="s">
        <v>35</v>
      </c>
      <c r="F3905" t="s">
        <v>40</v>
      </c>
      <c r="G3905" s="118">
        <v>0.7273263888888889</v>
      </c>
      <c r="H3905" s="118">
        <v>4.8611111111111104E-4</v>
      </c>
      <c r="I3905" s="118">
        <v>4.6296296296296293E-4</v>
      </c>
      <c r="J3905"/>
      <c r="K3905"/>
    </row>
    <row r="3906" spans="1:11" x14ac:dyDescent="0.25">
      <c r="A3906">
        <v>4</v>
      </c>
      <c r="B3906">
        <v>14</v>
      </c>
      <c r="C3906"/>
      <c r="D3906" t="s">
        <v>31</v>
      </c>
      <c r="E3906" t="s">
        <v>35</v>
      </c>
      <c r="F3906" t="s">
        <v>56</v>
      </c>
      <c r="G3906" s="118">
        <v>0.72770833333333329</v>
      </c>
      <c r="H3906" s="118">
        <v>1.261574074074074E-3</v>
      </c>
      <c r="I3906" s="118">
        <v>3.4722222222222224E-4</v>
      </c>
      <c r="J3906"/>
      <c r="K3906"/>
    </row>
    <row r="3907" spans="1:11" x14ac:dyDescent="0.25">
      <c r="A3907">
        <v>8</v>
      </c>
      <c r="B3907">
        <v>2</v>
      </c>
      <c r="C3907"/>
      <c r="D3907" t="s">
        <v>31</v>
      </c>
      <c r="E3907" t="s">
        <v>32</v>
      </c>
      <c r="F3907" t="s">
        <v>40</v>
      </c>
      <c r="G3907" s="118">
        <v>0.72778935185185178</v>
      </c>
      <c r="H3907" s="118">
        <v>4.6296296296296293E-4</v>
      </c>
      <c r="I3907" s="118">
        <v>1.0069444444444444E-3</v>
      </c>
      <c r="J3907" s="118">
        <v>5.0462962962962961E-3</v>
      </c>
      <c r="K3907" s="118">
        <v>5.0462962962962961E-3</v>
      </c>
    </row>
    <row r="3908" spans="1:11" x14ac:dyDescent="0.25">
      <c r="A3908">
        <v>3</v>
      </c>
      <c r="B3908">
        <v>14</v>
      </c>
      <c r="C3908"/>
      <c r="D3908" t="s">
        <v>31</v>
      </c>
      <c r="E3908" t="s">
        <v>35</v>
      </c>
      <c r="F3908" t="s">
        <v>54</v>
      </c>
      <c r="G3908" s="118">
        <v>0.72787037037037028</v>
      </c>
      <c r="H3908" s="118">
        <v>8.6805555555555551E-4</v>
      </c>
      <c r="I3908" s="118">
        <v>3.4722222222222224E-4</v>
      </c>
      <c r="J3908"/>
      <c r="K3908"/>
    </row>
    <row r="3909" spans="1:11" x14ac:dyDescent="0.25">
      <c r="A3909">
        <v>9</v>
      </c>
      <c r="B3909">
        <v>2</v>
      </c>
      <c r="C3909"/>
      <c r="D3909" t="s">
        <v>31</v>
      </c>
      <c r="E3909" t="s">
        <v>35</v>
      </c>
      <c r="F3909" t="s">
        <v>53</v>
      </c>
      <c r="G3909" s="118">
        <v>0.72796296296296292</v>
      </c>
      <c r="H3909" s="118">
        <v>8.7962962962962962E-4</v>
      </c>
      <c r="I3909" s="118">
        <v>3.4722222222222224E-4</v>
      </c>
      <c r="J3909"/>
      <c r="K3909"/>
    </row>
    <row r="3910" spans="1:11" x14ac:dyDescent="0.25">
      <c r="A3910">
        <v>4</v>
      </c>
      <c r="B3910">
        <v>14</v>
      </c>
      <c r="C3910"/>
      <c r="D3910" t="s">
        <v>31</v>
      </c>
      <c r="E3910" t="s">
        <v>32</v>
      </c>
      <c r="F3910" t="s">
        <v>56</v>
      </c>
      <c r="G3910" s="118">
        <v>0.72805555555555557</v>
      </c>
      <c r="H3910" s="118">
        <v>3.4722222222222224E-4</v>
      </c>
      <c r="I3910" s="118">
        <v>9.6064814814814808E-4</v>
      </c>
      <c r="J3910" s="118">
        <v>5.0462962962962961E-3</v>
      </c>
      <c r="K3910" s="118">
        <v>5.0462962962962961E-3</v>
      </c>
    </row>
    <row r="3911" spans="1:11" x14ac:dyDescent="0.25">
      <c r="A3911">
        <v>5</v>
      </c>
      <c r="B3911">
        <v>15</v>
      </c>
      <c r="C3911"/>
      <c r="D3911" t="s">
        <v>31</v>
      </c>
      <c r="E3911" t="s">
        <v>35</v>
      </c>
      <c r="F3911" t="s">
        <v>36</v>
      </c>
      <c r="G3911" s="118">
        <v>0.72820601851851852</v>
      </c>
      <c r="H3911" s="118">
        <v>9.6064814814814808E-4</v>
      </c>
      <c r="I3911" s="118">
        <v>3.4722222222222224E-4</v>
      </c>
      <c r="J3911"/>
      <c r="K3911"/>
    </row>
    <row r="3912" spans="1:11" x14ac:dyDescent="0.25">
      <c r="A3912">
        <v>3</v>
      </c>
      <c r="B3912">
        <v>14</v>
      </c>
      <c r="C3912"/>
      <c r="D3912" t="s">
        <v>31</v>
      </c>
      <c r="E3912" t="s">
        <v>32</v>
      </c>
      <c r="F3912" t="s">
        <v>54</v>
      </c>
      <c r="G3912" s="118">
        <v>0.72821759259259267</v>
      </c>
      <c r="H3912" s="118">
        <v>3.4722222222222224E-4</v>
      </c>
      <c r="I3912" s="118">
        <v>6.5972222222222213E-4</v>
      </c>
      <c r="J3912" s="118">
        <v>5.0462962962962961E-3</v>
      </c>
      <c r="K3912" s="118">
        <v>5.0462962962962961E-3</v>
      </c>
    </row>
    <row r="3913" spans="1:11" x14ac:dyDescent="0.25">
      <c r="A3913">
        <v>1</v>
      </c>
      <c r="B3913">
        <v>14</v>
      </c>
      <c r="C3913"/>
      <c r="D3913" t="s">
        <v>31</v>
      </c>
      <c r="E3913" t="s">
        <v>35</v>
      </c>
      <c r="F3913" t="s">
        <v>46</v>
      </c>
      <c r="G3913" s="118">
        <v>0.72831018518518509</v>
      </c>
      <c r="H3913" s="118">
        <v>1.8055555555555557E-3</v>
      </c>
      <c r="I3913" s="118">
        <v>3.4722222222222224E-4</v>
      </c>
      <c r="J3913"/>
      <c r="K3913"/>
    </row>
    <row r="3914" spans="1:11" x14ac:dyDescent="0.25">
      <c r="A3914">
        <v>9</v>
      </c>
      <c r="B3914">
        <v>2</v>
      </c>
      <c r="C3914"/>
      <c r="D3914" t="s">
        <v>31</v>
      </c>
      <c r="E3914" t="s">
        <v>32</v>
      </c>
      <c r="F3914" t="s">
        <v>53</v>
      </c>
      <c r="G3914" s="118">
        <v>0.72831018518518509</v>
      </c>
      <c r="H3914" s="118">
        <v>3.4722222222222224E-4</v>
      </c>
      <c r="I3914" s="118">
        <v>8.449074074074075E-4</v>
      </c>
      <c r="J3914" s="118">
        <v>5.0462962962962961E-3</v>
      </c>
      <c r="K3914" s="118">
        <v>5.0462962962962961E-3</v>
      </c>
    </row>
    <row r="3915" spans="1:11" x14ac:dyDescent="0.25">
      <c r="A3915">
        <v>2</v>
      </c>
      <c r="B3915">
        <v>15</v>
      </c>
      <c r="C3915"/>
      <c r="D3915" t="s">
        <v>31</v>
      </c>
      <c r="E3915" t="s">
        <v>35</v>
      </c>
      <c r="F3915" t="s">
        <v>52</v>
      </c>
      <c r="G3915" s="118">
        <v>0.72834490740740743</v>
      </c>
      <c r="H3915" s="118">
        <v>1.0416666666666667E-3</v>
      </c>
      <c r="I3915" s="118">
        <v>3.4722222222222224E-4</v>
      </c>
      <c r="J3915"/>
      <c r="K3915"/>
    </row>
    <row r="3916" spans="1:11" x14ac:dyDescent="0.25">
      <c r="A3916">
        <v>5</v>
      </c>
      <c r="B3916">
        <v>15</v>
      </c>
      <c r="C3916"/>
      <c r="D3916" t="s">
        <v>31</v>
      </c>
      <c r="E3916" t="s">
        <v>32</v>
      </c>
      <c r="F3916" t="s">
        <v>36</v>
      </c>
      <c r="G3916" s="118">
        <v>0.72855324074074079</v>
      </c>
      <c r="H3916" s="118">
        <v>3.4722222222222224E-4</v>
      </c>
      <c r="I3916" s="118">
        <v>1.0995370370370371E-3</v>
      </c>
      <c r="J3916" s="118">
        <v>5.0462962962962961E-3</v>
      </c>
      <c r="K3916" s="118">
        <v>5.0462962962962961E-3</v>
      </c>
    </row>
    <row r="3917" spans="1:11" x14ac:dyDescent="0.25">
      <c r="A3917">
        <v>1</v>
      </c>
      <c r="B3917">
        <v>14</v>
      </c>
      <c r="C3917"/>
      <c r="D3917" t="s">
        <v>31</v>
      </c>
      <c r="E3917" t="s">
        <v>32</v>
      </c>
      <c r="F3917" t="s">
        <v>46</v>
      </c>
      <c r="G3917" s="118">
        <v>0.72865740740740748</v>
      </c>
      <c r="H3917" s="118">
        <v>3.4722222222222224E-4</v>
      </c>
      <c r="I3917" s="118">
        <v>9.1435185185185185E-4</v>
      </c>
      <c r="J3917" s="118">
        <v>5.0462962962962961E-3</v>
      </c>
      <c r="K3917" s="118">
        <v>5.0462962962962961E-3</v>
      </c>
    </row>
    <row r="3918" spans="1:11" x14ac:dyDescent="0.25">
      <c r="A3918">
        <v>2</v>
      </c>
      <c r="B3918">
        <v>15</v>
      </c>
      <c r="C3918"/>
      <c r="D3918" t="s">
        <v>31</v>
      </c>
      <c r="E3918" t="s">
        <v>32</v>
      </c>
      <c r="F3918" t="s">
        <v>52</v>
      </c>
      <c r="G3918" s="118">
        <v>0.7286921296296297</v>
      </c>
      <c r="H3918" s="118">
        <v>3.4722222222222224E-4</v>
      </c>
      <c r="I3918" s="118">
        <v>1.0532407407407407E-3</v>
      </c>
      <c r="J3918" s="118">
        <v>5.0462962962962961E-3</v>
      </c>
      <c r="K3918" s="118">
        <v>5.0462962962962961E-3</v>
      </c>
    </row>
    <row r="3919" spans="1:11" x14ac:dyDescent="0.25">
      <c r="A3919">
        <v>8</v>
      </c>
      <c r="B3919">
        <v>2</v>
      </c>
      <c r="C3919"/>
      <c r="D3919" t="s">
        <v>31</v>
      </c>
      <c r="E3919" t="s">
        <v>35</v>
      </c>
      <c r="F3919" t="s">
        <v>44</v>
      </c>
      <c r="G3919" s="118">
        <v>0.72879629629629628</v>
      </c>
      <c r="H3919" s="118">
        <v>1.0069444444444444E-3</v>
      </c>
      <c r="I3919" s="118">
        <v>3.4722222222222224E-4</v>
      </c>
      <c r="J3919"/>
      <c r="K3919"/>
    </row>
    <row r="3920" spans="1:11" x14ac:dyDescent="0.25">
      <c r="A3920">
        <v>3</v>
      </c>
      <c r="B3920">
        <v>14</v>
      </c>
      <c r="C3920"/>
      <c r="D3920" t="s">
        <v>31</v>
      </c>
      <c r="E3920" t="s">
        <v>35</v>
      </c>
      <c r="F3920" t="s">
        <v>92</v>
      </c>
      <c r="G3920" s="118">
        <v>0.72887731481481488</v>
      </c>
      <c r="H3920" s="118">
        <v>6.5972222222222213E-4</v>
      </c>
      <c r="I3920" s="118">
        <v>5.2083333333333333E-4</v>
      </c>
      <c r="J3920"/>
      <c r="K3920"/>
    </row>
    <row r="3921" spans="1:11" x14ac:dyDescent="0.25">
      <c r="A3921">
        <v>4</v>
      </c>
      <c r="B3921">
        <v>14</v>
      </c>
      <c r="C3921"/>
      <c r="D3921" t="s">
        <v>31</v>
      </c>
      <c r="E3921" t="s">
        <v>35</v>
      </c>
      <c r="F3921" t="s">
        <v>37</v>
      </c>
      <c r="G3921" s="118">
        <v>0.72901620370370368</v>
      </c>
      <c r="H3921" s="118">
        <v>9.6064814814814808E-4</v>
      </c>
      <c r="I3921" s="118">
        <v>3.4722222222222224E-4</v>
      </c>
      <c r="J3921"/>
      <c r="K3921"/>
    </row>
    <row r="3922" spans="1:11" x14ac:dyDescent="0.25">
      <c r="A3922">
        <v>8</v>
      </c>
      <c r="B3922">
        <v>2</v>
      </c>
      <c r="C3922"/>
      <c r="D3922" t="s">
        <v>31</v>
      </c>
      <c r="E3922" t="s">
        <v>32</v>
      </c>
      <c r="F3922" t="s">
        <v>44</v>
      </c>
      <c r="G3922" s="118">
        <v>0.72914351851851855</v>
      </c>
      <c r="H3922" s="118">
        <v>3.4722222222222224E-4</v>
      </c>
      <c r="I3922" s="118">
        <v>9.2592592592592585E-4</v>
      </c>
      <c r="J3922" s="118">
        <v>5.0462962962962961E-3</v>
      </c>
      <c r="K3922" s="118">
        <v>5.0462962962962961E-3</v>
      </c>
    </row>
    <row r="3923" spans="1:11" x14ac:dyDescent="0.25">
      <c r="A3923">
        <v>9</v>
      </c>
      <c r="B3923">
        <v>2</v>
      </c>
      <c r="C3923"/>
      <c r="D3923" t="s">
        <v>31</v>
      </c>
      <c r="E3923" t="s">
        <v>35</v>
      </c>
      <c r="F3923" t="s">
        <v>34</v>
      </c>
      <c r="G3923" s="118">
        <v>0.72915509259259259</v>
      </c>
      <c r="H3923" s="118">
        <v>8.449074074074075E-4</v>
      </c>
      <c r="I3923" s="118">
        <v>3.4722222222222224E-4</v>
      </c>
      <c r="J3923"/>
      <c r="K3923"/>
    </row>
    <row r="3924" spans="1:11" x14ac:dyDescent="0.25">
      <c r="A3924">
        <v>4</v>
      </c>
      <c r="B3924">
        <v>14</v>
      </c>
      <c r="C3924"/>
      <c r="D3924" t="s">
        <v>31</v>
      </c>
      <c r="E3924" t="s">
        <v>32</v>
      </c>
      <c r="F3924" t="s">
        <v>37</v>
      </c>
      <c r="G3924" s="118">
        <v>0.72936342592592596</v>
      </c>
      <c r="H3924" s="118">
        <v>3.4722222222222224E-4</v>
      </c>
      <c r="I3924" s="118">
        <v>9.0277777777777784E-4</v>
      </c>
      <c r="J3924" s="118">
        <v>5.0462962962962961E-3</v>
      </c>
      <c r="K3924" s="118">
        <v>5.0462962962962961E-3</v>
      </c>
    </row>
    <row r="3925" spans="1:11" x14ac:dyDescent="0.25">
      <c r="A3925">
        <v>3</v>
      </c>
      <c r="B3925">
        <v>15</v>
      </c>
      <c r="C3925"/>
      <c r="D3925" t="s">
        <v>31</v>
      </c>
      <c r="E3925" t="s">
        <v>32</v>
      </c>
      <c r="F3925" t="s">
        <v>92</v>
      </c>
      <c r="G3925" s="118">
        <v>0.72939814814814818</v>
      </c>
      <c r="H3925" s="118">
        <v>5.2083333333333333E-4</v>
      </c>
      <c r="I3925" s="118">
        <v>1.0069444444444444E-3</v>
      </c>
      <c r="J3925" s="118">
        <v>5.0462962962962961E-3</v>
      </c>
      <c r="K3925" s="118">
        <v>5.0462962962962961E-3</v>
      </c>
    </row>
    <row r="3926" spans="1:11" x14ac:dyDescent="0.25">
      <c r="A3926">
        <v>9</v>
      </c>
      <c r="B3926">
        <v>2</v>
      </c>
      <c r="C3926"/>
      <c r="D3926" t="s">
        <v>31</v>
      </c>
      <c r="E3926" t="s">
        <v>32</v>
      </c>
      <c r="F3926" t="s">
        <v>34</v>
      </c>
      <c r="G3926" s="118">
        <v>0.72950231481481476</v>
      </c>
      <c r="H3926" s="118">
        <v>3.4722222222222224E-4</v>
      </c>
      <c r="I3926" s="118">
        <v>9.1435185185185185E-4</v>
      </c>
      <c r="J3926" s="118">
        <v>5.0462962962962961E-3</v>
      </c>
      <c r="K3926" s="118">
        <v>5.0462962962962961E-3</v>
      </c>
    </row>
    <row r="3927" spans="1:11" x14ac:dyDescent="0.25">
      <c r="A3927">
        <v>1</v>
      </c>
      <c r="B3927">
        <v>14</v>
      </c>
      <c r="C3927"/>
      <c r="D3927" t="s">
        <v>31</v>
      </c>
      <c r="E3927" t="s">
        <v>35</v>
      </c>
      <c r="F3927" t="s">
        <v>51</v>
      </c>
      <c r="G3927" s="118">
        <v>0.72957175925925932</v>
      </c>
      <c r="H3927" s="118">
        <v>9.1435185185185185E-4</v>
      </c>
      <c r="I3927" s="118">
        <v>3.4722222222222224E-4</v>
      </c>
      <c r="J3927"/>
      <c r="K3927"/>
    </row>
    <row r="3928" spans="1:11" x14ac:dyDescent="0.25">
      <c r="A3928">
        <v>5</v>
      </c>
      <c r="B3928">
        <v>15</v>
      </c>
      <c r="C3928"/>
      <c r="D3928" t="s">
        <v>31</v>
      </c>
      <c r="E3928" t="s">
        <v>35</v>
      </c>
      <c r="F3928" t="s">
        <v>43</v>
      </c>
      <c r="G3928" s="118">
        <v>0.72965277777777782</v>
      </c>
      <c r="H3928" s="118">
        <v>1.0995370370370371E-3</v>
      </c>
      <c r="I3928" s="118">
        <v>3.4722222222222224E-4</v>
      </c>
      <c r="J3928"/>
      <c r="K3928"/>
    </row>
    <row r="3929" spans="1:11" x14ac:dyDescent="0.25">
      <c r="A3929">
        <v>2</v>
      </c>
      <c r="B3929">
        <v>15</v>
      </c>
      <c r="C3929"/>
      <c r="D3929" t="s">
        <v>31</v>
      </c>
      <c r="E3929" t="s">
        <v>35</v>
      </c>
      <c r="F3929" t="s">
        <v>57</v>
      </c>
      <c r="G3929" s="118">
        <v>0.72974537037037035</v>
      </c>
      <c r="H3929" s="118">
        <v>1.0532407407407407E-3</v>
      </c>
      <c r="I3929" s="118">
        <v>3.4722222222222224E-4</v>
      </c>
      <c r="J3929"/>
      <c r="K3929"/>
    </row>
    <row r="3930" spans="1:11" x14ac:dyDescent="0.25">
      <c r="A3930">
        <v>1</v>
      </c>
      <c r="B3930">
        <v>14</v>
      </c>
      <c r="C3930"/>
      <c r="D3930" t="s">
        <v>31</v>
      </c>
      <c r="E3930" t="s">
        <v>32</v>
      </c>
      <c r="F3930" t="s">
        <v>51</v>
      </c>
      <c r="G3930" s="118">
        <v>0.72991898148148149</v>
      </c>
      <c r="H3930" s="118">
        <v>3.4722222222222224E-4</v>
      </c>
      <c r="I3930" s="118">
        <v>1.0069444444444444E-3</v>
      </c>
      <c r="J3930" s="118">
        <v>5.0462962962962961E-3</v>
      </c>
      <c r="K3930" s="118">
        <v>5.0462962962962961E-3</v>
      </c>
    </row>
    <row r="3931" spans="1:11" x14ac:dyDescent="0.25">
      <c r="A3931">
        <v>5</v>
      </c>
      <c r="B3931">
        <v>15</v>
      </c>
      <c r="C3931"/>
      <c r="D3931" t="s">
        <v>31</v>
      </c>
      <c r="E3931" t="s">
        <v>32</v>
      </c>
      <c r="F3931" t="s">
        <v>43</v>
      </c>
      <c r="G3931" s="118">
        <v>0.73</v>
      </c>
      <c r="H3931" s="118">
        <v>3.4722222222222224E-4</v>
      </c>
      <c r="I3931" s="118">
        <v>1.1458333333333333E-3</v>
      </c>
      <c r="J3931" s="118">
        <v>5.0462962962962961E-3</v>
      </c>
      <c r="K3931" s="118">
        <v>5.0462962962962961E-3</v>
      </c>
    </row>
    <row r="3932" spans="1:11" x14ac:dyDescent="0.25">
      <c r="A3932">
        <v>8</v>
      </c>
      <c r="B3932">
        <v>2</v>
      </c>
      <c r="C3932"/>
      <c r="D3932" t="s">
        <v>31</v>
      </c>
      <c r="E3932" t="s">
        <v>35</v>
      </c>
      <c r="F3932" t="s">
        <v>49</v>
      </c>
      <c r="G3932" s="118">
        <v>0.73006944444444455</v>
      </c>
      <c r="H3932" s="118">
        <v>9.2592592592592585E-4</v>
      </c>
      <c r="I3932" s="118">
        <v>3.4722222222222224E-4</v>
      </c>
      <c r="J3932"/>
      <c r="K3932"/>
    </row>
    <row r="3933" spans="1:11" x14ac:dyDescent="0.25">
      <c r="A3933">
        <v>2</v>
      </c>
      <c r="B3933">
        <v>15</v>
      </c>
      <c r="C3933"/>
      <c r="D3933" t="s">
        <v>31</v>
      </c>
      <c r="E3933" t="s">
        <v>32</v>
      </c>
      <c r="F3933" t="s">
        <v>57</v>
      </c>
      <c r="G3933" s="118">
        <v>0.73009259259259263</v>
      </c>
      <c r="H3933" s="118">
        <v>3.4722222222222224E-4</v>
      </c>
      <c r="I3933" s="118">
        <v>9.3750000000000007E-4</v>
      </c>
      <c r="J3933" s="118">
        <v>5.0462962962962961E-3</v>
      </c>
      <c r="K3933" s="118">
        <v>5.0462962962962961E-3</v>
      </c>
    </row>
    <row r="3934" spans="1:11" x14ac:dyDescent="0.25">
      <c r="A3934">
        <v>4</v>
      </c>
      <c r="B3934">
        <v>14</v>
      </c>
      <c r="C3934"/>
      <c r="D3934" t="s">
        <v>31</v>
      </c>
      <c r="E3934" t="s">
        <v>35</v>
      </c>
      <c r="F3934" t="s">
        <v>42</v>
      </c>
      <c r="G3934" s="118">
        <v>0.73026620370370365</v>
      </c>
      <c r="H3934" s="118">
        <v>9.0277777777777784E-4</v>
      </c>
      <c r="I3934" s="118">
        <v>3.4722222222222224E-4</v>
      </c>
      <c r="J3934"/>
      <c r="K3934"/>
    </row>
    <row r="3935" spans="1:11" x14ac:dyDescent="0.25">
      <c r="A3935">
        <v>3</v>
      </c>
      <c r="B3935">
        <v>15</v>
      </c>
      <c r="C3935"/>
      <c r="D3935" t="s">
        <v>31</v>
      </c>
      <c r="E3935" t="s">
        <v>35</v>
      </c>
      <c r="F3935" t="s">
        <v>41</v>
      </c>
      <c r="G3935" s="118">
        <v>0.73040509259259256</v>
      </c>
      <c r="H3935" s="118">
        <v>1.0069444444444444E-3</v>
      </c>
      <c r="I3935" s="118">
        <v>3.4722222222222224E-4</v>
      </c>
      <c r="J3935"/>
      <c r="K3935"/>
    </row>
    <row r="3936" spans="1:11" x14ac:dyDescent="0.25">
      <c r="A3936">
        <v>8</v>
      </c>
      <c r="B3936">
        <v>2</v>
      </c>
      <c r="C3936"/>
      <c r="D3936" t="s">
        <v>31</v>
      </c>
      <c r="E3936" t="s">
        <v>32</v>
      </c>
      <c r="F3936" t="s">
        <v>49</v>
      </c>
      <c r="G3936" s="118">
        <v>0.73041666666666671</v>
      </c>
      <c r="H3936" s="118">
        <v>3.4722222222222224E-4</v>
      </c>
      <c r="I3936" s="118">
        <v>1.3541666666666667E-3</v>
      </c>
      <c r="J3936" s="118">
        <v>5.0462962962962961E-3</v>
      </c>
      <c r="K3936" s="118">
        <v>5.0462962962962961E-3</v>
      </c>
    </row>
    <row r="3937" spans="1:11" x14ac:dyDescent="0.25">
      <c r="A3937">
        <v>9</v>
      </c>
      <c r="B3937">
        <v>2</v>
      </c>
      <c r="C3937"/>
      <c r="D3937" t="s">
        <v>31</v>
      </c>
      <c r="E3937" t="s">
        <v>35</v>
      </c>
      <c r="F3937" t="s">
        <v>38</v>
      </c>
      <c r="G3937" s="118">
        <v>0.73041666666666671</v>
      </c>
      <c r="H3937" s="118">
        <v>9.1435185185185185E-4</v>
      </c>
      <c r="I3937" s="118">
        <v>3.4722222222222224E-4</v>
      </c>
      <c r="J3937"/>
      <c r="K3937"/>
    </row>
    <row r="3938" spans="1:11" x14ac:dyDescent="0.25">
      <c r="A3938">
        <v>4</v>
      </c>
      <c r="B3938">
        <v>14</v>
      </c>
      <c r="C3938"/>
      <c r="D3938" t="s">
        <v>31</v>
      </c>
      <c r="E3938" t="s">
        <v>32</v>
      </c>
      <c r="F3938" t="s">
        <v>42</v>
      </c>
      <c r="G3938" s="118">
        <v>0.73061342592592593</v>
      </c>
      <c r="H3938" s="118">
        <v>3.4722222222222224E-4</v>
      </c>
      <c r="I3938" s="118">
        <v>9.1435185185185185E-4</v>
      </c>
      <c r="J3938" s="118">
        <v>5.0462962962962961E-3</v>
      </c>
      <c r="K3938" s="118">
        <v>5.0462962962962961E-3</v>
      </c>
    </row>
    <row r="3939" spans="1:11" x14ac:dyDescent="0.25">
      <c r="A3939">
        <v>3</v>
      </c>
      <c r="B3939">
        <v>15</v>
      </c>
      <c r="C3939"/>
      <c r="D3939" t="s">
        <v>31</v>
      </c>
      <c r="E3939" t="s">
        <v>32</v>
      </c>
      <c r="F3939" t="s">
        <v>41</v>
      </c>
      <c r="G3939" s="118">
        <v>0.73075231481481484</v>
      </c>
      <c r="H3939" s="118">
        <v>3.4722222222222224E-4</v>
      </c>
      <c r="I3939" s="118">
        <v>8.564814814814815E-4</v>
      </c>
      <c r="J3939" s="118">
        <v>5.0462962962962961E-3</v>
      </c>
      <c r="K3939" s="118">
        <v>5.0462962962962961E-3</v>
      </c>
    </row>
    <row r="3940" spans="1:11" x14ac:dyDescent="0.25">
      <c r="A3940">
        <v>9</v>
      </c>
      <c r="B3940">
        <v>2</v>
      </c>
      <c r="C3940"/>
      <c r="D3940" t="s">
        <v>31</v>
      </c>
      <c r="E3940" t="s">
        <v>32</v>
      </c>
      <c r="F3940" t="s">
        <v>38</v>
      </c>
      <c r="G3940" s="118">
        <v>0.73076388888888888</v>
      </c>
      <c r="H3940" s="118">
        <v>3.4722222222222224E-4</v>
      </c>
      <c r="I3940" s="118">
        <v>1.2384259259259258E-3</v>
      </c>
      <c r="J3940" s="118">
        <v>5.0462962962962961E-3</v>
      </c>
      <c r="K3940" s="118">
        <v>5.0462962962962961E-3</v>
      </c>
    </row>
    <row r="3941" spans="1:11" x14ac:dyDescent="0.25">
      <c r="A3941">
        <v>1</v>
      </c>
      <c r="B3941">
        <v>14</v>
      </c>
      <c r="C3941"/>
      <c r="D3941" t="s">
        <v>31</v>
      </c>
      <c r="E3941" t="s">
        <v>35</v>
      </c>
      <c r="F3941" t="s">
        <v>55</v>
      </c>
      <c r="G3941" s="118">
        <v>0.73092592592592587</v>
      </c>
      <c r="H3941" s="118">
        <v>1.0069444444444444E-3</v>
      </c>
      <c r="I3941" s="118">
        <v>4.6296296296296293E-4</v>
      </c>
      <c r="J3941"/>
      <c r="K3941"/>
    </row>
    <row r="3942" spans="1:11" x14ac:dyDescent="0.25">
      <c r="A3942">
        <v>2</v>
      </c>
      <c r="B3942">
        <v>15</v>
      </c>
      <c r="C3942"/>
      <c r="D3942" t="s">
        <v>31</v>
      </c>
      <c r="E3942" t="s">
        <v>35</v>
      </c>
      <c r="F3942" t="s">
        <v>39</v>
      </c>
      <c r="G3942" s="118">
        <v>0.73103009259259266</v>
      </c>
      <c r="H3942" s="118">
        <v>9.3750000000000007E-4</v>
      </c>
      <c r="I3942" s="118">
        <v>5.2083333333333333E-4</v>
      </c>
      <c r="J3942"/>
      <c r="K3942"/>
    </row>
    <row r="3943" spans="1:11" x14ac:dyDescent="0.25">
      <c r="A3943">
        <v>5</v>
      </c>
      <c r="B3943">
        <v>15</v>
      </c>
      <c r="C3943"/>
      <c r="D3943" t="s">
        <v>31</v>
      </c>
      <c r="E3943" t="s">
        <v>35</v>
      </c>
      <c r="F3943" t="s">
        <v>50</v>
      </c>
      <c r="G3943" s="118">
        <v>0.73114583333333327</v>
      </c>
      <c r="H3943" s="118">
        <v>1.1458333333333333E-3</v>
      </c>
      <c r="I3943" s="118">
        <v>3.4722222222222224E-4</v>
      </c>
      <c r="J3943"/>
      <c r="K3943"/>
    </row>
    <row r="3944" spans="1:11" x14ac:dyDescent="0.25">
      <c r="A3944">
        <v>1</v>
      </c>
      <c r="B3944">
        <v>14</v>
      </c>
      <c r="C3944"/>
      <c r="D3944" t="s">
        <v>31</v>
      </c>
      <c r="E3944" t="s">
        <v>32</v>
      </c>
      <c r="F3944" t="s">
        <v>55</v>
      </c>
      <c r="G3944" s="118">
        <v>0.73138888888888898</v>
      </c>
      <c r="H3944" s="118">
        <v>4.6296296296296293E-4</v>
      </c>
      <c r="I3944" s="118">
        <v>4.3981481481481481E-4</v>
      </c>
      <c r="J3944" s="118">
        <v>5.0462962962962961E-3</v>
      </c>
      <c r="K3944" s="118">
        <v>5.0462962962962961E-3</v>
      </c>
    </row>
    <row r="3945" spans="1:11" x14ac:dyDescent="0.25">
      <c r="A3945">
        <v>5</v>
      </c>
      <c r="B3945">
        <v>15</v>
      </c>
      <c r="C3945"/>
      <c r="D3945" t="s">
        <v>31</v>
      </c>
      <c r="E3945" t="s">
        <v>32</v>
      </c>
      <c r="F3945" t="s">
        <v>50</v>
      </c>
      <c r="G3945" s="118">
        <v>0.73149305555555555</v>
      </c>
      <c r="H3945" s="118">
        <v>3.4722222222222224E-4</v>
      </c>
      <c r="I3945" s="118">
        <v>1.261574074074074E-3</v>
      </c>
      <c r="J3945" s="118">
        <v>5.0462962962962961E-3</v>
      </c>
      <c r="K3945" s="118">
        <v>5.0462962962962961E-3</v>
      </c>
    </row>
    <row r="3946" spans="1:11" x14ac:dyDescent="0.25">
      <c r="A3946">
        <v>4</v>
      </c>
      <c r="B3946">
        <v>14</v>
      </c>
      <c r="C3946"/>
      <c r="D3946" t="s">
        <v>31</v>
      </c>
      <c r="E3946" t="s">
        <v>35</v>
      </c>
      <c r="F3946" t="s">
        <v>48</v>
      </c>
      <c r="G3946" s="118">
        <v>0.73152777777777767</v>
      </c>
      <c r="H3946" s="118">
        <v>9.1435185185185185E-4</v>
      </c>
      <c r="I3946" s="118">
        <v>5.2083333333333333E-4</v>
      </c>
      <c r="J3946"/>
      <c r="K3946"/>
    </row>
    <row r="3947" spans="1:11" x14ac:dyDescent="0.25">
      <c r="A3947">
        <v>2</v>
      </c>
      <c r="B3947">
        <v>15</v>
      </c>
      <c r="C3947"/>
      <c r="D3947" t="s">
        <v>31</v>
      </c>
      <c r="E3947" t="s">
        <v>32</v>
      </c>
      <c r="F3947" t="s">
        <v>39</v>
      </c>
      <c r="G3947" s="118">
        <v>0.73155092592592597</v>
      </c>
      <c r="H3947" s="118">
        <v>5.2083333333333333E-4</v>
      </c>
      <c r="I3947" s="118">
        <v>1.8055555555555557E-3</v>
      </c>
      <c r="J3947" s="118">
        <v>5.0462962962962961E-3</v>
      </c>
      <c r="K3947" s="118">
        <v>5.0462962962962961E-3</v>
      </c>
    </row>
    <row r="3948" spans="1:11" x14ac:dyDescent="0.25">
      <c r="A3948">
        <v>3</v>
      </c>
      <c r="B3948">
        <v>15</v>
      </c>
      <c r="C3948"/>
      <c r="D3948" t="s">
        <v>31</v>
      </c>
      <c r="E3948" t="s">
        <v>35</v>
      </c>
      <c r="F3948" t="s">
        <v>47</v>
      </c>
      <c r="G3948" s="118">
        <v>0.73160879629629638</v>
      </c>
      <c r="H3948" s="118">
        <v>8.564814814814815E-4</v>
      </c>
      <c r="I3948" s="118">
        <v>5.2083333333333333E-4</v>
      </c>
      <c r="J3948"/>
      <c r="K3948"/>
    </row>
    <row r="3949" spans="1:11" x14ac:dyDescent="0.25">
      <c r="A3949">
        <v>8</v>
      </c>
      <c r="B3949">
        <v>2</v>
      </c>
      <c r="C3949"/>
      <c r="D3949" t="s">
        <v>31</v>
      </c>
      <c r="E3949" t="s">
        <v>35</v>
      </c>
      <c r="F3949" t="s">
        <v>33</v>
      </c>
      <c r="G3949" s="118">
        <v>0.73177083333333337</v>
      </c>
      <c r="H3949" s="118">
        <v>1.3541666666666667E-3</v>
      </c>
      <c r="I3949" s="118">
        <v>5.2083333333333333E-4</v>
      </c>
      <c r="J3949"/>
      <c r="K3949"/>
    </row>
    <row r="3950" spans="1:11" x14ac:dyDescent="0.25">
      <c r="A3950">
        <v>1</v>
      </c>
      <c r="B3950">
        <v>14</v>
      </c>
      <c r="C3950"/>
      <c r="D3950" t="s">
        <v>31</v>
      </c>
      <c r="E3950" t="s">
        <v>35</v>
      </c>
      <c r="F3950" t="s">
        <v>58</v>
      </c>
      <c r="G3950" s="118">
        <v>0.73182870370370379</v>
      </c>
      <c r="H3950" s="118">
        <v>4.3981481481481481E-4</v>
      </c>
      <c r="I3950" s="118">
        <v>5.7870370370370366E-5</v>
      </c>
      <c r="J3950"/>
      <c r="K3950"/>
    </row>
    <row r="3951" spans="1:11" x14ac:dyDescent="0.25">
      <c r="A3951">
        <v>1</v>
      </c>
      <c r="B3951">
        <v>14</v>
      </c>
      <c r="C3951"/>
      <c r="D3951" t="s">
        <v>31</v>
      </c>
      <c r="E3951" t="s">
        <v>32</v>
      </c>
      <c r="F3951" t="s">
        <v>58</v>
      </c>
      <c r="G3951" s="118">
        <v>0.73188657407407398</v>
      </c>
      <c r="H3951" s="118">
        <v>5.7870370370370366E-5</v>
      </c>
      <c r="I3951" s="118">
        <v>4.8611111111111104E-4</v>
      </c>
      <c r="J3951" s="118">
        <v>5.0462962962962961E-3</v>
      </c>
      <c r="K3951" s="118">
        <v>5.0462962962962961E-3</v>
      </c>
    </row>
    <row r="3952" spans="1:11" x14ac:dyDescent="0.25">
      <c r="A3952">
        <v>9</v>
      </c>
      <c r="B3952">
        <v>2</v>
      </c>
      <c r="C3952"/>
      <c r="D3952" t="s">
        <v>31</v>
      </c>
      <c r="E3952" t="s">
        <v>35</v>
      </c>
      <c r="F3952" t="s">
        <v>45</v>
      </c>
      <c r="G3952" s="118">
        <v>0.73200231481481481</v>
      </c>
      <c r="H3952" s="118">
        <v>1.2384259259259258E-3</v>
      </c>
      <c r="I3952" s="118">
        <v>3.4722222222222224E-4</v>
      </c>
      <c r="J3952"/>
      <c r="K3952"/>
    </row>
    <row r="3953" spans="1:11" x14ac:dyDescent="0.25">
      <c r="A3953">
        <v>4</v>
      </c>
      <c r="B3953">
        <v>14</v>
      </c>
      <c r="C3953"/>
      <c r="D3953" t="s">
        <v>31</v>
      </c>
      <c r="E3953" t="s">
        <v>32</v>
      </c>
      <c r="F3953" t="s">
        <v>48</v>
      </c>
      <c r="G3953" s="118">
        <v>0.73204861111111119</v>
      </c>
      <c r="H3953" s="118">
        <v>5.2083333333333333E-4</v>
      </c>
      <c r="I3953" s="118">
        <v>8.6805555555555551E-4</v>
      </c>
      <c r="J3953" s="118">
        <v>5.0462962962962961E-3</v>
      </c>
      <c r="K3953" s="118">
        <v>5.0462962962962961E-3</v>
      </c>
    </row>
    <row r="3954" spans="1:11" x14ac:dyDescent="0.25">
      <c r="A3954">
        <v>3</v>
      </c>
      <c r="B3954">
        <v>15</v>
      </c>
      <c r="C3954"/>
      <c r="D3954" t="s">
        <v>31</v>
      </c>
      <c r="E3954" t="s">
        <v>32</v>
      </c>
      <c r="F3954" t="s">
        <v>47</v>
      </c>
      <c r="G3954" s="118">
        <v>0.73212962962962969</v>
      </c>
      <c r="H3954" s="118">
        <v>5.2083333333333333E-4</v>
      </c>
      <c r="I3954" s="118">
        <v>8.7962962962962962E-4</v>
      </c>
      <c r="J3954" s="118">
        <v>5.0462962962962961E-3</v>
      </c>
      <c r="K3954" s="118">
        <v>5.0462962962962961E-3</v>
      </c>
    </row>
    <row r="3955" spans="1:11" x14ac:dyDescent="0.25">
      <c r="A3955">
        <v>8</v>
      </c>
      <c r="B3955">
        <v>2</v>
      </c>
      <c r="C3955"/>
      <c r="D3955" t="s">
        <v>31</v>
      </c>
      <c r="E3955" t="s">
        <v>32</v>
      </c>
      <c r="F3955" t="s">
        <v>33</v>
      </c>
      <c r="G3955" s="118">
        <v>0.73229166666666667</v>
      </c>
      <c r="H3955" s="118">
        <v>5.2083333333333333E-4</v>
      </c>
      <c r="I3955" s="118">
        <v>9.6064814814814808E-4</v>
      </c>
      <c r="J3955" s="118">
        <v>5.0462962962962961E-3</v>
      </c>
      <c r="K3955" s="118">
        <v>5.0462962962962961E-3</v>
      </c>
    </row>
    <row r="3956" spans="1:11" x14ac:dyDescent="0.25">
      <c r="A3956">
        <v>9</v>
      </c>
      <c r="B3956">
        <v>2</v>
      </c>
      <c r="C3956"/>
      <c r="D3956" t="s">
        <v>31</v>
      </c>
      <c r="E3956" t="s">
        <v>32</v>
      </c>
      <c r="F3956" t="s">
        <v>45</v>
      </c>
      <c r="G3956" s="118">
        <v>0.73234953703703709</v>
      </c>
      <c r="H3956" s="118">
        <v>3.4722222222222224E-4</v>
      </c>
      <c r="I3956" s="118">
        <v>1.0416666666666667E-3</v>
      </c>
      <c r="J3956" s="118">
        <v>5.0462962962962961E-3</v>
      </c>
      <c r="K3956" s="118">
        <v>5.0462962962962961E-3</v>
      </c>
    </row>
    <row r="3957" spans="1:11" x14ac:dyDescent="0.25">
      <c r="A3957">
        <v>1</v>
      </c>
      <c r="B3957">
        <v>14</v>
      </c>
      <c r="C3957"/>
      <c r="D3957" t="s">
        <v>31</v>
      </c>
      <c r="E3957" t="s">
        <v>35</v>
      </c>
      <c r="F3957" t="s">
        <v>40</v>
      </c>
      <c r="G3957" s="118">
        <v>0.73237268518518517</v>
      </c>
      <c r="H3957" s="118">
        <v>4.8611111111111104E-4</v>
      </c>
      <c r="I3957" s="118">
        <v>4.6296296296296293E-4</v>
      </c>
      <c r="J3957"/>
      <c r="K3957"/>
    </row>
    <row r="3958" spans="1:11" x14ac:dyDescent="0.25">
      <c r="A3958">
        <v>5</v>
      </c>
      <c r="B3958">
        <v>15</v>
      </c>
      <c r="C3958"/>
      <c r="D3958" t="s">
        <v>31</v>
      </c>
      <c r="E3958" t="s">
        <v>35</v>
      </c>
      <c r="F3958" t="s">
        <v>56</v>
      </c>
      <c r="G3958" s="118">
        <v>0.73275462962962967</v>
      </c>
      <c r="H3958" s="118">
        <v>1.261574074074074E-3</v>
      </c>
      <c r="I3958" s="118">
        <v>3.4722222222222224E-4</v>
      </c>
      <c r="J3958"/>
      <c r="K3958"/>
    </row>
    <row r="3959" spans="1:11" x14ac:dyDescent="0.25">
      <c r="A3959">
        <v>1</v>
      </c>
      <c r="B3959">
        <v>14</v>
      </c>
      <c r="C3959"/>
      <c r="D3959" t="s">
        <v>31</v>
      </c>
      <c r="E3959" t="s">
        <v>32</v>
      </c>
      <c r="F3959" t="s">
        <v>40</v>
      </c>
      <c r="G3959" s="118">
        <v>0.73283564814814817</v>
      </c>
      <c r="H3959" s="118">
        <v>4.6296296296296293E-4</v>
      </c>
      <c r="I3959" s="118">
        <v>1.0069444444444444E-3</v>
      </c>
      <c r="J3959" s="118">
        <v>5.0462962962962961E-3</v>
      </c>
      <c r="K3959" s="118">
        <v>5.0462962962962961E-3</v>
      </c>
    </row>
    <row r="3960" spans="1:11" x14ac:dyDescent="0.25">
      <c r="A3960">
        <v>4</v>
      </c>
      <c r="B3960">
        <v>14</v>
      </c>
      <c r="C3960"/>
      <c r="D3960" t="s">
        <v>31</v>
      </c>
      <c r="E3960" t="s">
        <v>35</v>
      </c>
      <c r="F3960" t="s">
        <v>54</v>
      </c>
      <c r="G3960" s="118">
        <v>0.73291666666666666</v>
      </c>
      <c r="H3960" s="118">
        <v>8.6805555555555551E-4</v>
      </c>
      <c r="I3960" s="118">
        <v>3.4722222222222224E-4</v>
      </c>
      <c r="J3960"/>
      <c r="K3960"/>
    </row>
    <row r="3961" spans="1:11" x14ac:dyDescent="0.25">
      <c r="A3961">
        <v>3</v>
      </c>
      <c r="B3961">
        <v>15</v>
      </c>
      <c r="C3961"/>
      <c r="D3961" t="s">
        <v>31</v>
      </c>
      <c r="E3961" t="s">
        <v>35</v>
      </c>
      <c r="F3961" t="s">
        <v>53</v>
      </c>
      <c r="G3961" s="118">
        <v>0.7330092592592593</v>
      </c>
      <c r="H3961" s="118">
        <v>8.7962962962962962E-4</v>
      </c>
      <c r="I3961" s="118">
        <v>3.4722222222222224E-4</v>
      </c>
      <c r="J3961"/>
      <c r="K3961"/>
    </row>
    <row r="3962" spans="1:11" x14ac:dyDescent="0.25">
      <c r="A3962">
        <v>5</v>
      </c>
      <c r="B3962">
        <v>15</v>
      </c>
      <c r="C3962"/>
      <c r="D3962" t="s">
        <v>31</v>
      </c>
      <c r="E3962" t="s">
        <v>32</v>
      </c>
      <c r="F3962" t="s">
        <v>56</v>
      </c>
      <c r="G3962" s="118">
        <v>0.73310185185185184</v>
      </c>
      <c r="H3962" s="118">
        <v>3.4722222222222224E-4</v>
      </c>
      <c r="I3962" s="118">
        <v>9.6064814814814808E-4</v>
      </c>
      <c r="J3962" s="118">
        <v>5.0462962962962961E-3</v>
      </c>
      <c r="K3962" s="118">
        <v>5.0462962962962961E-3</v>
      </c>
    </row>
    <row r="3963" spans="1:11" x14ac:dyDescent="0.25">
      <c r="A3963">
        <v>8</v>
      </c>
      <c r="B3963">
        <v>2</v>
      </c>
      <c r="C3963"/>
      <c r="D3963" t="s">
        <v>31</v>
      </c>
      <c r="E3963" t="s">
        <v>35</v>
      </c>
      <c r="F3963" t="s">
        <v>36</v>
      </c>
      <c r="G3963" s="118">
        <v>0.73325231481481479</v>
      </c>
      <c r="H3963" s="118">
        <v>9.6064814814814808E-4</v>
      </c>
      <c r="I3963" s="118">
        <v>3.4722222222222224E-4</v>
      </c>
      <c r="J3963"/>
      <c r="K3963"/>
    </row>
    <row r="3964" spans="1:11" x14ac:dyDescent="0.25">
      <c r="A3964">
        <v>4</v>
      </c>
      <c r="B3964">
        <v>14</v>
      </c>
      <c r="C3964"/>
      <c r="D3964" t="s">
        <v>31</v>
      </c>
      <c r="E3964" t="s">
        <v>32</v>
      </c>
      <c r="F3964" t="s">
        <v>54</v>
      </c>
      <c r="G3964" s="118">
        <v>0.73326388888888883</v>
      </c>
      <c r="H3964" s="118">
        <v>3.4722222222222224E-4</v>
      </c>
      <c r="I3964" s="118">
        <v>6.5972222222222213E-4</v>
      </c>
      <c r="J3964" s="118">
        <v>5.0462962962962961E-3</v>
      </c>
      <c r="K3964" s="118">
        <v>5.0462962962962961E-3</v>
      </c>
    </row>
    <row r="3965" spans="1:11" x14ac:dyDescent="0.25">
      <c r="A3965">
        <v>2</v>
      </c>
      <c r="B3965">
        <v>15</v>
      </c>
      <c r="C3965"/>
      <c r="D3965" t="s">
        <v>31</v>
      </c>
      <c r="E3965" t="s">
        <v>35</v>
      </c>
      <c r="F3965" t="s">
        <v>46</v>
      </c>
      <c r="G3965" s="118">
        <v>0.73335648148148147</v>
      </c>
      <c r="H3965" s="118">
        <v>1.8055555555555557E-3</v>
      </c>
      <c r="I3965" s="118">
        <v>3.4722222222222224E-4</v>
      </c>
      <c r="J3965"/>
      <c r="K3965"/>
    </row>
    <row r="3966" spans="1:11" x14ac:dyDescent="0.25">
      <c r="A3966">
        <v>3</v>
      </c>
      <c r="B3966">
        <v>15</v>
      </c>
      <c r="C3966"/>
      <c r="D3966" t="s">
        <v>31</v>
      </c>
      <c r="E3966" t="s">
        <v>32</v>
      </c>
      <c r="F3966" t="s">
        <v>53</v>
      </c>
      <c r="G3966" s="118">
        <v>0.73335648148148147</v>
      </c>
      <c r="H3966" s="118">
        <v>3.4722222222222224E-4</v>
      </c>
      <c r="I3966" s="118">
        <v>8.449074074074075E-4</v>
      </c>
      <c r="J3966" s="118">
        <v>5.0462962962962961E-3</v>
      </c>
      <c r="K3966" s="118">
        <v>5.0462962962962961E-3</v>
      </c>
    </row>
    <row r="3967" spans="1:11" x14ac:dyDescent="0.25">
      <c r="A3967">
        <v>9</v>
      </c>
      <c r="B3967">
        <v>2</v>
      </c>
      <c r="C3967"/>
      <c r="D3967" t="s">
        <v>31</v>
      </c>
      <c r="E3967" t="s">
        <v>35</v>
      </c>
      <c r="F3967" t="s">
        <v>52</v>
      </c>
      <c r="G3967" s="118">
        <v>0.7333912037037037</v>
      </c>
      <c r="H3967" s="118">
        <v>1.0416666666666667E-3</v>
      </c>
      <c r="I3967" s="118">
        <v>3.4722222222222224E-4</v>
      </c>
      <c r="J3967"/>
      <c r="K3967"/>
    </row>
    <row r="3968" spans="1:11" x14ac:dyDescent="0.25">
      <c r="A3968">
        <v>8</v>
      </c>
      <c r="B3968">
        <v>2</v>
      </c>
      <c r="C3968"/>
      <c r="D3968" t="s">
        <v>31</v>
      </c>
      <c r="E3968" t="s">
        <v>32</v>
      </c>
      <c r="F3968" t="s">
        <v>36</v>
      </c>
      <c r="G3968" s="118">
        <v>0.73359953703703706</v>
      </c>
      <c r="H3968" s="118">
        <v>3.4722222222222224E-4</v>
      </c>
      <c r="I3968" s="118">
        <v>1.0995370370370371E-3</v>
      </c>
      <c r="J3968" s="118">
        <v>5.0462962962962961E-3</v>
      </c>
      <c r="K3968" s="118">
        <v>5.0462962962962961E-3</v>
      </c>
    </row>
    <row r="3969" spans="1:11" x14ac:dyDescent="0.25">
      <c r="A3969">
        <v>2</v>
      </c>
      <c r="B3969">
        <v>15</v>
      </c>
      <c r="C3969"/>
      <c r="D3969" t="s">
        <v>31</v>
      </c>
      <c r="E3969" t="s">
        <v>32</v>
      </c>
      <c r="F3969" t="s">
        <v>46</v>
      </c>
      <c r="G3969" s="118">
        <v>0.73370370370370364</v>
      </c>
      <c r="H3969" s="118">
        <v>3.4722222222222224E-4</v>
      </c>
      <c r="I3969" s="118">
        <v>9.1435185185185185E-4</v>
      </c>
      <c r="J3969" s="118">
        <v>5.0462962962962961E-3</v>
      </c>
      <c r="K3969" s="118">
        <v>5.0462962962962961E-3</v>
      </c>
    </row>
    <row r="3970" spans="1:11" x14ac:dyDescent="0.25">
      <c r="A3970">
        <v>9</v>
      </c>
      <c r="B3970">
        <v>2</v>
      </c>
      <c r="C3970"/>
      <c r="D3970" t="s">
        <v>31</v>
      </c>
      <c r="E3970" t="s">
        <v>32</v>
      </c>
      <c r="F3970" t="s">
        <v>52</v>
      </c>
      <c r="G3970" s="118">
        <v>0.73373842592592586</v>
      </c>
      <c r="H3970" s="118">
        <v>3.4722222222222224E-4</v>
      </c>
      <c r="I3970" s="118">
        <v>1.0532407407407407E-3</v>
      </c>
      <c r="J3970" s="118">
        <v>5.0462962962962961E-3</v>
      </c>
      <c r="K3970" s="118">
        <v>5.0462962962962961E-3</v>
      </c>
    </row>
    <row r="3971" spans="1:11" x14ac:dyDescent="0.25">
      <c r="A3971">
        <v>1</v>
      </c>
      <c r="B3971">
        <v>14</v>
      </c>
      <c r="C3971"/>
      <c r="D3971" t="s">
        <v>31</v>
      </c>
      <c r="E3971" t="s">
        <v>35</v>
      </c>
      <c r="F3971" t="s">
        <v>44</v>
      </c>
      <c r="G3971" s="118">
        <v>0.73384259259259255</v>
      </c>
      <c r="H3971" s="118">
        <v>1.0069444444444444E-3</v>
      </c>
      <c r="I3971" s="118">
        <v>3.4722222222222224E-4</v>
      </c>
      <c r="J3971"/>
      <c r="K3971"/>
    </row>
    <row r="3972" spans="1:11" x14ac:dyDescent="0.25">
      <c r="A3972">
        <v>4</v>
      </c>
      <c r="B3972">
        <v>14</v>
      </c>
      <c r="C3972"/>
      <c r="D3972" t="s">
        <v>31</v>
      </c>
      <c r="E3972" t="s">
        <v>35</v>
      </c>
      <c r="F3972" t="s">
        <v>92</v>
      </c>
      <c r="G3972" s="118">
        <v>0.73392361111111104</v>
      </c>
      <c r="H3972" s="118">
        <v>6.5972222222222213E-4</v>
      </c>
      <c r="I3972" s="118">
        <v>5.2083333333333333E-4</v>
      </c>
      <c r="J3972"/>
      <c r="K3972"/>
    </row>
    <row r="3973" spans="1:11" x14ac:dyDescent="0.25">
      <c r="A3973">
        <v>5</v>
      </c>
      <c r="B3973">
        <v>15</v>
      </c>
      <c r="C3973"/>
      <c r="D3973" t="s">
        <v>31</v>
      </c>
      <c r="E3973" t="s">
        <v>35</v>
      </c>
      <c r="F3973" t="s">
        <v>37</v>
      </c>
      <c r="G3973" s="118">
        <v>0.73406249999999995</v>
      </c>
      <c r="H3973" s="118">
        <v>9.6064814814814808E-4</v>
      </c>
      <c r="I3973" s="118">
        <v>3.4722222222222224E-4</v>
      </c>
      <c r="J3973"/>
      <c r="K3973"/>
    </row>
    <row r="3974" spans="1:11" x14ac:dyDescent="0.25">
      <c r="A3974">
        <v>1</v>
      </c>
      <c r="B3974">
        <v>14</v>
      </c>
      <c r="C3974"/>
      <c r="D3974" t="s">
        <v>31</v>
      </c>
      <c r="E3974" t="s">
        <v>32</v>
      </c>
      <c r="F3974" t="s">
        <v>44</v>
      </c>
      <c r="G3974" s="118">
        <v>0.73418981481481482</v>
      </c>
      <c r="H3974" s="118">
        <v>3.4722222222222224E-4</v>
      </c>
      <c r="I3974" s="118">
        <v>9.2592592592592585E-4</v>
      </c>
      <c r="J3974" s="118">
        <v>5.0462962962962961E-3</v>
      </c>
      <c r="K3974" s="118">
        <v>5.0462962962962961E-3</v>
      </c>
    </row>
    <row r="3975" spans="1:11" x14ac:dyDescent="0.25">
      <c r="A3975">
        <v>3</v>
      </c>
      <c r="B3975">
        <v>15</v>
      </c>
      <c r="C3975"/>
      <c r="D3975" t="s">
        <v>31</v>
      </c>
      <c r="E3975" t="s">
        <v>35</v>
      </c>
      <c r="F3975" t="s">
        <v>34</v>
      </c>
      <c r="G3975" s="118">
        <v>0.73420138888888886</v>
      </c>
      <c r="H3975" s="118">
        <v>8.449074074074075E-4</v>
      </c>
      <c r="I3975" s="118">
        <v>3.4722222222222224E-4</v>
      </c>
      <c r="J3975"/>
      <c r="K3975"/>
    </row>
    <row r="3976" spans="1:11" x14ac:dyDescent="0.25">
      <c r="A3976">
        <v>5</v>
      </c>
      <c r="B3976">
        <v>15</v>
      </c>
      <c r="C3976"/>
      <c r="D3976" t="s">
        <v>31</v>
      </c>
      <c r="E3976" t="s">
        <v>32</v>
      </c>
      <c r="F3976" t="s">
        <v>37</v>
      </c>
      <c r="G3976" s="118">
        <v>0.73440972222222223</v>
      </c>
      <c r="H3976" s="118">
        <v>3.4722222222222224E-4</v>
      </c>
      <c r="I3976" s="118">
        <v>9.0277777777777784E-4</v>
      </c>
      <c r="J3976" s="118">
        <v>5.0462962962962961E-3</v>
      </c>
      <c r="K3976" s="118">
        <v>5.0462962962962961E-3</v>
      </c>
    </row>
    <row r="3977" spans="1:11" x14ac:dyDescent="0.25">
      <c r="A3977">
        <v>4</v>
      </c>
      <c r="B3977">
        <v>15</v>
      </c>
      <c r="C3977"/>
      <c r="D3977" t="s">
        <v>31</v>
      </c>
      <c r="E3977" t="s">
        <v>32</v>
      </c>
      <c r="F3977" t="s">
        <v>92</v>
      </c>
      <c r="G3977" s="118">
        <v>0.73444444444444434</v>
      </c>
      <c r="H3977" s="118">
        <v>5.2083333333333333E-4</v>
      </c>
      <c r="I3977" s="118">
        <v>1.0069444444444444E-3</v>
      </c>
      <c r="J3977" s="118">
        <v>5.0462962962962961E-3</v>
      </c>
      <c r="K3977" s="118">
        <v>5.0462962962962961E-3</v>
      </c>
    </row>
    <row r="3978" spans="1:11" x14ac:dyDescent="0.25">
      <c r="A3978">
        <v>3</v>
      </c>
      <c r="B3978">
        <v>15</v>
      </c>
      <c r="C3978"/>
      <c r="D3978" t="s">
        <v>31</v>
      </c>
      <c r="E3978" t="s">
        <v>32</v>
      </c>
      <c r="F3978" t="s">
        <v>34</v>
      </c>
      <c r="G3978" s="118">
        <v>0.73454861111111114</v>
      </c>
      <c r="H3978" s="118">
        <v>3.4722222222222224E-4</v>
      </c>
      <c r="I3978" s="118">
        <v>9.1435185185185185E-4</v>
      </c>
      <c r="J3978" s="118">
        <v>5.0462962962962961E-3</v>
      </c>
      <c r="K3978" s="118">
        <v>5.0462962962962961E-3</v>
      </c>
    </row>
    <row r="3979" spans="1:11" x14ac:dyDescent="0.25">
      <c r="A3979">
        <v>2</v>
      </c>
      <c r="B3979">
        <v>15</v>
      </c>
      <c r="C3979"/>
      <c r="D3979" t="s">
        <v>31</v>
      </c>
      <c r="E3979" t="s">
        <v>35</v>
      </c>
      <c r="F3979" t="s">
        <v>51</v>
      </c>
      <c r="G3979" s="118">
        <v>0.73461805555555559</v>
      </c>
      <c r="H3979" s="118">
        <v>9.1435185185185185E-4</v>
      </c>
      <c r="I3979" s="118">
        <v>3.4722222222222224E-4</v>
      </c>
      <c r="J3979"/>
      <c r="K3979"/>
    </row>
    <row r="3980" spans="1:11" x14ac:dyDescent="0.25">
      <c r="A3980">
        <v>8</v>
      </c>
      <c r="B3980">
        <v>2</v>
      </c>
      <c r="C3980"/>
      <c r="D3980" t="s">
        <v>31</v>
      </c>
      <c r="E3980" t="s">
        <v>35</v>
      </c>
      <c r="F3980" t="s">
        <v>43</v>
      </c>
      <c r="G3980" s="118">
        <v>0.73469907407407409</v>
      </c>
      <c r="H3980" s="118">
        <v>1.0995370370370371E-3</v>
      </c>
      <c r="I3980" s="118">
        <v>3.4722222222222224E-4</v>
      </c>
      <c r="J3980"/>
      <c r="K3980"/>
    </row>
    <row r="3981" spans="1:11" x14ac:dyDescent="0.25">
      <c r="A3981">
        <v>9</v>
      </c>
      <c r="B3981">
        <v>2</v>
      </c>
      <c r="C3981"/>
      <c r="D3981" t="s">
        <v>31</v>
      </c>
      <c r="E3981" t="s">
        <v>35</v>
      </c>
      <c r="F3981" t="s">
        <v>57</v>
      </c>
      <c r="G3981" s="118">
        <v>0.73479166666666673</v>
      </c>
      <c r="H3981" s="118">
        <v>1.0532407407407407E-3</v>
      </c>
      <c r="I3981" s="118">
        <v>3.4722222222222224E-4</v>
      </c>
      <c r="J3981"/>
      <c r="K3981"/>
    </row>
    <row r="3982" spans="1:11" x14ac:dyDescent="0.25">
      <c r="A3982">
        <v>2</v>
      </c>
      <c r="B3982">
        <v>15</v>
      </c>
      <c r="C3982"/>
      <c r="D3982" t="s">
        <v>31</v>
      </c>
      <c r="E3982" t="s">
        <v>32</v>
      </c>
      <c r="F3982" t="s">
        <v>51</v>
      </c>
      <c r="G3982" s="118">
        <v>0.73496527777777787</v>
      </c>
      <c r="H3982" s="118">
        <v>3.4722222222222224E-4</v>
      </c>
      <c r="I3982" s="118">
        <v>1.0069444444444444E-3</v>
      </c>
      <c r="J3982" s="118">
        <v>5.0462962962962961E-3</v>
      </c>
      <c r="K3982" s="118">
        <v>5.0462962962962961E-3</v>
      </c>
    </row>
    <row r="3983" spans="1:11" x14ac:dyDescent="0.25">
      <c r="A3983">
        <v>8</v>
      </c>
      <c r="B3983">
        <v>2</v>
      </c>
      <c r="C3983"/>
      <c r="D3983" t="s">
        <v>31</v>
      </c>
      <c r="E3983" t="s">
        <v>32</v>
      </c>
      <c r="F3983" t="s">
        <v>43</v>
      </c>
      <c r="G3983" s="118">
        <v>0.73504629629629636</v>
      </c>
      <c r="H3983" s="118">
        <v>3.4722222222222224E-4</v>
      </c>
      <c r="I3983" s="118">
        <v>1.1458333333333333E-3</v>
      </c>
      <c r="J3983" s="118">
        <v>5.0462962962962961E-3</v>
      </c>
      <c r="K3983" s="118">
        <v>5.0462962962962961E-3</v>
      </c>
    </row>
    <row r="3984" spans="1:11" x14ac:dyDescent="0.25">
      <c r="A3984">
        <v>1</v>
      </c>
      <c r="B3984">
        <v>14</v>
      </c>
      <c r="C3984"/>
      <c r="D3984" t="s">
        <v>31</v>
      </c>
      <c r="E3984" t="s">
        <v>35</v>
      </c>
      <c r="F3984" t="s">
        <v>49</v>
      </c>
      <c r="G3984" s="118">
        <v>0.73511574074074071</v>
      </c>
      <c r="H3984" s="118">
        <v>9.2592592592592585E-4</v>
      </c>
      <c r="I3984" s="118">
        <v>3.4722222222222224E-4</v>
      </c>
      <c r="J3984"/>
      <c r="K3984"/>
    </row>
    <row r="3985" spans="1:11" x14ac:dyDescent="0.25">
      <c r="A3985">
        <v>9</v>
      </c>
      <c r="B3985">
        <v>2</v>
      </c>
      <c r="C3985"/>
      <c r="D3985" t="s">
        <v>31</v>
      </c>
      <c r="E3985" t="s">
        <v>32</v>
      </c>
      <c r="F3985" t="s">
        <v>57</v>
      </c>
      <c r="G3985" s="118">
        <v>0.7351388888888889</v>
      </c>
      <c r="H3985" s="118">
        <v>3.4722222222222224E-4</v>
      </c>
      <c r="I3985" s="118">
        <v>9.3750000000000007E-4</v>
      </c>
      <c r="J3985" s="118">
        <v>5.0462962962962961E-3</v>
      </c>
      <c r="K3985" s="118">
        <v>5.0462962962962961E-3</v>
      </c>
    </row>
    <row r="3986" spans="1:11" x14ac:dyDescent="0.25">
      <c r="A3986">
        <v>5</v>
      </c>
      <c r="B3986">
        <v>15</v>
      </c>
      <c r="C3986"/>
      <c r="D3986" t="s">
        <v>31</v>
      </c>
      <c r="E3986" t="s">
        <v>35</v>
      </c>
      <c r="F3986" t="s">
        <v>42</v>
      </c>
      <c r="G3986" s="118">
        <v>0.73531250000000004</v>
      </c>
      <c r="H3986" s="118">
        <v>9.0277777777777784E-4</v>
      </c>
      <c r="I3986" s="118">
        <v>3.4722222222222224E-4</v>
      </c>
      <c r="J3986"/>
      <c r="K3986"/>
    </row>
    <row r="3987" spans="1:11" x14ac:dyDescent="0.25">
      <c r="A3987">
        <v>4</v>
      </c>
      <c r="B3987">
        <v>15</v>
      </c>
      <c r="C3987"/>
      <c r="D3987" t="s">
        <v>31</v>
      </c>
      <c r="E3987" t="s">
        <v>35</v>
      </c>
      <c r="F3987" t="s">
        <v>41</v>
      </c>
      <c r="G3987" s="118">
        <v>0.73545138888888895</v>
      </c>
      <c r="H3987" s="118">
        <v>1.0069444444444444E-3</v>
      </c>
      <c r="I3987" s="118">
        <v>3.4722222222222224E-4</v>
      </c>
      <c r="J3987"/>
      <c r="K3987"/>
    </row>
    <row r="3988" spans="1:11" x14ac:dyDescent="0.25">
      <c r="A3988">
        <v>1</v>
      </c>
      <c r="B3988">
        <v>14</v>
      </c>
      <c r="C3988"/>
      <c r="D3988" t="s">
        <v>31</v>
      </c>
      <c r="E3988" t="s">
        <v>32</v>
      </c>
      <c r="F3988" t="s">
        <v>49</v>
      </c>
      <c r="G3988" s="118">
        <v>0.73546296296296287</v>
      </c>
      <c r="H3988" s="118">
        <v>3.4722222222222224E-4</v>
      </c>
      <c r="I3988" s="118">
        <v>1.3541666666666667E-3</v>
      </c>
      <c r="J3988" s="118">
        <v>5.0462962962962961E-3</v>
      </c>
      <c r="K3988" s="118">
        <v>5.0462962962962961E-3</v>
      </c>
    </row>
    <row r="3989" spans="1:11" x14ac:dyDescent="0.25">
      <c r="A3989">
        <v>3</v>
      </c>
      <c r="B3989">
        <v>15</v>
      </c>
      <c r="C3989"/>
      <c r="D3989" t="s">
        <v>31</v>
      </c>
      <c r="E3989" t="s">
        <v>35</v>
      </c>
      <c r="F3989" t="s">
        <v>38</v>
      </c>
      <c r="G3989" s="118">
        <v>0.73546296296296287</v>
      </c>
      <c r="H3989" s="118">
        <v>9.1435185185185185E-4</v>
      </c>
      <c r="I3989" s="118">
        <v>3.4722222222222224E-4</v>
      </c>
      <c r="J3989"/>
      <c r="K3989"/>
    </row>
    <row r="3990" spans="1:11" x14ac:dyDescent="0.25">
      <c r="A3990">
        <v>5</v>
      </c>
      <c r="B3990">
        <v>15</v>
      </c>
      <c r="C3990"/>
      <c r="D3990" t="s">
        <v>31</v>
      </c>
      <c r="E3990" t="s">
        <v>32</v>
      </c>
      <c r="F3990" t="s">
        <v>42</v>
      </c>
      <c r="G3990" s="118">
        <v>0.7356597222222222</v>
      </c>
      <c r="H3990" s="118">
        <v>3.4722222222222224E-4</v>
      </c>
      <c r="I3990" s="118">
        <v>9.1435185185185185E-4</v>
      </c>
      <c r="J3990" s="118">
        <v>5.0462962962962961E-3</v>
      </c>
      <c r="K3990" s="118">
        <v>5.0462962962962961E-3</v>
      </c>
    </row>
    <row r="3991" spans="1:11" x14ac:dyDescent="0.25">
      <c r="A3991">
        <v>4</v>
      </c>
      <c r="B3991">
        <v>15</v>
      </c>
      <c r="C3991"/>
      <c r="D3991" t="s">
        <v>31</v>
      </c>
      <c r="E3991" t="s">
        <v>32</v>
      </c>
      <c r="F3991" t="s">
        <v>41</v>
      </c>
      <c r="G3991" s="118">
        <v>0.73579861111111111</v>
      </c>
      <c r="H3991" s="118">
        <v>3.4722222222222224E-4</v>
      </c>
      <c r="I3991" s="118">
        <v>8.564814814814815E-4</v>
      </c>
      <c r="J3991" s="118">
        <v>5.0462962962962961E-3</v>
      </c>
      <c r="K3991" s="118">
        <v>5.0462962962962961E-3</v>
      </c>
    </row>
    <row r="3992" spans="1:11" x14ac:dyDescent="0.25">
      <c r="A3992">
        <v>3</v>
      </c>
      <c r="B3992">
        <v>15</v>
      </c>
      <c r="C3992"/>
      <c r="D3992" t="s">
        <v>31</v>
      </c>
      <c r="E3992" t="s">
        <v>32</v>
      </c>
      <c r="F3992" t="s">
        <v>38</v>
      </c>
      <c r="G3992" s="118">
        <v>0.73581018518518526</v>
      </c>
      <c r="H3992" s="118">
        <v>3.4722222222222224E-4</v>
      </c>
      <c r="I3992" s="118">
        <v>1.2384259259259258E-3</v>
      </c>
      <c r="J3992" s="118">
        <v>5.0462962962962961E-3</v>
      </c>
      <c r="K3992" s="118">
        <v>5.0462962962962961E-3</v>
      </c>
    </row>
    <row r="3993" spans="1:11" x14ac:dyDescent="0.25">
      <c r="A3993">
        <v>2</v>
      </c>
      <c r="B3993">
        <v>15</v>
      </c>
      <c r="C3993"/>
      <c r="D3993" t="s">
        <v>31</v>
      </c>
      <c r="E3993" t="s">
        <v>35</v>
      </c>
      <c r="F3993" t="s">
        <v>55</v>
      </c>
      <c r="G3993" s="118">
        <v>0.73597222222222225</v>
      </c>
      <c r="H3993" s="118">
        <v>1.0069444444444444E-3</v>
      </c>
      <c r="I3993" s="118">
        <v>4.6296296296296293E-4</v>
      </c>
      <c r="J3993"/>
      <c r="K3993"/>
    </row>
    <row r="3994" spans="1:11" x14ac:dyDescent="0.25">
      <c r="A3994">
        <v>9</v>
      </c>
      <c r="B3994">
        <v>2</v>
      </c>
      <c r="C3994"/>
      <c r="D3994" t="s">
        <v>31</v>
      </c>
      <c r="E3994" t="s">
        <v>35</v>
      </c>
      <c r="F3994" t="s">
        <v>39</v>
      </c>
      <c r="G3994" s="118">
        <v>0.73607638888888882</v>
      </c>
      <c r="H3994" s="118">
        <v>9.3750000000000007E-4</v>
      </c>
      <c r="I3994" s="118">
        <v>5.2083333333333333E-4</v>
      </c>
      <c r="J3994"/>
      <c r="K3994"/>
    </row>
    <row r="3995" spans="1:11" x14ac:dyDescent="0.25">
      <c r="A3995">
        <v>8</v>
      </c>
      <c r="B3995">
        <v>2</v>
      </c>
      <c r="C3995"/>
      <c r="D3995" t="s">
        <v>31</v>
      </c>
      <c r="E3995" t="s">
        <v>35</v>
      </c>
      <c r="F3995" t="s">
        <v>50</v>
      </c>
      <c r="G3995" s="118">
        <v>0.73619212962962965</v>
      </c>
      <c r="H3995" s="118">
        <v>1.1458333333333333E-3</v>
      </c>
      <c r="I3995" s="118">
        <v>3.4722222222222224E-4</v>
      </c>
      <c r="J3995"/>
      <c r="K3995"/>
    </row>
    <row r="3996" spans="1:11" x14ac:dyDescent="0.25">
      <c r="A3996">
        <v>2</v>
      </c>
      <c r="B3996">
        <v>15</v>
      </c>
      <c r="C3996"/>
      <c r="D3996" t="s">
        <v>31</v>
      </c>
      <c r="E3996" t="s">
        <v>32</v>
      </c>
      <c r="F3996" t="s">
        <v>55</v>
      </c>
      <c r="G3996" s="118">
        <v>0.73643518518518514</v>
      </c>
      <c r="H3996" s="118">
        <v>4.6296296296296293E-4</v>
      </c>
      <c r="I3996" s="118">
        <v>4.3981481481481481E-4</v>
      </c>
      <c r="J3996" s="118">
        <v>5.0462962962962961E-3</v>
      </c>
      <c r="K3996" s="118">
        <v>5.0462962962962961E-3</v>
      </c>
    </row>
    <row r="3997" spans="1:11" x14ac:dyDescent="0.25">
      <c r="A3997">
        <v>8</v>
      </c>
      <c r="B3997">
        <v>2</v>
      </c>
      <c r="C3997"/>
      <c r="D3997" t="s">
        <v>31</v>
      </c>
      <c r="E3997" t="s">
        <v>32</v>
      </c>
      <c r="F3997" t="s">
        <v>50</v>
      </c>
      <c r="G3997" s="118">
        <v>0.73653935185185182</v>
      </c>
      <c r="H3997" s="118">
        <v>3.4722222222222224E-4</v>
      </c>
      <c r="I3997" s="118">
        <v>1.261574074074074E-3</v>
      </c>
      <c r="J3997" s="118">
        <v>5.0462962962962961E-3</v>
      </c>
      <c r="K3997" s="118">
        <v>5.0462962962962961E-3</v>
      </c>
    </row>
    <row r="3998" spans="1:11" x14ac:dyDescent="0.25">
      <c r="A3998">
        <v>5</v>
      </c>
      <c r="B3998">
        <v>15</v>
      </c>
      <c r="C3998"/>
      <c r="D3998" t="s">
        <v>31</v>
      </c>
      <c r="E3998" t="s">
        <v>35</v>
      </c>
      <c r="F3998" t="s">
        <v>48</v>
      </c>
      <c r="G3998" s="118">
        <v>0.73657407407407405</v>
      </c>
      <c r="H3998" s="118">
        <v>9.1435185185185185E-4</v>
      </c>
      <c r="I3998" s="118">
        <v>5.2083333333333333E-4</v>
      </c>
      <c r="J3998"/>
      <c r="K3998"/>
    </row>
    <row r="3999" spans="1:11" x14ac:dyDescent="0.25">
      <c r="A3999">
        <v>9</v>
      </c>
      <c r="B3999">
        <v>2</v>
      </c>
      <c r="C3999"/>
      <c r="D3999" t="s">
        <v>31</v>
      </c>
      <c r="E3999" t="s">
        <v>32</v>
      </c>
      <c r="F3999" t="s">
        <v>39</v>
      </c>
      <c r="G3999" s="118">
        <v>0.73659722222222224</v>
      </c>
      <c r="H3999" s="118">
        <v>5.2083333333333333E-4</v>
      </c>
      <c r="I3999" s="118">
        <v>1.8055555555555557E-3</v>
      </c>
      <c r="J3999" s="118">
        <v>5.0462962962962961E-3</v>
      </c>
      <c r="K3999" s="118">
        <v>5.0462962962962961E-3</v>
      </c>
    </row>
    <row r="4000" spans="1:11" x14ac:dyDescent="0.25">
      <c r="A4000">
        <v>4</v>
      </c>
      <c r="B4000">
        <v>15</v>
      </c>
      <c r="C4000"/>
      <c r="D4000" t="s">
        <v>31</v>
      </c>
      <c r="E4000" t="s">
        <v>35</v>
      </c>
      <c r="F4000" t="s">
        <v>47</v>
      </c>
      <c r="G4000" s="118">
        <v>0.73665509259259254</v>
      </c>
      <c r="H4000" s="118">
        <v>8.564814814814815E-4</v>
      </c>
      <c r="I4000" s="118">
        <v>5.2083333333333333E-4</v>
      </c>
      <c r="J4000"/>
      <c r="K4000"/>
    </row>
    <row r="4001" spans="1:11" x14ac:dyDescent="0.25">
      <c r="A4001">
        <v>1</v>
      </c>
      <c r="B4001">
        <v>14</v>
      </c>
      <c r="C4001"/>
      <c r="D4001" t="s">
        <v>31</v>
      </c>
      <c r="E4001" t="s">
        <v>35</v>
      </c>
      <c r="F4001" t="s">
        <v>33</v>
      </c>
      <c r="G4001" s="118">
        <v>0.73681712962962964</v>
      </c>
      <c r="H4001" s="118">
        <v>1.3541666666666667E-3</v>
      </c>
      <c r="I4001" s="118">
        <v>5.2083333333333333E-4</v>
      </c>
      <c r="J4001"/>
      <c r="K4001"/>
    </row>
    <row r="4002" spans="1:11" x14ac:dyDescent="0.25">
      <c r="A4002">
        <v>2</v>
      </c>
      <c r="B4002">
        <v>15</v>
      </c>
      <c r="C4002"/>
      <c r="D4002" t="s">
        <v>31</v>
      </c>
      <c r="E4002" t="s">
        <v>35</v>
      </c>
      <c r="F4002" t="s">
        <v>58</v>
      </c>
      <c r="G4002" s="118">
        <v>0.73687499999999995</v>
      </c>
      <c r="H4002" s="118">
        <v>4.3981481481481481E-4</v>
      </c>
      <c r="I4002" s="118">
        <v>5.7870370370370366E-5</v>
      </c>
      <c r="J4002"/>
      <c r="K4002"/>
    </row>
    <row r="4003" spans="1:11" x14ac:dyDescent="0.25">
      <c r="A4003">
        <v>2</v>
      </c>
      <c r="B4003">
        <v>15</v>
      </c>
      <c r="C4003"/>
      <c r="D4003" t="s">
        <v>31</v>
      </c>
      <c r="E4003" t="s">
        <v>32</v>
      </c>
      <c r="F4003" t="s">
        <v>58</v>
      </c>
      <c r="G4003" s="118">
        <v>0.73693287037037036</v>
      </c>
      <c r="H4003" s="118">
        <v>5.7870370370370366E-5</v>
      </c>
      <c r="I4003" s="118">
        <v>4.8611111111111104E-4</v>
      </c>
      <c r="J4003" s="118">
        <v>5.0462962962962961E-3</v>
      </c>
      <c r="K4003" s="118">
        <v>5.0462962962962961E-3</v>
      </c>
    </row>
    <row r="4004" spans="1:11" x14ac:dyDescent="0.25">
      <c r="A4004">
        <v>3</v>
      </c>
      <c r="B4004">
        <v>15</v>
      </c>
      <c r="C4004"/>
      <c r="D4004" t="s">
        <v>31</v>
      </c>
      <c r="E4004" t="s">
        <v>35</v>
      </c>
      <c r="F4004" t="s">
        <v>45</v>
      </c>
      <c r="G4004" s="118">
        <v>0.73704861111111108</v>
      </c>
      <c r="H4004" s="118">
        <v>1.2384259259259258E-3</v>
      </c>
      <c r="I4004" s="118">
        <v>3.4722222222222224E-4</v>
      </c>
      <c r="J4004"/>
      <c r="K4004"/>
    </row>
    <row r="4005" spans="1:11" x14ac:dyDescent="0.25">
      <c r="A4005">
        <v>5</v>
      </c>
      <c r="B4005">
        <v>15</v>
      </c>
      <c r="C4005"/>
      <c r="D4005" t="s">
        <v>31</v>
      </c>
      <c r="E4005" t="s">
        <v>32</v>
      </c>
      <c r="F4005" t="s">
        <v>48</v>
      </c>
      <c r="G4005" s="118">
        <v>0.73709490740740735</v>
      </c>
      <c r="H4005" s="118">
        <v>5.2083333333333333E-4</v>
      </c>
      <c r="I4005" s="118">
        <v>8.6805555555555551E-4</v>
      </c>
      <c r="J4005" s="118">
        <v>5.0462962962962961E-3</v>
      </c>
      <c r="K4005" s="118">
        <v>5.0462962962962961E-3</v>
      </c>
    </row>
    <row r="4006" spans="1:11" x14ac:dyDescent="0.25">
      <c r="A4006">
        <v>4</v>
      </c>
      <c r="B4006">
        <v>15</v>
      </c>
      <c r="C4006"/>
      <c r="D4006" t="s">
        <v>31</v>
      </c>
      <c r="E4006" t="s">
        <v>32</v>
      </c>
      <c r="F4006" t="s">
        <v>47</v>
      </c>
      <c r="G4006" s="118">
        <v>0.73717592592592596</v>
      </c>
      <c r="H4006" s="118">
        <v>5.2083333333333333E-4</v>
      </c>
      <c r="I4006" s="118">
        <v>8.7962962962962962E-4</v>
      </c>
      <c r="J4006" s="118">
        <v>5.0462962962962961E-3</v>
      </c>
      <c r="K4006" s="118">
        <v>5.0462962962962961E-3</v>
      </c>
    </row>
    <row r="4007" spans="1:11" x14ac:dyDescent="0.25">
      <c r="A4007">
        <v>1</v>
      </c>
      <c r="B4007">
        <v>14</v>
      </c>
      <c r="C4007"/>
      <c r="D4007" t="s">
        <v>31</v>
      </c>
      <c r="E4007" t="s">
        <v>32</v>
      </c>
      <c r="F4007" t="s">
        <v>33</v>
      </c>
      <c r="G4007" s="118">
        <v>0.73733796296296295</v>
      </c>
      <c r="H4007" s="118">
        <v>5.2083333333333333E-4</v>
      </c>
      <c r="I4007" s="118">
        <v>9.6064814814814808E-4</v>
      </c>
      <c r="J4007" s="118">
        <v>5.0462962962962961E-3</v>
      </c>
      <c r="K4007" s="118">
        <v>5.0462962962962961E-3</v>
      </c>
    </row>
    <row r="4008" spans="1:11" x14ac:dyDescent="0.25">
      <c r="A4008">
        <v>3</v>
      </c>
      <c r="B4008">
        <v>15</v>
      </c>
      <c r="C4008"/>
      <c r="D4008" t="s">
        <v>31</v>
      </c>
      <c r="E4008" t="s">
        <v>32</v>
      </c>
      <c r="F4008" t="s">
        <v>45</v>
      </c>
      <c r="G4008" s="118">
        <v>0.73739583333333336</v>
      </c>
      <c r="H4008" s="118">
        <v>3.4722222222222224E-4</v>
      </c>
      <c r="I4008" s="118">
        <v>1.0416666666666667E-3</v>
      </c>
      <c r="J4008" s="118">
        <v>5.0462962962962961E-3</v>
      </c>
      <c r="K4008" s="118">
        <v>5.0462962962962961E-3</v>
      </c>
    </row>
    <row r="4009" spans="1:11" x14ac:dyDescent="0.25">
      <c r="A4009">
        <v>2</v>
      </c>
      <c r="B4009">
        <v>15</v>
      </c>
      <c r="C4009"/>
      <c r="D4009" t="s">
        <v>31</v>
      </c>
      <c r="E4009" t="s">
        <v>35</v>
      </c>
      <c r="F4009" t="s">
        <v>40</v>
      </c>
      <c r="G4009" s="118">
        <v>0.73741898148148144</v>
      </c>
      <c r="H4009" s="118">
        <v>4.8611111111111104E-4</v>
      </c>
      <c r="I4009" s="118">
        <v>4.6296296296296293E-4</v>
      </c>
      <c r="J4009"/>
      <c r="K4009"/>
    </row>
    <row r="4010" spans="1:11" x14ac:dyDescent="0.25">
      <c r="A4010">
        <v>8</v>
      </c>
      <c r="B4010">
        <v>2</v>
      </c>
      <c r="C4010"/>
      <c r="D4010" t="s">
        <v>31</v>
      </c>
      <c r="E4010" t="s">
        <v>35</v>
      </c>
      <c r="F4010" t="s">
        <v>56</v>
      </c>
      <c r="G4010" s="118">
        <v>0.73780092592592583</v>
      </c>
      <c r="H4010" s="118">
        <v>1.261574074074074E-3</v>
      </c>
      <c r="I4010" s="118">
        <v>3.4722222222222224E-4</v>
      </c>
      <c r="J4010"/>
      <c r="K4010"/>
    </row>
    <row r="4011" spans="1:11" x14ac:dyDescent="0.25">
      <c r="A4011">
        <v>2</v>
      </c>
      <c r="B4011">
        <v>15</v>
      </c>
      <c r="C4011"/>
      <c r="D4011" t="s">
        <v>31</v>
      </c>
      <c r="E4011" t="s">
        <v>32</v>
      </c>
      <c r="F4011" t="s">
        <v>40</v>
      </c>
      <c r="G4011" s="118">
        <v>0.73788194444444455</v>
      </c>
      <c r="H4011" s="118">
        <v>4.6296296296296293E-4</v>
      </c>
      <c r="I4011" s="118">
        <v>1.0069444444444444E-3</v>
      </c>
      <c r="J4011" s="118">
        <v>5.0462962962962961E-3</v>
      </c>
      <c r="K4011" s="118">
        <v>5.0462962962962961E-3</v>
      </c>
    </row>
    <row r="4012" spans="1:11" x14ac:dyDescent="0.25">
      <c r="A4012">
        <v>5</v>
      </c>
      <c r="B4012">
        <v>15</v>
      </c>
      <c r="C4012"/>
      <c r="D4012" t="s">
        <v>31</v>
      </c>
      <c r="E4012" t="s">
        <v>35</v>
      </c>
      <c r="F4012" t="s">
        <v>54</v>
      </c>
      <c r="G4012" s="118">
        <v>0.73796296296296304</v>
      </c>
      <c r="H4012" s="118">
        <v>8.6805555555555551E-4</v>
      </c>
      <c r="I4012" s="118">
        <v>3.4722222222222224E-4</v>
      </c>
      <c r="J4012"/>
      <c r="K4012"/>
    </row>
    <row r="4013" spans="1:11" x14ac:dyDescent="0.25">
      <c r="A4013">
        <v>4</v>
      </c>
      <c r="B4013">
        <v>15</v>
      </c>
      <c r="C4013"/>
      <c r="D4013" t="s">
        <v>31</v>
      </c>
      <c r="E4013" t="s">
        <v>35</v>
      </c>
      <c r="F4013" t="s">
        <v>53</v>
      </c>
      <c r="G4013" s="118">
        <v>0.73805555555555558</v>
      </c>
      <c r="H4013" s="118">
        <v>8.7962962962962962E-4</v>
      </c>
      <c r="I4013" s="118">
        <v>3.4722222222222224E-4</v>
      </c>
      <c r="J4013"/>
      <c r="K4013"/>
    </row>
    <row r="4014" spans="1:11" x14ac:dyDescent="0.25">
      <c r="A4014">
        <v>8</v>
      </c>
      <c r="B4014">
        <v>2</v>
      </c>
      <c r="C4014"/>
      <c r="D4014" t="s">
        <v>31</v>
      </c>
      <c r="E4014" t="s">
        <v>32</v>
      </c>
      <c r="F4014" t="s">
        <v>56</v>
      </c>
      <c r="G4014" s="118">
        <v>0.73814814814814811</v>
      </c>
      <c r="H4014" s="118">
        <v>3.4722222222222224E-4</v>
      </c>
      <c r="I4014" s="118">
        <v>9.6064814814814808E-4</v>
      </c>
      <c r="J4014" s="118">
        <v>5.0462962962962961E-3</v>
      </c>
      <c r="K4014" s="118">
        <v>5.0462962962962961E-3</v>
      </c>
    </row>
    <row r="4015" spans="1:11" x14ac:dyDescent="0.25">
      <c r="A4015">
        <v>1</v>
      </c>
      <c r="B4015">
        <v>14</v>
      </c>
      <c r="C4015"/>
      <c r="D4015" t="s">
        <v>31</v>
      </c>
      <c r="E4015" t="s">
        <v>35</v>
      </c>
      <c r="F4015" t="s">
        <v>36</v>
      </c>
      <c r="G4015" s="118">
        <v>0.73829861111111106</v>
      </c>
      <c r="H4015" s="118">
        <v>9.6064814814814808E-4</v>
      </c>
      <c r="I4015" s="118">
        <v>3.4722222222222224E-4</v>
      </c>
      <c r="J4015"/>
      <c r="K4015"/>
    </row>
    <row r="4016" spans="1:11" x14ac:dyDescent="0.25">
      <c r="A4016">
        <v>5</v>
      </c>
      <c r="B4016">
        <v>15</v>
      </c>
      <c r="C4016"/>
      <c r="D4016" t="s">
        <v>31</v>
      </c>
      <c r="E4016" t="s">
        <v>32</v>
      </c>
      <c r="F4016" t="s">
        <v>54</v>
      </c>
      <c r="G4016" s="118">
        <v>0.73831018518518521</v>
      </c>
      <c r="H4016" s="118">
        <v>3.4722222222222224E-4</v>
      </c>
      <c r="I4016" s="118">
        <v>6.5972222222222213E-4</v>
      </c>
      <c r="J4016" s="118">
        <v>5.0462962962962961E-3</v>
      </c>
      <c r="K4016" s="118">
        <v>5.0462962962962961E-3</v>
      </c>
    </row>
    <row r="4017" spans="1:11" x14ac:dyDescent="0.25">
      <c r="A4017">
        <v>4</v>
      </c>
      <c r="B4017">
        <v>15</v>
      </c>
      <c r="C4017"/>
      <c r="D4017" t="s">
        <v>31</v>
      </c>
      <c r="E4017" t="s">
        <v>32</v>
      </c>
      <c r="F4017" t="s">
        <v>53</v>
      </c>
      <c r="G4017" s="118">
        <v>0.73840277777777785</v>
      </c>
      <c r="H4017" s="118">
        <v>3.4722222222222224E-4</v>
      </c>
      <c r="I4017" s="118">
        <v>8.449074074074075E-4</v>
      </c>
      <c r="J4017" s="118">
        <v>5.0462962962962961E-3</v>
      </c>
      <c r="K4017" s="118">
        <v>5.0462962962962961E-3</v>
      </c>
    </row>
    <row r="4018" spans="1:11" x14ac:dyDescent="0.25">
      <c r="A4018">
        <v>9</v>
      </c>
      <c r="B4018">
        <v>2</v>
      </c>
      <c r="C4018"/>
      <c r="D4018" t="s">
        <v>31</v>
      </c>
      <c r="E4018" t="s">
        <v>35</v>
      </c>
      <c r="F4018" t="s">
        <v>46</v>
      </c>
      <c r="G4018" s="118">
        <v>0.73840277777777785</v>
      </c>
      <c r="H4018" s="118">
        <v>1.8055555555555557E-3</v>
      </c>
      <c r="I4018" s="118">
        <v>3.4722222222222224E-4</v>
      </c>
      <c r="J4018"/>
      <c r="K4018"/>
    </row>
    <row r="4019" spans="1:11" x14ac:dyDescent="0.25">
      <c r="A4019">
        <v>3</v>
      </c>
      <c r="B4019">
        <v>15</v>
      </c>
      <c r="C4019"/>
      <c r="D4019" t="s">
        <v>31</v>
      </c>
      <c r="E4019" t="s">
        <v>35</v>
      </c>
      <c r="F4019" t="s">
        <v>52</v>
      </c>
      <c r="G4019" s="118">
        <v>0.73843749999999997</v>
      </c>
      <c r="H4019" s="118">
        <v>1.0416666666666667E-3</v>
      </c>
      <c r="I4019" s="118">
        <v>3.4722222222222224E-4</v>
      </c>
      <c r="J4019"/>
      <c r="K4019"/>
    </row>
    <row r="4020" spans="1:11" x14ac:dyDescent="0.25">
      <c r="A4020">
        <v>1</v>
      </c>
      <c r="B4020">
        <v>14</v>
      </c>
      <c r="C4020"/>
      <c r="D4020" t="s">
        <v>31</v>
      </c>
      <c r="E4020" t="s">
        <v>32</v>
      </c>
      <c r="F4020" t="s">
        <v>36</v>
      </c>
      <c r="G4020" s="118">
        <v>0.73864583333333333</v>
      </c>
      <c r="H4020" s="118">
        <v>3.4722222222222224E-4</v>
      </c>
      <c r="I4020" s="118">
        <v>1.0995370370370371E-3</v>
      </c>
      <c r="J4020" s="118">
        <v>5.0462962962962961E-3</v>
      </c>
      <c r="K4020" s="118">
        <v>5.0462962962962961E-3</v>
      </c>
    </row>
    <row r="4021" spans="1:11" x14ac:dyDescent="0.25">
      <c r="A4021">
        <v>9</v>
      </c>
      <c r="B4021">
        <v>2</v>
      </c>
      <c r="C4021"/>
      <c r="D4021" t="s">
        <v>31</v>
      </c>
      <c r="E4021" t="s">
        <v>32</v>
      </c>
      <c r="F4021" t="s">
        <v>46</v>
      </c>
      <c r="G4021" s="118">
        <v>0.73875000000000002</v>
      </c>
      <c r="H4021" s="118">
        <v>3.4722222222222224E-4</v>
      </c>
      <c r="I4021" s="118">
        <v>9.1435185185185185E-4</v>
      </c>
      <c r="J4021" s="118">
        <v>5.0462962962962961E-3</v>
      </c>
      <c r="K4021" s="118">
        <v>5.0462962962962961E-3</v>
      </c>
    </row>
    <row r="4022" spans="1:11" x14ac:dyDescent="0.25">
      <c r="A4022">
        <v>3</v>
      </c>
      <c r="B4022">
        <v>15</v>
      </c>
      <c r="C4022"/>
      <c r="D4022" t="s">
        <v>31</v>
      </c>
      <c r="E4022" t="s">
        <v>32</v>
      </c>
      <c r="F4022" t="s">
        <v>52</v>
      </c>
      <c r="G4022" s="118">
        <v>0.73878472222222225</v>
      </c>
      <c r="H4022" s="118">
        <v>3.4722222222222224E-4</v>
      </c>
      <c r="I4022" s="118">
        <v>1.0532407407407407E-3</v>
      </c>
      <c r="J4022" s="118">
        <v>5.0462962962962961E-3</v>
      </c>
      <c r="K4022" s="118">
        <v>5.0462962962962961E-3</v>
      </c>
    </row>
    <row r="4023" spans="1:11" x14ac:dyDescent="0.25">
      <c r="A4023">
        <v>2</v>
      </c>
      <c r="B4023">
        <v>15</v>
      </c>
      <c r="C4023"/>
      <c r="D4023" t="s">
        <v>31</v>
      </c>
      <c r="E4023" t="s">
        <v>35</v>
      </c>
      <c r="F4023" t="s">
        <v>44</v>
      </c>
      <c r="G4023" s="118">
        <v>0.73888888888888893</v>
      </c>
      <c r="H4023" s="118">
        <v>1.0069444444444444E-3</v>
      </c>
      <c r="I4023" s="118">
        <v>3.4722222222222224E-4</v>
      </c>
      <c r="J4023"/>
      <c r="K4023"/>
    </row>
    <row r="4024" spans="1:11" x14ac:dyDescent="0.25">
      <c r="A4024">
        <v>5</v>
      </c>
      <c r="B4024">
        <v>15</v>
      </c>
      <c r="C4024"/>
      <c r="D4024" t="s">
        <v>31</v>
      </c>
      <c r="E4024" t="s">
        <v>35</v>
      </c>
      <c r="F4024" t="s">
        <v>92</v>
      </c>
      <c r="G4024" s="118">
        <v>0.73896990740740742</v>
      </c>
      <c r="H4024" s="118">
        <v>6.5972222222222213E-4</v>
      </c>
      <c r="I4024" s="118">
        <v>5.2083333333333333E-4</v>
      </c>
      <c r="J4024"/>
      <c r="K4024"/>
    </row>
    <row r="4025" spans="1:11" x14ac:dyDescent="0.25">
      <c r="A4025">
        <v>8</v>
      </c>
      <c r="B4025">
        <v>2</v>
      </c>
      <c r="C4025"/>
      <c r="D4025" t="s">
        <v>31</v>
      </c>
      <c r="E4025" t="s">
        <v>35</v>
      </c>
      <c r="F4025" t="s">
        <v>37</v>
      </c>
      <c r="G4025" s="118">
        <v>0.73910879629629633</v>
      </c>
      <c r="H4025" s="118">
        <v>9.6064814814814808E-4</v>
      </c>
      <c r="I4025" s="118">
        <v>3.4722222222222224E-4</v>
      </c>
      <c r="J4025"/>
      <c r="K4025"/>
    </row>
    <row r="4026" spans="1:11" x14ac:dyDescent="0.25">
      <c r="A4026">
        <v>2</v>
      </c>
      <c r="B4026">
        <v>15</v>
      </c>
      <c r="C4026"/>
      <c r="D4026" t="s">
        <v>31</v>
      </c>
      <c r="E4026" t="s">
        <v>32</v>
      </c>
      <c r="F4026" t="s">
        <v>44</v>
      </c>
      <c r="G4026" s="118">
        <v>0.73923611111111109</v>
      </c>
      <c r="H4026" s="118">
        <v>3.4722222222222224E-4</v>
      </c>
      <c r="I4026" s="118">
        <v>9.2592592592592585E-4</v>
      </c>
      <c r="J4026" s="118">
        <v>5.0462962962962961E-3</v>
      </c>
      <c r="K4026" s="118">
        <v>5.0462962962962961E-3</v>
      </c>
    </row>
    <row r="4027" spans="1:11" x14ac:dyDescent="0.25">
      <c r="A4027">
        <v>4</v>
      </c>
      <c r="B4027">
        <v>15</v>
      </c>
      <c r="C4027"/>
      <c r="D4027" t="s">
        <v>31</v>
      </c>
      <c r="E4027" t="s">
        <v>35</v>
      </c>
      <c r="F4027" t="s">
        <v>34</v>
      </c>
      <c r="G4027" s="118">
        <v>0.73924768518518524</v>
      </c>
      <c r="H4027" s="118">
        <v>8.449074074074075E-4</v>
      </c>
      <c r="I4027" s="118">
        <v>3.4722222222222224E-4</v>
      </c>
      <c r="J4027"/>
      <c r="K4027"/>
    </row>
    <row r="4028" spans="1:11" x14ac:dyDescent="0.25">
      <c r="A4028">
        <v>8</v>
      </c>
      <c r="B4028">
        <v>2</v>
      </c>
      <c r="C4028"/>
      <c r="D4028" t="s">
        <v>31</v>
      </c>
      <c r="E4028" t="s">
        <v>32</v>
      </c>
      <c r="F4028" t="s">
        <v>37</v>
      </c>
      <c r="G4028" s="118">
        <v>0.7394560185185185</v>
      </c>
      <c r="H4028" s="118">
        <v>3.4722222222222224E-4</v>
      </c>
      <c r="I4028" s="118">
        <v>9.0277777777777784E-4</v>
      </c>
      <c r="J4028" s="118">
        <v>5.0462962962962961E-3</v>
      </c>
      <c r="K4028" s="118">
        <v>5.0462962962962961E-3</v>
      </c>
    </row>
    <row r="4029" spans="1:11" x14ac:dyDescent="0.25">
      <c r="A4029">
        <v>5</v>
      </c>
      <c r="B4029">
        <v>16</v>
      </c>
      <c r="C4029"/>
      <c r="D4029" t="s">
        <v>31</v>
      </c>
      <c r="E4029" t="s">
        <v>32</v>
      </c>
      <c r="F4029" t="s">
        <v>92</v>
      </c>
      <c r="G4029" s="118">
        <v>0.73949074074074073</v>
      </c>
      <c r="H4029" s="118">
        <v>5.2083333333333333E-4</v>
      </c>
      <c r="I4029" s="118">
        <v>1.0069444444444444E-3</v>
      </c>
      <c r="J4029" s="118">
        <v>5.0462962962962961E-3</v>
      </c>
      <c r="K4029" s="118">
        <v>5.0462962962962961E-3</v>
      </c>
    </row>
    <row r="4030" spans="1:11" x14ac:dyDescent="0.25">
      <c r="A4030">
        <v>4</v>
      </c>
      <c r="B4030">
        <v>15</v>
      </c>
      <c r="C4030"/>
      <c r="D4030" t="s">
        <v>31</v>
      </c>
      <c r="E4030" t="s">
        <v>32</v>
      </c>
      <c r="F4030" t="s">
        <v>34</v>
      </c>
      <c r="G4030" s="118">
        <v>0.73959490740740741</v>
      </c>
      <c r="H4030" s="118">
        <v>3.4722222222222224E-4</v>
      </c>
      <c r="I4030" s="118">
        <v>9.1435185185185185E-4</v>
      </c>
      <c r="J4030" s="118">
        <v>5.0462962962962961E-3</v>
      </c>
      <c r="K4030" s="118">
        <v>5.0462962962962961E-3</v>
      </c>
    </row>
    <row r="4031" spans="1:11" x14ac:dyDescent="0.25">
      <c r="A4031">
        <v>9</v>
      </c>
      <c r="B4031">
        <v>2</v>
      </c>
      <c r="C4031"/>
      <c r="D4031" t="s">
        <v>31</v>
      </c>
      <c r="E4031" t="s">
        <v>35</v>
      </c>
      <c r="F4031" t="s">
        <v>51</v>
      </c>
      <c r="G4031" s="118">
        <v>0.73966435185185186</v>
      </c>
      <c r="H4031" s="118">
        <v>9.1435185185185185E-4</v>
      </c>
      <c r="I4031" s="118">
        <v>3.4722222222222224E-4</v>
      </c>
      <c r="J4031"/>
      <c r="K4031"/>
    </row>
    <row r="4032" spans="1:11" x14ac:dyDescent="0.25">
      <c r="A4032">
        <v>1</v>
      </c>
      <c r="B4032">
        <v>14</v>
      </c>
      <c r="C4032"/>
      <c r="D4032" t="s">
        <v>31</v>
      </c>
      <c r="E4032" t="s">
        <v>35</v>
      </c>
      <c r="F4032" t="s">
        <v>43</v>
      </c>
      <c r="G4032" s="118">
        <v>0.73974537037037036</v>
      </c>
      <c r="H4032" s="118">
        <v>1.0995370370370371E-3</v>
      </c>
      <c r="I4032" s="118">
        <v>3.4722222222222224E-4</v>
      </c>
      <c r="J4032"/>
      <c r="K4032"/>
    </row>
    <row r="4033" spans="1:11" x14ac:dyDescent="0.25">
      <c r="A4033">
        <v>3</v>
      </c>
      <c r="B4033">
        <v>15</v>
      </c>
      <c r="C4033"/>
      <c r="D4033" t="s">
        <v>31</v>
      </c>
      <c r="E4033" t="s">
        <v>35</v>
      </c>
      <c r="F4033" t="s">
        <v>57</v>
      </c>
      <c r="G4033" s="118">
        <v>0.73983796296296289</v>
      </c>
      <c r="H4033" s="118">
        <v>1.0532407407407407E-3</v>
      </c>
      <c r="I4033" s="118">
        <v>3.4722222222222224E-4</v>
      </c>
      <c r="J4033"/>
      <c r="K4033"/>
    </row>
    <row r="4034" spans="1:11" x14ac:dyDescent="0.25">
      <c r="A4034">
        <v>9</v>
      </c>
      <c r="B4034">
        <v>2</v>
      </c>
      <c r="C4034"/>
      <c r="D4034" t="s">
        <v>31</v>
      </c>
      <c r="E4034" t="s">
        <v>32</v>
      </c>
      <c r="F4034" t="s">
        <v>51</v>
      </c>
      <c r="G4034" s="118">
        <v>0.74001157407407403</v>
      </c>
      <c r="H4034" s="118">
        <v>3.4722222222222224E-4</v>
      </c>
      <c r="I4034" s="118">
        <v>1.0069444444444444E-3</v>
      </c>
      <c r="J4034" s="118">
        <v>5.0462962962962961E-3</v>
      </c>
      <c r="K4034" s="118">
        <v>5.0462962962962961E-3</v>
      </c>
    </row>
    <row r="4035" spans="1:11" x14ac:dyDescent="0.25">
      <c r="A4035">
        <v>1</v>
      </c>
      <c r="B4035">
        <v>14</v>
      </c>
      <c r="C4035"/>
      <c r="D4035" t="s">
        <v>31</v>
      </c>
      <c r="E4035" t="s">
        <v>32</v>
      </c>
      <c r="F4035" t="s">
        <v>43</v>
      </c>
      <c r="G4035" s="118">
        <v>0.74009259259259252</v>
      </c>
      <c r="H4035" s="118">
        <v>3.4722222222222224E-4</v>
      </c>
      <c r="I4035" s="118">
        <v>1.1458333333333333E-3</v>
      </c>
      <c r="J4035" s="118">
        <v>5.0462962962962961E-3</v>
      </c>
      <c r="K4035" s="118">
        <v>5.0462962962962961E-3</v>
      </c>
    </row>
    <row r="4036" spans="1:11" x14ac:dyDescent="0.25">
      <c r="A4036">
        <v>2</v>
      </c>
      <c r="B4036">
        <v>15</v>
      </c>
      <c r="C4036"/>
      <c r="D4036" t="s">
        <v>31</v>
      </c>
      <c r="E4036" t="s">
        <v>35</v>
      </c>
      <c r="F4036" t="s">
        <v>49</v>
      </c>
      <c r="G4036" s="118">
        <v>0.74016203703703709</v>
      </c>
      <c r="H4036" s="118">
        <v>9.2592592592592585E-4</v>
      </c>
      <c r="I4036" s="118">
        <v>3.4722222222222224E-4</v>
      </c>
      <c r="J4036"/>
      <c r="K4036"/>
    </row>
    <row r="4037" spans="1:11" x14ac:dyDescent="0.25">
      <c r="A4037">
        <v>3</v>
      </c>
      <c r="B4037">
        <v>15</v>
      </c>
      <c r="C4037"/>
      <c r="D4037" t="s">
        <v>31</v>
      </c>
      <c r="E4037" t="s">
        <v>32</v>
      </c>
      <c r="F4037" t="s">
        <v>57</v>
      </c>
      <c r="G4037" s="118">
        <v>0.74018518518518517</v>
      </c>
      <c r="H4037" s="118">
        <v>3.4722222222222224E-4</v>
      </c>
      <c r="I4037" s="118">
        <v>9.3750000000000007E-4</v>
      </c>
      <c r="J4037" s="118">
        <v>5.0462962962962961E-3</v>
      </c>
      <c r="K4037" s="118">
        <v>5.0462962962962961E-3</v>
      </c>
    </row>
    <row r="4038" spans="1:11" x14ac:dyDescent="0.25">
      <c r="A4038">
        <v>8</v>
      </c>
      <c r="B4038">
        <v>2</v>
      </c>
      <c r="C4038"/>
      <c r="D4038" t="s">
        <v>31</v>
      </c>
      <c r="E4038" t="s">
        <v>35</v>
      </c>
      <c r="F4038" t="s">
        <v>42</v>
      </c>
      <c r="G4038" s="118">
        <v>0.7403587962962962</v>
      </c>
      <c r="H4038" s="118">
        <v>9.0277777777777784E-4</v>
      </c>
      <c r="I4038" s="118">
        <v>3.4722222222222224E-4</v>
      </c>
      <c r="J4038"/>
      <c r="K4038"/>
    </row>
    <row r="4039" spans="1:11" x14ac:dyDescent="0.25">
      <c r="A4039">
        <v>5</v>
      </c>
      <c r="B4039">
        <v>16</v>
      </c>
      <c r="C4039"/>
      <c r="D4039" t="s">
        <v>31</v>
      </c>
      <c r="E4039" t="s">
        <v>35</v>
      </c>
      <c r="F4039" t="s">
        <v>41</v>
      </c>
      <c r="G4039" s="118">
        <v>0.74049768518518511</v>
      </c>
      <c r="H4039" s="118">
        <v>1.0069444444444444E-3</v>
      </c>
      <c r="I4039" s="118">
        <v>3.4722222222222224E-4</v>
      </c>
      <c r="J4039"/>
      <c r="K4039"/>
    </row>
    <row r="4040" spans="1:11" x14ac:dyDescent="0.25">
      <c r="A4040">
        <v>2</v>
      </c>
      <c r="B4040">
        <v>15</v>
      </c>
      <c r="C4040"/>
      <c r="D4040" t="s">
        <v>31</v>
      </c>
      <c r="E4040" t="s">
        <v>32</v>
      </c>
      <c r="F4040" t="s">
        <v>49</v>
      </c>
      <c r="G4040" s="118">
        <v>0.74050925925925926</v>
      </c>
      <c r="H4040" s="118">
        <v>3.4722222222222224E-4</v>
      </c>
      <c r="I4040" s="118">
        <v>1.3541666666666667E-3</v>
      </c>
      <c r="J4040" s="118">
        <v>5.0462962962962961E-3</v>
      </c>
      <c r="K4040" s="118">
        <v>5.0462962962962961E-3</v>
      </c>
    </row>
    <row r="4041" spans="1:11" x14ac:dyDescent="0.25">
      <c r="A4041">
        <v>4</v>
      </c>
      <c r="B4041">
        <v>15</v>
      </c>
      <c r="C4041"/>
      <c r="D4041" t="s">
        <v>31</v>
      </c>
      <c r="E4041" t="s">
        <v>35</v>
      </c>
      <c r="F4041" t="s">
        <v>38</v>
      </c>
      <c r="G4041" s="118">
        <v>0.74050925925925926</v>
      </c>
      <c r="H4041" s="118">
        <v>9.1435185185185185E-4</v>
      </c>
      <c r="I4041" s="118">
        <v>3.4722222222222224E-4</v>
      </c>
      <c r="J4041"/>
      <c r="K4041"/>
    </row>
    <row r="4042" spans="1:11" x14ac:dyDescent="0.25">
      <c r="A4042">
        <v>8</v>
      </c>
      <c r="B4042">
        <v>2</v>
      </c>
      <c r="C4042"/>
      <c r="D4042" t="s">
        <v>31</v>
      </c>
      <c r="E4042" t="s">
        <v>32</v>
      </c>
      <c r="F4042" t="s">
        <v>42</v>
      </c>
      <c r="G4042" s="118">
        <v>0.74070601851851858</v>
      </c>
      <c r="H4042" s="118">
        <v>3.4722222222222224E-4</v>
      </c>
      <c r="I4042" s="118">
        <v>9.1435185185185185E-4</v>
      </c>
      <c r="J4042" s="118">
        <v>5.0462962962962961E-3</v>
      </c>
      <c r="K4042" s="118">
        <v>5.0462962962962961E-3</v>
      </c>
    </row>
    <row r="4043" spans="1:11" x14ac:dyDescent="0.25">
      <c r="A4043">
        <v>5</v>
      </c>
      <c r="B4043">
        <v>16</v>
      </c>
      <c r="C4043"/>
      <c r="D4043" t="s">
        <v>31</v>
      </c>
      <c r="E4043" t="s">
        <v>32</v>
      </c>
      <c r="F4043" t="s">
        <v>41</v>
      </c>
      <c r="G4043" s="118">
        <v>0.74084490740740738</v>
      </c>
      <c r="H4043" s="118">
        <v>3.4722222222222224E-4</v>
      </c>
      <c r="I4043" s="118">
        <v>8.564814814814815E-4</v>
      </c>
      <c r="J4043" s="118">
        <v>5.0462962962962961E-3</v>
      </c>
      <c r="K4043" s="118">
        <v>5.0462962962962961E-3</v>
      </c>
    </row>
    <row r="4044" spans="1:11" x14ac:dyDescent="0.25">
      <c r="A4044">
        <v>4</v>
      </c>
      <c r="B4044">
        <v>15</v>
      </c>
      <c r="C4044"/>
      <c r="D4044" t="s">
        <v>31</v>
      </c>
      <c r="E4044" t="s">
        <v>32</v>
      </c>
      <c r="F4044" t="s">
        <v>38</v>
      </c>
      <c r="G4044" s="118">
        <v>0.74085648148148142</v>
      </c>
      <c r="H4044" s="118">
        <v>3.4722222222222224E-4</v>
      </c>
      <c r="I4044" s="118">
        <v>1.2384259259259258E-3</v>
      </c>
      <c r="J4044" s="118">
        <v>5.0462962962962961E-3</v>
      </c>
      <c r="K4044" s="118">
        <v>5.0462962962962961E-3</v>
      </c>
    </row>
    <row r="4045" spans="1:11" x14ac:dyDescent="0.25">
      <c r="A4045">
        <v>9</v>
      </c>
      <c r="B4045">
        <v>2</v>
      </c>
      <c r="C4045"/>
      <c r="D4045" t="s">
        <v>31</v>
      </c>
      <c r="E4045" t="s">
        <v>35</v>
      </c>
      <c r="F4045" t="s">
        <v>55</v>
      </c>
      <c r="G4045" s="118">
        <v>0.74101851851851863</v>
      </c>
      <c r="H4045" s="118">
        <v>1.0069444444444444E-3</v>
      </c>
      <c r="I4045" s="118">
        <v>4.6296296296296293E-4</v>
      </c>
      <c r="J4045"/>
      <c r="K4045"/>
    </row>
    <row r="4046" spans="1:11" x14ac:dyDescent="0.25">
      <c r="A4046">
        <v>3</v>
      </c>
      <c r="B4046">
        <v>15</v>
      </c>
      <c r="C4046"/>
      <c r="D4046" t="s">
        <v>31</v>
      </c>
      <c r="E4046" t="s">
        <v>35</v>
      </c>
      <c r="F4046" t="s">
        <v>39</v>
      </c>
      <c r="G4046" s="118">
        <v>0.7411226851851852</v>
      </c>
      <c r="H4046" s="118">
        <v>9.3750000000000007E-4</v>
      </c>
      <c r="I4046" s="118">
        <v>5.2083333333333333E-4</v>
      </c>
      <c r="J4046"/>
      <c r="K4046"/>
    </row>
    <row r="4047" spans="1:11" x14ac:dyDescent="0.25">
      <c r="A4047">
        <v>1</v>
      </c>
      <c r="B4047">
        <v>14</v>
      </c>
      <c r="C4047"/>
      <c r="D4047" t="s">
        <v>31</v>
      </c>
      <c r="E4047" t="s">
        <v>35</v>
      </c>
      <c r="F4047" t="s">
        <v>50</v>
      </c>
      <c r="G4047" s="118">
        <v>0.74123842592592604</v>
      </c>
      <c r="H4047" s="118">
        <v>1.1458333333333333E-3</v>
      </c>
      <c r="I4047" s="118">
        <v>3.4722222222222224E-4</v>
      </c>
      <c r="J4047"/>
      <c r="K4047"/>
    </row>
    <row r="4048" spans="1:11" x14ac:dyDescent="0.25">
      <c r="A4048">
        <v>9</v>
      </c>
      <c r="B4048">
        <v>2</v>
      </c>
      <c r="C4048"/>
      <c r="D4048" t="s">
        <v>31</v>
      </c>
      <c r="E4048" t="s">
        <v>32</v>
      </c>
      <c r="F4048" t="s">
        <v>55</v>
      </c>
      <c r="G4048" s="118">
        <v>0.74148148148148152</v>
      </c>
      <c r="H4048" s="118">
        <v>4.6296296296296293E-4</v>
      </c>
      <c r="I4048" s="118">
        <v>4.3981481481481481E-4</v>
      </c>
      <c r="J4048" s="118">
        <v>5.0462962962962961E-3</v>
      </c>
      <c r="K4048" s="118">
        <v>5.0462962962962961E-3</v>
      </c>
    </row>
    <row r="4049" spans="1:11" x14ac:dyDescent="0.25">
      <c r="A4049">
        <v>1</v>
      </c>
      <c r="B4049">
        <v>14</v>
      </c>
      <c r="C4049"/>
      <c r="D4049" t="s">
        <v>31</v>
      </c>
      <c r="E4049" t="s">
        <v>32</v>
      </c>
      <c r="F4049" t="s">
        <v>50</v>
      </c>
      <c r="G4049" s="118">
        <v>0.7415856481481482</v>
      </c>
      <c r="H4049" s="118">
        <v>3.4722222222222224E-4</v>
      </c>
      <c r="I4049" s="118">
        <v>1.261574074074074E-3</v>
      </c>
      <c r="J4049" s="118">
        <v>5.0462962962962961E-3</v>
      </c>
      <c r="K4049" s="118">
        <v>5.0462962962962961E-3</v>
      </c>
    </row>
    <row r="4050" spans="1:11" x14ac:dyDescent="0.25">
      <c r="A4050">
        <v>8</v>
      </c>
      <c r="B4050">
        <v>2</v>
      </c>
      <c r="C4050"/>
      <c r="D4050" t="s">
        <v>31</v>
      </c>
      <c r="E4050" t="s">
        <v>35</v>
      </c>
      <c r="F4050" t="s">
        <v>48</v>
      </c>
      <c r="G4050" s="118">
        <v>0.74162037037037043</v>
      </c>
      <c r="H4050" s="118">
        <v>9.1435185185185185E-4</v>
      </c>
      <c r="I4050" s="118">
        <v>5.2083333333333333E-4</v>
      </c>
      <c r="J4050"/>
      <c r="K4050"/>
    </row>
    <row r="4051" spans="1:11" x14ac:dyDescent="0.25">
      <c r="A4051">
        <v>3</v>
      </c>
      <c r="B4051">
        <v>15</v>
      </c>
      <c r="C4051"/>
      <c r="D4051" t="s">
        <v>31</v>
      </c>
      <c r="E4051" t="s">
        <v>32</v>
      </c>
      <c r="F4051" t="s">
        <v>39</v>
      </c>
      <c r="G4051" s="118">
        <v>0.74164351851851851</v>
      </c>
      <c r="H4051" s="118">
        <v>5.2083333333333333E-4</v>
      </c>
      <c r="I4051" s="118">
        <v>1.8055555555555557E-3</v>
      </c>
      <c r="J4051" s="118">
        <v>5.0462962962962961E-3</v>
      </c>
      <c r="K4051" s="118">
        <v>5.0462962962962961E-3</v>
      </c>
    </row>
    <row r="4052" spans="1:11" x14ac:dyDescent="0.25">
      <c r="A4052">
        <v>5</v>
      </c>
      <c r="B4052">
        <v>16</v>
      </c>
      <c r="C4052"/>
      <c r="D4052" t="s">
        <v>31</v>
      </c>
      <c r="E4052" t="s">
        <v>35</v>
      </c>
      <c r="F4052" t="s">
        <v>47</v>
      </c>
      <c r="G4052" s="118">
        <v>0.74170138888888892</v>
      </c>
      <c r="H4052" s="118">
        <v>8.564814814814815E-4</v>
      </c>
      <c r="I4052" s="118">
        <v>5.2083333333333333E-4</v>
      </c>
      <c r="J4052"/>
      <c r="K4052"/>
    </row>
    <row r="4053" spans="1:11" x14ac:dyDescent="0.25">
      <c r="A4053">
        <v>2</v>
      </c>
      <c r="B4053">
        <v>15</v>
      </c>
      <c r="C4053"/>
      <c r="D4053" t="s">
        <v>31</v>
      </c>
      <c r="E4053" t="s">
        <v>35</v>
      </c>
      <c r="F4053" t="s">
        <v>33</v>
      </c>
      <c r="G4053" s="118">
        <v>0.74186342592592591</v>
      </c>
      <c r="H4053" s="118">
        <v>1.3541666666666667E-3</v>
      </c>
      <c r="I4053" s="118">
        <v>5.2083333333333333E-4</v>
      </c>
      <c r="J4053"/>
      <c r="K4053"/>
    </row>
    <row r="4054" spans="1:11" x14ac:dyDescent="0.25">
      <c r="A4054">
        <v>9</v>
      </c>
      <c r="B4054">
        <v>2</v>
      </c>
      <c r="C4054"/>
      <c r="D4054" t="s">
        <v>31</v>
      </c>
      <c r="E4054" t="s">
        <v>35</v>
      </c>
      <c r="F4054" t="s">
        <v>58</v>
      </c>
      <c r="G4054" s="118">
        <v>0.74192129629629633</v>
      </c>
      <c r="H4054" s="118">
        <v>4.3981481481481481E-4</v>
      </c>
      <c r="I4054" s="118">
        <v>5.7870370370370366E-5</v>
      </c>
      <c r="J4054"/>
      <c r="K4054"/>
    </row>
    <row r="4055" spans="1:11" x14ac:dyDescent="0.25">
      <c r="A4055">
        <v>9</v>
      </c>
      <c r="B4055">
        <v>2</v>
      </c>
      <c r="C4055"/>
      <c r="D4055" t="s">
        <v>31</v>
      </c>
      <c r="E4055" t="s">
        <v>32</v>
      </c>
      <c r="F4055" t="s">
        <v>58</v>
      </c>
      <c r="G4055" s="118">
        <v>0.74197916666666675</v>
      </c>
      <c r="H4055" s="118">
        <v>5.7870370370370366E-5</v>
      </c>
      <c r="I4055" s="118">
        <v>4.8611111111111104E-4</v>
      </c>
      <c r="J4055" s="118">
        <v>5.0462962962962961E-3</v>
      </c>
      <c r="K4055" s="118">
        <v>5.0462962962962961E-3</v>
      </c>
    </row>
    <row r="4056" spans="1:11" x14ac:dyDescent="0.25">
      <c r="A4056">
        <v>4</v>
      </c>
      <c r="B4056">
        <v>15</v>
      </c>
      <c r="C4056"/>
      <c r="D4056" t="s">
        <v>31</v>
      </c>
      <c r="E4056" t="s">
        <v>35</v>
      </c>
      <c r="F4056" t="s">
        <v>45</v>
      </c>
      <c r="G4056" s="118">
        <v>0.74209490740740736</v>
      </c>
      <c r="H4056" s="118">
        <v>1.2384259259259258E-3</v>
      </c>
      <c r="I4056" s="118">
        <v>3.4722222222222224E-4</v>
      </c>
      <c r="J4056"/>
      <c r="K4056"/>
    </row>
    <row r="4057" spans="1:11" x14ac:dyDescent="0.25">
      <c r="A4057">
        <v>8</v>
      </c>
      <c r="B4057">
        <v>2</v>
      </c>
      <c r="C4057"/>
      <c r="D4057" t="s">
        <v>31</v>
      </c>
      <c r="E4057" t="s">
        <v>32</v>
      </c>
      <c r="F4057" t="s">
        <v>48</v>
      </c>
      <c r="G4057" s="118">
        <v>0.74214120370370373</v>
      </c>
      <c r="H4057" s="118">
        <v>5.2083333333333333E-4</v>
      </c>
      <c r="I4057" s="118">
        <v>8.6805555555555551E-4</v>
      </c>
      <c r="J4057" s="118">
        <v>5.0462962962962961E-3</v>
      </c>
      <c r="K4057" s="118">
        <v>5.0462962962962961E-3</v>
      </c>
    </row>
    <row r="4058" spans="1:11" x14ac:dyDescent="0.25">
      <c r="A4058">
        <v>5</v>
      </c>
      <c r="B4058">
        <v>16</v>
      </c>
      <c r="C4058"/>
      <c r="D4058" t="s">
        <v>31</v>
      </c>
      <c r="E4058" t="s">
        <v>32</v>
      </c>
      <c r="F4058" t="s">
        <v>47</v>
      </c>
      <c r="G4058" s="118">
        <v>0.74222222222222223</v>
      </c>
      <c r="H4058" s="118">
        <v>5.2083333333333333E-4</v>
      </c>
      <c r="I4058" s="118">
        <v>8.7962962962962962E-4</v>
      </c>
      <c r="J4058" s="118">
        <v>5.0462962962962961E-3</v>
      </c>
      <c r="K4058" s="118">
        <v>5.0462962962962961E-3</v>
      </c>
    </row>
    <row r="4059" spans="1:11" x14ac:dyDescent="0.25">
      <c r="A4059">
        <v>2</v>
      </c>
      <c r="B4059">
        <v>15</v>
      </c>
      <c r="C4059"/>
      <c r="D4059" t="s">
        <v>31</v>
      </c>
      <c r="E4059" t="s">
        <v>32</v>
      </c>
      <c r="F4059" t="s">
        <v>33</v>
      </c>
      <c r="G4059" s="118">
        <v>0.74238425925925933</v>
      </c>
      <c r="H4059" s="118">
        <v>5.2083333333333333E-4</v>
      </c>
      <c r="I4059" s="118">
        <v>9.6064814814814808E-4</v>
      </c>
      <c r="J4059" s="118">
        <v>5.0462962962962961E-3</v>
      </c>
      <c r="K4059" s="118">
        <v>5.0462962962962961E-3</v>
      </c>
    </row>
    <row r="4060" spans="1:11" x14ac:dyDescent="0.25">
      <c r="A4060">
        <v>4</v>
      </c>
      <c r="B4060">
        <v>15</v>
      </c>
      <c r="C4060"/>
      <c r="D4060" t="s">
        <v>31</v>
      </c>
      <c r="E4060" t="s">
        <v>32</v>
      </c>
      <c r="F4060" t="s">
        <v>45</v>
      </c>
      <c r="G4060" s="118">
        <v>0.74244212962962963</v>
      </c>
      <c r="H4060" s="118">
        <v>3.4722222222222224E-4</v>
      </c>
      <c r="I4060" s="118">
        <v>1.0416666666666667E-3</v>
      </c>
      <c r="J4060" s="118">
        <v>5.0462962962962961E-3</v>
      </c>
      <c r="K4060" s="118">
        <v>5.0462962962962961E-3</v>
      </c>
    </row>
    <row r="4061" spans="1:11" x14ac:dyDescent="0.25">
      <c r="A4061">
        <v>9</v>
      </c>
      <c r="B4061">
        <v>2</v>
      </c>
      <c r="C4061"/>
      <c r="D4061" t="s">
        <v>31</v>
      </c>
      <c r="E4061" t="s">
        <v>35</v>
      </c>
      <c r="F4061" t="s">
        <v>40</v>
      </c>
      <c r="G4061" s="118">
        <v>0.74246527777777782</v>
      </c>
      <c r="H4061" s="118">
        <v>4.8611111111111104E-4</v>
      </c>
      <c r="I4061" s="118">
        <v>4.6296296296296293E-4</v>
      </c>
      <c r="J4061"/>
      <c r="K4061"/>
    </row>
    <row r="4062" spans="1:11" x14ac:dyDescent="0.25">
      <c r="A4062">
        <v>1</v>
      </c>
      <c r="B4062">
        <v>14</v>
      </c>
      <c r="C4062"/>
      <c r="D4062" t="s">
        <v>31</v>
      </c>
      <c r="E4062" t="s">
        <v>35</v>
      </c>
      <c r="F4062" t="s">
        <v>56</v>
      </c>
      <c r="G4062" s="118">
        <v>0.74284722222222221</v>
      </c>
      <c r="H4062" s="118">
        <v>1.261574074074074E-3</v>
      </c>
      <c r="I4062" s="118">
        <v>3.4722222222222224E-4</v>
      </c>
      <c r="J4062"/>
      <c r="K4062"/>
    </row>
    <row r="4063" spans="1:11" x14ac:dyDescent="0.25">
      <c r="A4063">
        <v>9</v>
      </c>
      <c r="B4063">
        <v>2</v>
      </c>
      <c r="C4063"/>
      <c r="D4063" t="s">
        <v>31</v>
      </c>
      <c r="E4063" t="s">
        <v>32</v>
      </c>
      <c r="F4063" t="s">
        <v>40</v>
      </c>
      <c r="G4063" s="118">
        <v>0.74292824074074071</v>
      </c>
      <c r="H4063" s="118">
        <v>4.6296296296296293E-4</v>
      </c>
      <c r="I4063" s="118">
        <v>1.0069444444444444E-3</v>
      </c>
      <c r="J4063" s="118">
        <v>5.0462962962962961E-3</v>
      </c>
      <c r="K4063" s="118">
        <v>5.0462962962962961E-3</v>
      </c>
    </row>
    <row r="4064" spans="1:11" x14ac:dyDescent="0.25">
      <c r="A4064">
        <v>8</v>
      </c>
      <c r="B4064">
        <v>2</v>
      </c>
      <c r="C4064"/>
      <c r="D4064" t="s">
        <v>31</v>
      </c>
      <c r="E4064" t="s">
        <v>35</v>
      </c>
      <c r="F4064" t="s">
        <v>54</v>
      </c>
      <c r="G4064" s="118">
        <v>0.7430092592592592</v>
      </c>
      <c r="H4064" s="118">
        <v>8.6805555555555551E-4</v>
      </c>
      <c r="I4064" s="118">
        <v>3.4722222222222224E-4</v>
      </c>
      <c r="J4064"/>
      <c r="K4064"/>
    </row>
    <row r="4065" spans="1:11" x14ac:dyDescent="0.25">
      <c r="A4065">
        <v>5</v>
      </c>
      <c r="B4065">
        <v>16</v>
      </c>
      <c r="C4065"/>
      <c r="D4065" t="s">
        <v>31</v>
      </c>
      <c r="E4065" t="s">
        <v>35</v>
      </c>
      <c r="F4065" t="s">
        <v>53</v>
      </c>
      <c r="G4065" s="118">
        <v>0.74310185185185185</v>
      </c>
      <c r="H4065" s="118">
        <v>8.7962962962962962E-4</v>
      </c>
      <c r="I4065" s="118">
        <v>3.4722222222222224E-4</v>
      </c>
      <c r="J4065"/>
      <c r="K4065"/>
    </row>
    <row r="4066" spans="1:11" x14ac:dyDescent="0.25">
      <c r="A4066">
        <v>1</v>
      </c>
      <c r="B4066">
        <v>14</v>
      </c>
      <c r="C4066"/>
      <c r="D4066" t="s">
        <v>31</v>
      </c>
      <c r="E4066" t="s">
        <v>32</v>
      </c>
      <c r="F4066" t="s">
        <v>56</v>
      </c>
      <c r="G4066" s="118">
        <v>0.74319444444444438</v>
      </c>
      <c r="H4066" s="118">
        <v>3.4722222222222224E-4</v>
      </c>
      <c r="I4066" s="118">
        <v>9.6064814814814808E-4</v>
      </c>
      <c r="J4066" s="118">
        <v>5.0462962962962961E-3</v>
      </c>
      <c r="K4066" s="118">
        <v>5.0462962962962961E-3</v>
      </c>
    </row>
    <row r="4067" spans="1:11" x14ac:dyDescent="0.25">
      <c r="A4067">
        <v>2</v>
      </c>
      <c r="B4067">
        <v>15</v>
      </c>
      <c r="C4067"/>
      <c r="D4067" t="s">
        <v>31</v>
      </c>
      <c r="E4067" t="s">
        <v>35</v>
      </c>
      <c r="F4067" t="s">
        <v>36</v>
      </c>
      <c r="G4067" s="118">
        <v>0.74334490740740744</v>
      </c>
      <c r="H4067" s="118">
        <v>9.6064814814814808E-4</v>
      </c>
      <c r="I4067" s="118">
        <v>3.4722222222222224E-4</v>
      </c>
      <c r="J4067"/>
      <c r="K4067"/>
    </row>
    <row r="4068" spans="1:11" x14ac:dyDescent="0.25">
      <c r="A4068">
        <v>8</v>
      </c>
      <c r="B4068">
        <v>2</v>
      </c>
      <c r="C4068"/>
      <c r="D4068" t="s">
        <v>31</v>
      </c>
      <c r="E4068" t="s">
        <v>32</v>
      </c>
      <c r="F4068" t="s">
        <v>54</v>
      </c>
      <c r="G4068" s="118">
        <v>0.74335648148148137</v>
      </c>
      <c r="H4068" s="118">
        <v>3.4722222222222224E-4</v>
      </c>
      <c r="I4068" s="118">
        <v>6.5972222222222213E-4</v>
      </c>
      <c r="J4068" s="118">
        <v>5.0462962962962961E-3</v>
      </c>
      <c r="K4068" s="118">
        <v>5.0462962962962961E-3</v>
      </c>
    </row>
    <row r="4069" spans="1:11" x14ac:dyDescent="0.25">
      <c r="A4069">
        <v>3</v>
      </c>
      <c r="B4069">
        <v>15</v>
      </c>
      <c r="C4069"/>
      <c r="D4069" t="s">
        <v>31</v>
      </c>
      <c r="E4069" t="s">
        <v>35</v>
      </c>
      <c r="F4069" t="s">
        <v>46</v>
      </c>
      <c r="G4069" s="118">
        <v>0.74344907407407401</v>
      </c>
      <c r="H4069" s="118">
        <v>1.8055555555555557E-3</v>
      </c>
      <c r="I4069" s="118">
        <v>3.4722222222222224E-4</v>
      </c>
      <c r="J4069"/>
      <c r="K4069"/>
    </row>
    <row r="4070" spans="1:11" x14ac:dyDescent="0.25">
      <c r="A4070">
        <v>5</v>
      </c>
      <c r="B4070">
        <v>16</v>
      </c>
      <c r="C4070"/>
      <c r="D4070" t="s">
        <v>31</v>
      </c>
      <c r="E4070" t="s">
        <v>32</v>
      </c>
      <c r="F4070" t="s">
        <v>53</v>
      </c>
      <c r="G4070" s="118">
        <v>0.74344907407407401</v>
      </c>
      <c r="H4070" s="118">
        <v>3.4722222222222224E-4</v>
      </c>
      <c r="I4070" s="118">
        <v>8.449074074074075E-4</v>
      </c>
      <c r="J4070" s="118">
        <v>5.0462962962962961E-3</v>
      </c>
      <c r="K4070" s="118">
        <v>5.0462962962962961E-3</v>
      </c>
    </row>
    <row r="4071" spans="1:11" x14ac:dyDescent="0.25">
      <c r="A4071">
        <v>4</v>
      </c>
      <c r="B4071">
        <v>15</v>
      </c>
      <c r="C4071"/>
      <c r="D4071" t="s">
        <v>31</v>
      </c>
      <c r="E4071" t="s">
        <v>35</v>
      </c>
      <c r="F4071" t="s">
        <v>52</v>
      </c>
      <c r="G4071" s="118">
        <v>0.74348379629629635</v>
      </c>
      <c r="H4071" s="118">
        <v>1.0416666666666667E-3</v>
      </c>
      <c r="I4071" s="118">
        <v>3.4722222222222224E-4</v>
      </c>
      <c r="J4071"/>
      <c r="K4071"/>
    </row>
    <row r="4072" spans="1:11" x14ac:dyDescent="0.25">
      <c r="A4072">
        <v>2</v>
      </c>
      <c r="B4072">
        <v>15</v>
      </c>
      <c r="C4072"/>
      <c r="D4072" t="s">
        <v>31</v>
      </c>
      <c r="E4072" t="s">
        <v>32</v>
      </c>
      <c r="F4072" t="s">
        <v>36</v>
      </c>
      <c r="G4072" s="118">
        <v>0.74369212962962961</v>
      </c>
      <c r="H4072" s="118">
        <v>3.4722222222222224E-4</v>
      </c>
      <c r="I4072" s="118">
        <v>1.0995370370370371E-3</v>
      </c>
      <c r="J4072" s="118">
        <v>5.0462962962962961E-3</v>
      </c>
      <c r="K4072" s="118">
        <v>5.0462962962962961E-3</v>
      </c>
    </row>
    <row r="4073" spans="1:11" x14ac:dyDescent="0.25">
      <c r="A4073">
        <v>3</v>
      </c>
      <c r="B4073">
        <v>15</v>
      </c>
      <c r="C4073"/>
      <c r="D4073" t="s">
        <v>31</v>
      </c>
      <c r="E4073" t="s">
        <v>32</v>
      </c>
      <c r="F4073" t="s">
        <v>46</v>
      </c>
      <c r="G4073" s="118">
        <v>0.7437962962962964</v>
      </c>
      <c r="H4073" s="118">
        <v>3.4722222222222224E-4</v>
      </c>
      <c r="I4073" s="118">
        <v>9.1435185185185185E-4</v>
      </c>
      <c r="J4073" s="118">
        <v>5.0462962962962961E-3</v>
      </c>
      <c r="K4073" s="118">
        <v>5.0462962962962961E-3</v>
      </c>
    </row>
    <row r="4074" spans="1:11" x14ac:dyDescent="0.25">
      <c r="A4074">
        <v>4</v>
      </c>
      <c r="B4074">
        <v>15</v>
      </c>
      <c r="C4074"/>
      <c r="D4074" t="s">
        <v>31</v>
      </c>
      <c r="E4074" t="s">
        <v>32</v>
      </c>
      <c r="F4074" t="s">
        <v>52</v>
      </c>
      <c r="G4074" s="118">
        <v>0.74383101851851852</v>
      </c>
      <c r="H4074" s="118">
        <v>3.4722222222222224E-4</v>
      </c>
      <c r="I4074" s="118">
        <v>1.0532407407407407E-3</v>
      </c>
      <c r="J4074" s="118">
        <v>5.0462962962962961E-3</v>
      </c>
      <c r="K4074" s="118">
        <v>5.0462962962962961E-3</v>
      </c>
    </row>
    <row r="4075" spans="1:11" x14ac:dyDescent="0.25">
      <c r="A4075">
        <v>9</v>
      </c>
      <c r="B4075">
        <v>2</v>
      </c>
      <c r="C4075"/>
      <c r="D4075" t="s">
        <v>31</v>
      </c>
      <c r="E4075" t="s">
        <v>35</v>
      </c>
      <c r="F4075" t="s">
        <v>44</v>
      </c>
      <c r="G4075" s="118">
        <v>0.74393518518518509</v>
      </c>
      <c r="H4075" s="118">
        <v>1.0069444444444444E-3</v>
      </c>
      <c r="I4075" s="118">
        <v>3.4722222222222224E-4</v>
      </c>
      <c r="J4075"/>
      <c r="K4075"/>
    </row>
    <row r="4076" spans="1:11" x14ac:dyDescent="0.25">
      <c r="A4076">
        <v>8</v>
      </c>
      <c r="B4076">
        <v>2</v>
      </c>
      <c r="C4076"/>
      <c r="D4076" t="s">
        <v>31</v>
      </c>
      <c r="E4076" t="s">
        <v>35</v>
      </c>
      <c r="F4076" t="s">
        <v>92</v>
      </c>
      <c r="G4076" s="118">
        <v>0.7440162037037038</v>
      </c>
      <c r="H4076" s="118">
        <v>6.5972222222222213E-4</v>
      </c>
      <c r="I4076" s="118">
        <v>5.2083333333333333E-4</v>
      </c>
      <c r="J4076"/>
      <c r="K4076"/>
    </row>
    <row r="4077" spans="1:11" x14ac:dyDescent="0.25">
      <c r="A4077">
        <v>1</v>
      </c>
      <c r="B4077">
        <v>14</v>
      </c>
      <c r="C4077"/>
      <c r="D4077" t="s">
        <v>31</v>
      </c>
      <c r="E4077" t="s">
        <v>35</v>
      </c>
      <c r="F4077" t="s">
        <v>37</v>
      </c>
      <c r="G4077" s="118">
        <v>0.74415509259259249</v>
      </c>
      <c r="H4077" s="118">
        <v>9.6064814814814808E-4</v>
      </c>
      <c r="I4077" s="118">
        <v>3.4722222222222224E-4</v>
      </c>
      <c r="J4077"/>
      <c r="K4077"/>
    </row>
    <row r="4078" spans="1:11" x14ac:dyDescent="0.25">
      <c r="A4078">
        <v>9</v>
      </c>
      <c r="B4078">
        <v>2</v>
      </c>
      <c r="C4078"/>
      <c r="D4078" t="s">
        <v>31</v>
      </c>
      <c r="E4078" t="s">
        <v>32</v>
      </c>
      <c r="F4078" t="s">
        <v>44</v>
      </c>
      <c r="G4078" s="118">
        <v>0.74428240740740748</v>
      </c>
      <c r="H4078" s="118">
        <v>3.4722222222222224E-4</v>
      </c>
      <c r="I4078" s="118">
        <v>9.2592592592592585E-4</v>
      </c>
      <c r="J4078" s="118">
        <v>5.0462962962962961E-3</v>
      </c>
      <c r="K4078" s="118">
        <v>5.0462962962962961E-3</v>
      </c>
    </row>
    <row r="4079" spans="1:11" x14ac:dyDescent="0.25">
      <c r="A4079">
        <v>5</v>
      </c>
      <c r="B4079">
        <v>16</v>
      </c>
      <c r="C4079"/>
      <c r="D4079" t="s">
        <v>31</v>
      </c>
      <c r="E4079" t="s">
        <v>35</v>
      </c>
      <c r="F4079" t="s">
        <v>34</v>
      </c>
      <c r="G4079" s="118">
        <v>0.7442939814814814</v>
      </c>
      <c r="H4079" s="118">
        <v>8.449074074074075E-4</v>
      </c>
      <c r="I4079" s="118">
        <v>3.4722222222222224E-4</v>
      </c>
      <c r="J4079"/>
      <c r="K4079"/>
    </row>
    <row r="4080" spans="1:11" x14ac:dyDescent="0.25">
      <c r="A4080">
        <v>1</v>
      </c>
      <c r="B4080">
        <v>14</v>
      </c>
      <c r="C4080"/>
      <c r="D4080" t="s">
        <v>31</v>
      </c>
      <c r="E4080" t="s">
        <v>32</v>
      </c>
      <c r="F4080" t="s">
        <v>37</v>
      </c>
      <c r="G4080" s="118">
        <v>0.74450231481481488</v>
      </c>
      <c r="H4080" s="118">
        <v>3.4722222222222224E-4</v>
      </c>
      <c r="I4080" s="118">
        <v>9.0277777777777784E-4</v>
      </c>
      <c r="J4080" s="118">
        <v>5.0462962962962961E-3</v>
      </c>
      <c r="K4080" s="118">
        <v>5.0462962962962961E-3</v>
      </c>
    </row>
    <row r="4081" spans="1:11" x14ac:dyDescent="0.25">
      <c r="A4081">
        <v>8</v>
      </c>
      <c r="B4081">
        <v>3</v>
      </c>
      <c r="C4081"/>
      <c r="D4081" t="s">
        <v>31</v>
      </c>
      <c r="E4081" t="s">
        <v>32</v>
      </c>
      <c r="F4081" t="s">
        <v>92</v>
      </c>
      <c r="G4081" s="118">
        <v>0.74453703703703711</v>
      </c>
      <c r="H4081" s="118">
        <v>5.2083333333333333E-4</v>
      </c>
      <c r="I4081" s="118">
        <v>1.0069444444444444E-3</v>
      </c>
      <c r="J4081" s="118">
        <v>5.0462962962962961E-3</v>
      </c>
      <c r="K4081" s="118">
        <v>5.0462962962962961E-3</v>
      </c>
    </row>
    <row r="4082" spans="1:11" x14ac:dyDescent="0.25">
      <c r="A4082">
        <v>5</v>
      </c>
      <c r="B4082">
        <v>16</v>
      </c>
      <c r="C4082"/>
      <c r="D4082" t="s">
        <v>31</v>
      </c>
      <c r="E4082" t="s">
        <v>32</v>
      </c>
      <c r="F4082" t="s">
        <v>34</v>
      </c>
      <c r="G4082" s="118">
        <v>0.74464120370370368</v>
      </c>
      <c r="H4082" s="118">
        <v>3.4722222222222224E-4</v>
      </c>
      <c r="I4082" s="118">
        <v>9.1435185185185185E-4</v>
      </c>
      <c r="J4082" s="118">
        <v>5.0462962962962961E-3</v>
      </c>
      <c r="K4082" s="118">
        <v>5.0462962962962961E-3</v>
      </c>
    </row>
    <row r="4083" spans="1:11" x14ac:dyDescent="0.25">
      <c r="A4083">
        <v>3</v>
      </c>
      <c r="B4083">
        <v>15</v>
      </c>
      <c r="C4083"/>
      <c r="D4083" t="s">
        <v>31</v>
      </c>
      <c r="E4083" t="s">
        <v>35</v>
      </c>
      <c r="F4083" t="s">
        <v>51</v>
      </c>
      <c r="G4083" s="118">
        <v>0.74471064814814814</v>
      </c>
      <c r="H4083" s="118">
        <v>9.1435185185185185E-4</v>
      </c>
      <c r="I4083" s="118">
        <v>3.4722222222222224E-4</v>
      </c>
      <c r="J4083"/>
      <c r="K4083"/>
    </row>
    <row r="4084" spans="1:11" x14ac:dyDescent="0.25">
      <c r="A4084">
        <v>2</v>
      </c>
      <c r="B4084">
        <v>15</v>
      </c>
      <c r="C4084"/>
      <c r="D4084" t="s">
        <v>31</v>
      </c>
      <c r="E4084" t="s">
        <v>35</v>
      </c>
      <c r="F4084" t="s">
        <v>43</v>
      </c>
      <c r="G4084" s="118">
        <v>0.74479166666666663</v>
      </c>
      <c r="H4084" s="118">
        <v>1.0995370370370371E-3</v>
      </c>
      <c r="I4084" s="118">
        <v>3.4722222222222224E-4</v>
      </c>
      <c r="J4084"/>
      <c r="K4084"/>
    </row>
    <row r="4085" spans="1:11" x14ac:dyDescent="0.25">
      <c r="A4085">
        <v>4</v>
      </c>
      <c r="B4085">
        <v>15</v>
      </c>
      <c r="C4085"/>
      <c r="D4085" t="s">
        <v>31</v>
      </c>
      <c r="E4085" t="s">
        <v>35</v>
      </c>
      <c r="F4085" t="s">
        <v>57</v>
      </c>
      <c r="G4085" s="118">
        <v>0.74488425925925927</v>
      </c>
      <c r="H4085" s="118">
        <v>1.0532407407407407E-3</v>
      </c>
      <c r="I4085" s="118">
        <v>3.4722222222222224E-4</v>
      </c>
      <c r="J4085"/>
      <c r="K4085"/>
    </row>
    <row r="4086" spans="1:11" x14ac:dyDescent="0.25">
      <c r="A4086">
        <v>3</v>
      </c>
      <c r="B4086">
        <v>15</v>
      </c>
      <c r="C4086"/>
      <c r="D4086" t="s">
        <v>31</v>
      </c>
      <c r="E4086" t="s">
        <v>32</v>
      </c>
      <c r="F4086" t="s">
        <v>51</v>
      </c>
      <c r="G4086" s="118">
        <v>0.74505787037037041</v>
      </c>
      <c r="H4086" s="118">
        <v>3.4722222222222224E-4</v>
      </c>
      <c r="I4086" s="118">
        <v>1.0069444444444444E-3</v>
      </c>
      <c r="J4086" s="118">
        <v>5.0462962962962961E-3</v>
      </c>
      <c r="K4086" s="118">
        <v>5.0462962962962961E-3</v>
      </c>
    </row>
    <row r="4087" spans="1:11" x14ac:dyDescent="0.25">
      <c r="A4087">
        <v>2</v>
      </c>
      <c r="B4087">
        <v>15</v>
      </c>
      <c r="C4087"/>
      <c r="D4087" t="s">
        <v>31</v>
      </c>
      <c r="E4087" t="s">
        <v>32</v>
      </c>
      <c r="F4087" t="s">
        <v>43</v>
      </c>
      <c r="G4087" s="118">
        <v>0.74513888888888891</v>
      </c>
      <c r="H4087" s="118">
        <v>3.4722222222222224E-4</v>
      </c>
      <c r="I4087" s="118">
        <v>1.1458333333333333E-3</v>
      </c>
      <c r="J4087" s="118">
        <v>5.0462962962962961E-3</v>
      </c>
      <c r="K4087" s="118">
        <v>5.0462962962962961E-3</v>
      </c>
    </row>
    <row r="4088" spans="1:11" x14ac:dyDescent="0.25">
      <c r="A4088">
        <v>9</v>
      </c>
      <c r="B4088">
        <v>2</v>
      </c>
      <c r="C4088"/>
      <c r="D4088" t="s">
        <v>31</v>
      </c>
      <c r="E4088" t="s">
        <v>35</v>
      </c>
      <c r="F4088" t="s">
        <v>49</v>
      </c>
      <c r="G4088" s="118">
        <v>0.74520833333333336</v>
      </c>
      <c r="H4088" s="118">
        <v>9.2592592592592585E-4</v>
      </c>
      <c r="I4088" s="118">
        <v>3.4722222222222224E-4</v>
      </c>
      <c r="J4088"/>
      <c r="K4088"/>
    </row>
    <row r="4089" spans="1:11" x14ac:dyDescent="0.25">
      <c r="A4089">
        <v>4</v>
      </c>
      <c r="B4089">
        <v>15</v>
      </c>
      <c r="C4089"/>
      <c r="D4089" t="s">
        <v>31</v>
      </c>
      <c r="E4089" t="s">
        <v>32</v>
      </c>
      <c r="F4089" t="s">
        <v>57</v>
      </c>
      <c r="G4089" s="118">
        <v>0.74523148148148144</v>
      </c>
      <c r="H4089" s="118">
        <v>3.4722222222222224E-4</v>
      </c>
      <c r="I4089" s="118">
        <v>9.3750000000000007E-4</v>
      </c>
      <c r="J4089" s="118">
        <v>5.0462962962962961E-3</v>
      </c>
      <c r="K4089" s="118">
        <v>5.0462962962962961E-3</v>
      </c>
    </row>
    <row r="4090" spans="1:11" x14ac:dyDescent="0.25">
      <c r="A4090">
        <v>1</v>
      </c>
      <c r="B4090">
        <v>14</v>
      </c>
      <c r="C4090"/>
      <c r="D4090" t="s">
        <v>31</v>
      </c>
      <c r="E4090" t="s">
        <v>35</v>
      </c>
      <c r="F4090" t="s">
        <v>42</v>
      </c>
      <c r="G4090" s="118">
        <v>0.74540509259259258</v>
      </c>
      <c r="H4090" s="118">
        <v>9.0277777777777784E-4</v>
      </c>
      <c r="I4090" s="118">
        <v>3.4722222222222224E-4</v>
      </c>
      <c r="J4090"/>
      <c r="K4090"/>
    </row>
    <row r="4091" spans="1:11" x14ac:dyDescent="0.25">
      <c r="A4091">
        <v>8</v>
      </c>
      <c r="B4091">
        <v>3</v>
      </c>
      <c r="C4091"/>
      <c r="D4091" t="s">
        <v>31</v>
      </c>
      <c r="E4091" t="s">
        <v>35</v>
      </c>
      <c r="F4091" t="s">
        <v>41</v>
      </c>
      <c r="G4091" s="118">
        <v>0.74554398148148149</v>
      </c>
      <c r="H4091" s="118">
        <v>1.0069444444444444E-3</v>
      </c>
      <c r="I4091" s="118">
        <v>3.4722222222222224E-4</v>
      </c>
      <c r="J4091"/>
      <c r="K4091"/>
    </row>
    <row r="4092" spans="1:11" x14ac:dyDescent="0.25">
      <c r="A4092">
        <v>5</v>
      </c>
      <c r="B4092">
        <v>16</v>
      </c>
      <c r="C4092"/>
      <c r="D4092" t="s">
        <v>31</v>
      </c>
      <c r="E4092" t="s">
        <v>35</v>
      </c>
      <c r="F4092" t="s">
        <v>38</v>
      </c>
      <c r="G4092" s="118">
        <v>0.74555555555555564</v>
      </c>
      <c r="H4092" s="118">
        <v>9.1435185185185185E-4</v>
      </c>
      <c r="I4092" s="118">
        <v>3.4722222222222224E-4</v>
      </c>
      <c r="J4092"/>
      <c r="K4092"/>
    </row>
    <row r="4093" spans="1:11" x14ac:dyDescent="0.25">
      <c r="A4093">
        <v>9</v>
      </c>
      <c r="B4093">
        <v>2</v>
      </c>
      <c r="C4093"/>
      <c r="D4093" t="s">
        <v>31</v>
      </c>
      <c r="E4093" t="s">
        <v>32</v>
      </c>
      <c r="F4093" t="s">
        <v>49</v>
      </c>
      <c r="G4093" s="118">
        <v>0.74555555555555564</v>
      </c>
      <c r="H4093" s="118">
        <v>3.4722222222222224E-4</v>
      </c>
      <c r="I4093" s="118">
        <v>1.3541666666666667E-3</v>
      </c>
      <c r="J4093" s="118">
        <v>5.0462962962962961E-3</v>
      </c>
      <c r="K4093" s="118">
        <v>5.0462962962962961E-3</v>
      </c>
    </row>
    <row r="4094" spans="1:11" x14ac:dyDescent="0.25">
      <c r="A4094">
        <v>1</v>
      </c>
      <c r="B4094">
        <v>14</v>
      </c>
      <c r="C4094"/>
      <c r="D4094" t="s">
        <v>31</v>
      </c>
      <c r="E4094" t="s">
        <v>32</v>
      </c>
      <c r="F4094" t="s">
        <v>42</v>
      </c>
      <c r="G4094" s="118">
        <v>0.74575231481481474</v>
      </c>
      <c r="H4094" s="118">
        <v>3.4722222222222224E-4</v>
      </c>
      <c r="I4094" s="118">
        <v>9.1435185185185185E-4</v>
      </c>
      <c r="J4094" s="118">
        <v>5.0462962962962961E-3</v>
      </c>
      <c r="K4094" s="118">
        <v>5.0462962962962961E-3</v>
      </c>
    </row>
    <row r="4095" spans="1:11" x14ac:dyDescent="0.25">
      <c r="A4095">
        <v>8</v>
      </c>
      <c r="B4095">
        <v>3</v>
      </c>
      <c r="C4095"/>
      <c r="D4095" t="s">
        <v>31</v>
      </c>
      <c r="E4095" t="s">
        <v>32</v>
      </c>
      <c r="F4095" t="s">
        <v>41</v>
      </c>
      <c r="G4095" s="118">
        <v>0.74589120370370365</v>
      </c>
      <c r="H4095" s="118">
        <v>3.4722222222222224E-4</v>
      </c>
      <c r="I4095" s="118">
        <v>8.564814814814815E-4</v>
      </c>
      <c r="J4095" s="118">
        <v>5.0462962962962961E-3</v>
      </c>
      <c r="K4095" s="118">
        <v>5.0462962962962961E-3</v>
      </c>
    </row>
    <row r="4096" spans="1:11" x14ac:dyDescent="0.25">
      <c r="A4096">
        <v>5</v>
      </c>
      <c r="B4096">
        <v>16</v>
      </c>
      <c r="C4096"/>
      <c r="D4096" t="s">
        <v>31</v>
      </c>
      <c r="E4096" t="s">
        <v>32</v>
      </c>
      <c r="F4096" t="s">
        <v>38</v>
      </c>
      <c r="G4096" s="118">
        <v>0.7459027777777778</v>
      </c>
      <c r="H4096" s="118">
        <v>3.4722222222222224E-4</v>
      </c>
      <c r="I4096" s="118">
        <v>1.2384259259259258E-3</v>
      </c>
      <c r="J4096" s="118">
        <v>5.0462962962962961E-3</v>
      </c>
      <c r="K4096" s="118">
        <v>5.0462962962962961E-3</v>
      </c>
    </row>
    <row r="4097" spans="1:11" x14ac:dyDescent="0.25">
      <c r="A4097">
        <v>3</v>
      </c>
      <c r="B4097">
        <v>15</v>
      </c>
      <c r="C4097"/>
      <c r="D4097" t="s">
        <v>31</v>
      </c>
      <c r="E4097" t="s">
        <v>35</v>
      </c>
      <c r="F4097" t="s">
        <v>55</v>
      </c>
      <c r="G4097" s="118">
        <v>0.74606481481481479</v>
      </c>
      <c r="H4097" s="118">
        <v>1.0069444444444444E-3</v>
      </c>
      <c r="I4097" s="118">
        <v>4.6296296296296293E-4</v>
      </c>
      <c r="J4097"/>
      <c r="K4097"/>
    </row>
    <row r="4098" spans="1:11" x14ac:dyDescent="0.25">
      <c r="A4098">
        <v>4</v>
      </c>
      <c r="B4098">
        <v>15</v>
      </c>
      <c r="C4098"/>
      <c r="D4098" t="s">
        <v>31</v>
      </c>
      <c r="E4098" t="s">
        <v>35</v>
      </c>
      <c r="F4098" t="s">
        <v>39</v>
      </c>
      <c r="G4098" s="118">
        <v>0.74616898148148147</v>
      </c>
      <c r="H4098" s="118">
        <v>9.3750000000000007E-4</v>
      </c>
      <c r="I4098" s="118">
        <v>5.2083333333333333E-4</v>
      </c>
      <c r="J4098"/>
      <c r="K4098"/>
    </row>
    <row r="4099" spans="1:11" x14ac:dyDescent="0.25">
      <c r="A4099">
        <v>2</v>
      </c>
      <c r="B4099">
        <v>15</v>
      </c>
      <c r="C4099"/>
      <c r="D4099" t="s">
        <v>31</v>
      </c>
      <c r="E4099" t="s">
        <v>35</v>
      </c>
      <c r="F4099" t="s">
        <v>50</v>
      </c>
      <c r="G4099" s="118">
        <v>0.7462847222222222</v>
      </c>
      <c r="H4099" s="118">
        <v>1.1458333333333333E-3</v>
      </c>
      <c r="I4099" s="118">
        <v>3.4722222222222224E-4</v>
      </c>
      <c r="J4099"/>
      <c r="K4099"/>
    </row>
    <row r="4100" spans="1:11" x14ac:dyDescent="0.25">
      <c r="A4100">
        <v>3</v>
      </c>
      <c r="B4100">
        <v>15</v>
      </c>
      <c r="C4100"/>
      <c r="D4100" t="s">
        <v>31</v>
      </c>
      <c r="E4100" t="s">
        <v>32</v>
      </c>
      <c r="F4100" t="s">
        <v>55</v>
      </c>
      <c r="G4100" s="118">
        <v>0.74652777777777779</v>
      </c>
      <c r="H4100" s="118">
        <v>4.6296296296296293E-4</v>
      </c>
      <c r="I4100" s="118">
        <v>4.3981481481481481E-4</v>
      </c>
      <c r="J4100" s="118">
        <v>5.0462962962962961E-3</v>
      </c>
      <c r="K4100" s="118">
        <v>5.0462962962962961E-3</v>
      </c>
    </row>
    <row r="4101" spans="1:11" x14ac:dyDescent="0.25">
      <c r="A4101">
        <v>2</v>
      </c>
      <c r="B4101">
        <v>15</v>
      </c>
      <c r="C4101"/>
      <c r="D4101" t="s">
        <v>31</v>
      </c>
      <c r="E4101" t="s">
        <v>32</v>
      </c>
      <c r="F4101" t="s">
        <v>50</v>
      </c>
      <c r="G4101" s="118">
        <v>0.74663194444444436</v>
      </c>
      <c r="H4101" s="118">
        <v>3.4722222222222224E-4</v>
      </c>
      <c r="I4101" s="118">
        <v>1.261574074074074E-3</v>
      </c>
      <c r="J4101" s="118">
        <v>5.0462962962962961E-3</v>
      </c>
      <c r="K4101" s="118">
        <v>5.0462962962962961E-3</v>
      </c>
    </row>
    <row r="4102" spans="1:11" x14ac:dyDescent="0.25">
      <c r="A4102">
        <v>1</v>
      </c>
      <c r="B4102">
        <v>14</v>
      </c>
      <c r="C4102"/>
      <c r="D4102" t="s">
        <v>31</v>
      </c>
      <c r="E4102" t="s">
        <v>35</v>
      </c>
      <c r="F4102" t="s">
        <v>48</v>
      </c>
      <c r="G4102" s="118">
        <v>0.7466666666666667</v>
      </c>
      <c r="H4102" s="118">
        <v>9.1435185185185185E-4</v>
      </c>
      <c r="I4102" s="118">
        <v>5.2083333333333333E-4</v>
      </c>
      <c r="J4102"/>
      <c r="K4102"/>
    </row>
    <row r="4103" spans="1:11" x14ac:dyDescent="0.25">
      <c r="A4103">
        <v>4</v>
      </c>
      <c r="B4103">
        <v>15</v>
      </c>
      <c r="C4103"/>
      <c r="D4103" t="s">
        <v>31</v>
      </c>
      <c r="E4103" t="s">
        <v>32</v>
      </c>
      <c r="F4103" t="s">
        <v>39</v>
      </c>
      <c r="G4103" s="118">
        <v>0.74668981481481478</v>
      </c>
      <c r="H4103" s="118">
        <v>5.2083333333333333E-4</v>
      </c>
      <c r="I4103" s="118">
        <v>1.8055555555555557E-3</v>
      </c>
      <c r="J4103" s="118">
        <v>5.0462962962962961E-3</v>
      </c>
      <c r="K4103" s="118">
        <v>5.0462962962962961E-3</v>
      </c>
    </row>
    <row r="4104" spans="1:11" x14ac:dyDescent="0.25">
      <c r="A4104">
        <v>8</v>
      </c>
      <c r="B4104">
        <v>3</v>
      </c>
      <c r="C4104"/>
      <c r="D4104" t="s">
        <v>31</v>
      </c>
      <c r="E4104" t="s">
        <v>35</v>
      </c>
      <c r="F4104" t="s">
        <v>47</v>
      </c>
      <c r="G4104" s="118">
        <v>0.74674768518518519</v>
      </c>
      <c r="H4104" s="118">
        <v>8.564814814814815E-4</v>
      </c>
      <c r="I4104" s="118">
        <v>5.2083333333333333E-4</v>
      </c>
      <c r="J4104"/>
      <c r="K4104"/>
    </row>
    <row r="4105" spans="1:11" x14ac:dyDescent="0.25">
      <c r="A4105">
        <v>9</v>
      </c>
      <c r="B4105">
        <v>2</v>
      </c>
      <c r="C4105"/>
      <c r="D4105" t="s">
        <v>31</v>
      </c>
      <c r="E4105" t="s">
        <v>35</v>
      </c>
      <c r="F4105" t="s">
        <v>33</v>
      </c>
      <c r="G4105" s="118">
        <v>0.74690972222222218</v>
      </c>
      <c r="H4105" s="118">
        <v>1.3541666666666667E-3</v>
      </c>
      <c r="I4105" s="118">
        <v>5.2083333333333333E-4</v>
      </c>
      <c r="J4105"/>
      <c r="K4105"/>
    </row>
    <row r="4106" spans="1:11" x14ac:dyDescent="0.25">
      <c r="A4106">
        <v>3</v>
      </c>
      <c r="B4106">
        <v>15</v>
      </c>
      <c r="C4106"/>
      <c r="D4106" t="s">
        <v>31</v>
      </c>
      <c r="E4106" t="s">
        <v>35</v>
      </c>
      <c r="F4106" t="s">
        <v>58</v>
      </c>
      <c r="G4106" s="118">
        <v>0.7469675925925926</v>
      </c>
      <c r="H4106" s="118">
        <v>4.3981481481481481E-4</v>
      </c>
      <c r="I4106" s="118">
        <v>5.7870370370370366E-5</v>
      </c>
      <c r="J4106"/>
      <c r="K4106"/>
    </row>
    <row r="4107" spans="1:11" x14ac:dyDescent="0.25">
      <c r="A4107">
        <v>3</v>
      </c>
      <c r="B4107">
        <v>15</v>
      </c>
      <c r="C4107"/>
      <c r="D4107" t="s">
        <v>31</v>
      </c>
      <c r="E4107" t="s">
        <v>32</v>
      </c>
      <c r="F4107" t="s">
        <v>58</v>
      </c>
      <c r="G4107" s="118">
        <v>0.74702546296296291</v>
      </c>
      <c r="H4107" s="118">
        <v>5.7870370370370366E-5</v>
      </c>
      <c r="I4107" s="118">
        <v>4.8611111111111104E-4</v>
      </c>
      <c r="J4107" s="118">
        <v>5.0462962962962961E-3</v>
      </c>
      <c r="K4107" s="118">
        <v>5.0462962962962961E-3</v>
      </c>
    </row>
    <row r="4108" spans="1:11" x14ac:dyDescent="0.25">
      <c r="A4108">
        <v>5</v>
      </c>
      <c r="B4108">
        <v>16</v>
      </c>
      <c r="C4108"/>
      <c r="D4108" t="s">
        <v>31</v>
      </c>
      <c r="E4108" t="s">
        <v>35</v>
      </c>
      <c r="F4108" t="s">
        <v>45</v>
      </c>
      <c r="G4108" s="118">
        <v>0.74714120370370374</v>
      </c>
      <c r="H4108" s="118">
        <v>1.2384259259259258E-3</v>
      </c>
      <c r="I4108" s="118">
        <v>3.4722222222222224E-4</v>
      </c>
      <c r="J4108"/>
      <c r="K4108"/>
    </row>
    <row r="4109" spans="1:11" x14ac:dyDescent="0.25">
      <c r="A4109">
        <v>1</v>
      </c>
      <c r="B4109">
        <v>14</v>
      </c>
      <c r="C4109"/>
      <c r="D4109" t="s">
        <v>31</v>
      </c>
      <c r="E4109" t="s">
        <v>32</v>
      </c>
      <c r="F4109" t="s">
        <v>48</v>
      </c>
      <c r="G4109" s="118">
        <v>0.7471875</v>
      </c>
      <c r="H4109" s="118">
        <v>5.2083333333333333E-4</v>
      </c>
      <c r="I4109" s="118">
        <v>8.6805555555555551E-4</v>
      </c>
      <c r="J4109" s="118">
        <v>5.0462962962962961E-3</v>
      </c>
      <c r="K4109" s="118">
        <v>5.0462962962962961E-3</v>
      </c>
    </row>
    <row r="4110" spans="1:11" x14ac:dyDescent="0.25">
      <c r="A4110">
        <v>8</v>
      </c>
      <c r="B4110">
        <v>3</v>
      </c>
      <c r="C4110"/>
      <c r="D4110" t="s">
        <v>31</v>
      </c>
      <c r="E4110" t="s">
        <v>32</v>
      </c>
      <c r="F4110" t="s">
        <v>47</v>
      </c>
      <c r="G4110" s="118">
        <v>0.7472685185185185</v>
      </c>
      <c r="H4110" s="118">
        <v>5.2083333333333333E-4</v>
      </c>
      <c r="I4110" s="118">
        <v>8.7962962962962962E-4</v>
      </c>
      <c r="J4110" s="118">
        <v>5.0462962962962961E-3</v>
      </c>
      <c r="K4110" s="118">
        <v>5.0462962962962961E-3</v>
      </c>
    </row>
    <row r="4111" spans="1:11" x14ac:dyDescent="0.25">
      <c r="A4111">
        <v>9</v>
      </c>
      <c r="B4111">
        <v>2</v>
      </c>
      <c r="C4111"/>
      <c r="D4111" t="s">
        <v>31</v>
      </c>
      <c r="E4111" t="s">
        <v>32</v>
      </c>
      <c r="F4111" t="s">
        <v>33</v>
      </c>
      <c r="G4111" s="118">
        <v>0.74743055555555549</v>
      </c>
      <c r="H4111" s="118">
        <v>5.2083333333333333E-4</v>
      </c>
      <c r="I4111" s="118">
        <v>9.6064814814814808E-4</v>
      </c>
      <c r="J4111" s="118">
        <v>5.0462962962962961E-3</v>
      </c>
      <c r="K4111" s="118">
        <v>5.0462962962962961E-3</v>
      </c>
    </row>
    <row r="4112" spans="1:11" x14ac:dyDescent="0.25">
      <c r="A4112">
        <v>5</v>
      </c>
      <c r="B4112">
        <v>16</v>
      </c>
      <c r="C4112"/>
      <c r="D4112" t="s">
        <v>31</v>
      </c>
      <c r="E4112" t="s">
        <v>32</v>
      </c>
      <c r="F4112" t="s">
        <v>45</v>
      </c>
      <c r="G4112" s="118">
        <v>0.7474884259259259</v>
      </c>
      <c r="H4112" s="118">
        <v>3.4722222222222224E-4</v>
      </c>
      <c r="I4112" s="118">
        <v>1.0416666666666667E-3</v>
      </c>
      <c r="J4112" s="118">
        <v>5.0462962962962961E-3</v>
      </c>
      <c r="K4112" s="118">
        <v>5.0462962962962961E-3</v>
      </c>
    </row>
    <row r="4113" spans="1:11" x14ac:dyDescent="0.25">
      <c r="A4113">
        <v>3</v>
      </c>
      <c r="B4113">
        <v>15</v>
      </c>
      <c r="C4113"/>
      <c r="D4113" t="s">
        <v>31</v>
      </c>
      <c r="E4113" t="s">
        <v>35</v>
      </c>
      <c r="F4113" t="s">
        <v>40</v>
      </c>
      <c r="G4113" s="118">
        <v>0.74751157407407398</v>
      </c>
      <c r="H4113" s="118">
        <v>4.8611111111111104E-4</v>
      </c>
      <c r="I4113" s="118">
        <v>4.6296296296296293E-4</v>
      </c>
      <c r="J4113"/>
      <c r="K4113"/>
    </row>
    <row r="4114" spans="1:11" x14ac:dyDescent="0.25">
      <c r="A4114">
        <v>2</v>
      </c>
      <c r="B4114">
        <v>15</v>
      </c>
      <c r="C4114"/>
      <c r="D4114" t="s">
        <v>31</v>
      </c>
      <c r="E4114" t="s">
        <v>35</v>
      </c>
      <c r="F4114" t="s">
        <v>56</v>
      </c>
      <c r="G4114" s="118">
        <v>0.7478935185185186</v>
      </c>
      <c r="H4114" s="118">
        <v>1.261574074074074E-3</v>
      </c>
      <c r="I4114" s="118">
        <v>3.4722222222222224E-4</v>
      </c>
      <c r="J4114"/>
      <c r="K4114"/>
    </row>
    <row r="4115" spans="1:11" x14ac:dyDescent="0.25">
      <c r="A4115">
        <v>3</v>
      </c>
      <c r="B4115">
        <v>15</v>
      </c>
      <c r="C4115"/>
      <c r="D4115" t="s">
        <v>31</v>
      </c>
      <c r="E4115" t="s">
        <v>32</v>
      </c>
      <c r="F4115" t="s">
        <v>40</v>
      </c>
      <c r="G4115" s="118">
        <v>0.74797453703703709</v>
      </c>
      <c r="H4115" s="118">
        <v>4.6296296296296293E-4</v>
      </c>
      <c r="I4115" s="118">
        <v>1.0069444444444444E-3</v>
      </c>
      <c r="J4115" s="118">
        <v>5.0462962962962961E-3</v>
      </c>
      <c r="K4115" s="118">
        <v>5.0462962962962961E-3</v>
      </c>
    </row>
    <row r="4116" spans="1:11" x14ac:dyDescent="0.25">
      <c r="A4116">
        <v>1</v>
      </c>
      <c r="B4116">
        <v>14</v>
      </c>
      <c r="C4116"/>
      <c r="D4116" t="s">
        <v>31</v>
      </c>
      <c r="E4116" t="s">
        <v>35</v>
      </c>
      <c r="F4116" t="s">
        <v>54</v>
      </c>
      <c r="G4116" s="118">
        <v>0.74805555555555558</v>
      </c>
      <c r="H4116" s="118">
        <v>8.6805555555555551E-4</v>
      </c>
      <c r="I4116" s="118">
        <v>3.4722222222222224E-4</v>
      </c>
      <c r="J4116"/>
      <c r="K4116"/>
    </row>
    <row r="4117" spans="1:11" x14ac:dyDescent="0.25">
      <c r="A4117">
        <v>8</v>
      </c>
      <c r="B4117">
        <v>3</v>
      </c>
      <c r="C4117"/>
      <c r="D4117" t="s">
        <v>31</v>
      </c>
      <c r="E4117" t="s">
        <v>35</v>
      </c>
      <c r="F4117" t="s">
        <v>53</v>
      </c>
      <c r="G4117" s="118">
        <v>0.74814814814814812</v>
      </c>
      <c r="H4117" s="118">
        <v>8.7962962962962962E-4</v>
      </c>
      <c r="I4117" s="118">
        <v>3.4722222222222224E-4</v>
      </c>
      <c r="J4117"/>
      <c r="K4117"/>
    </row>
    <row r="4118" spans="1:11" x14ac:dyDescent="0.25">
      <c r="A4118">
        <v>2</v>
      </c>
      <c r="B4118">
        <v>15</v>
      </c>
      <c r="C4118"/>
      <c r="D4118" t="s">
        <v>31</v>
      </c>
      <c r="E4118" t="s">
        <v>32</v>
      </c>
      <c r="F4118" t="s">
        <v>56</v>
      </c>
      <c r="G4118" s="118">
        <v>0.74824074074074076</v>
      </c>
      <c r="H4118" s="118">
        <v>3.4722222222222224E-4</v>
      </c>
      <c r="I4118" s="118">
        <v>9.6064814814814808E-4</v>
      </c>
      <c r="J4118" s="118">
        <v>5.0462962962962961E-3</v>
      </c>
      <c r="K4118" s="118">
        <v>5.0462962962962961E-3</v>
      </c>
    </row>
    <row r="4119" spans="1:11" x14ac:dyDescent="0.25">
      <c r="A4119">
        <v>9</v>
      </c>
      <c r="B4119">
        <v>2</v>
      </c>
      <c r="C4119"/>
      <c r="D4119" t="s">
        <v>31</v>
      </c>
      <c r="E4119" t="s">
        <v>35</v>
      </c>
      <c r="F4119" t="s">
        <v>36</v>
      </c>
      <c r="G4119" s="118">
        <v>0.7483912037037036</v>
      </c>
      <c r="H4119" s="118">
        <v>9.6064814814814808E-4</v>
      </c>
      <c r="I4119" s="118">
        <v>3.4722222222222224E-4</v>
      </c>
      <c r="J4119"/>
      <c r="K4119"/>
    </row>
    <row r="4120" spans="1:11" x14ac:dyDescent="0.25">
      <c r="A4120">
        <v>1</v>
      </c>
      <c r="B4120">
        <v>14</v>
      </c>
      <c r="C4120"/>
      <c r="D4120" t="s">
        <v>31</v>
      </c>
      <c r="E4120" t="s">
        <v>32</v>
      </c>
      <c r="F4120" t="s">
        <v>54</v>
      </c>
      <c r="G4120" s="118">
        <v>0.74840277777777775</v>
      </c>
      <c r="H4120" s="118">
        <v>3.4722222222222224E-4</v>
      </c>
      <c r="I4120" s="118">
        <v>6.5972222222222213E-4</v>
      </c>
      <c r="J4120" s="118">
        <v>5.0462962962962961E-3</v>
      </c>
      <c r="K4120" s="118">
        <v>5.0462962962962961E-3</v>
      </c>
    </row>
    <row r="4121" spans="1:11" x14ac:dyDescent="0.25">
      <c r="A4121">
        <v>4</v>
      </c>
      <c r="B4121">
        <v>15</v>
      </c>
      <c r="C4121"/>
      <c r="D4121" t="s">
        <v>31</v>
      </c>
      <c r="E4121" t="s">
        <v>35</v>
      </c>
      <c r="F4121" t="s">
        <v>46</v>
      </c>
      <c r="G4121" s="118">
        <v>0.74849537037037039</v>
      </c>
      <c r="H4121" s="118">
        <v>1.8055555555555557E-3</v>
      </c>
      <c r="I4121" s="118">
        <v>3.4722222222222224E-4</v>
      </c>
      <c r="J4121"/>
      <c r="K4121"/>
    </row>
    <row r="4122" spans="1:11" x14ac:dyDescent="0.25">
      <c r="A4122">
        <v>8</v>
      </c>
      <c r="B4122">
        <v>3</v>
      </c>
      <c r="C4122"/>
      <c r="D4122" t="s">
        <v>31</v>
      </c>
      <c r="E4122" t="s">
        <v>32</v>
      </c>
      <c r="F4122" t="s">
        <v>53</v>
      </c>
      <c r="G4122" s="118">
        <v>0.74849537037037039</v>
      </c>
      <c r="H4122" s="118">
        <v>3.4722222222222224E-4</v>
      </c>
      <c r="I4122" s="118">
        <v>8.449074074074075E-4</v>
      </c>
      <c r="J4122" s="118">
        <v>5.0462962962962961E-3</v>
      </c>
      <c r="K4122" s="118">
        <v>5.0462962962962961E-3</v>
      </c>
    </row>
    <row r="4123" spans="1:11" x14ac:dyDescent="0.25">
      <c r="A4123">
        <v>5</v>
      </c>
      <c r="B4123">
        <v>16</v>
      </c>
      <c r="C4123"/>
      <c r="D4123" t="s">
        <v>31</v>
      </c>
      <c r="E4123" t="s">
        <v>35</v>
      </c>
      <c r="F4123" t="s">
        <v>52</v>
      </c>
      <c r="G4123" s="118">
        <v>0.74853009259259251</v>
      </c>
      <c r="H4123" s="118">
        <v>1.0416666666666667E-3</v>
      </c>
      <c r="I4123" s="118">
        <v>3.4722222222222224E-4</v>
      </c>
      <c r="J4123"/>
      <c r="K4123"/>
    </row>
    <row r="4124" spans="1:11" x14ac:dyDescent="0.25">
      <c r="A4124">
        <v>9</v>
      </c>
      <c r="B4124">
        <v>2</v>
      </c>
      <c r="C4124"/>
      <c r="D4124" t="s">
        <v>31</v>
      </c>
      <c r="E4124" t="s">
        <v>32</v>
      </c>
      <c r="F4124" t="s">
        <v>36</v>
      </c>
      <c r="G4124" s="118">
        <v>0.74873842592592599</v>
      </c>
      <c r="H4124" s="118">
        <v>3.4722222222222224E-4</v>
      </c>
      <c r="I4124" s="118">
        <v>1.0995370370370371E-3</v>
      </c>
      <c r="J4124" s="118">
        <v>5.0462962962962961E-3</v>
      </c>
      <c r="K4124" s="118">
        <v>5.0462962962962961E-3</v>
      </c>
    </row>
    <row r="4125" spans="1:11" x14ac:dyDescent="0.25">
      <c r="A4125">
        <v>4</v>
      </c>
      <c r="B4125">
        <v>15</v>
      </c>
      <c r="C4125"/>
      <c r="D4125" t="s">
        <v>31</v>
      </c>
      <c r="E4125" t="s">
        <v>32</v>
      </c>
      <c r="F4125" t="s">
        <v>46</v>
      </c>
      <c r="G4125" s="118">
        <v>0.74884259259259256</v>
      </c>
      <c r="H4125" s="118">
        <v>3.4722222222222224E-4</v>
      </c>
      <c r="I4125" s="118">
        <v>9.1435185185185185E-4</v>
      </c>
      <c r="J4125" s="118">
        <v>5.0462962962962961E-3</v>
      </c>
      <c r="K4125" s="118">
        <v>5.0462962962962961E-3</v>
      </c>
    </row>
    <row r="4126" spans="1:11" x14ac:dyDescent="0.25">
      <c r="A4126">
        <v>5</v>
      </c>
      <c r="B4126">
        <v>16</v>
      </c>
      <c r="C4126"/>
      <c r="D4126" t="s">
        <v>31</v>
      </c>
      <c r="E4126" t="s">
        <v>32</v>
      </c>
      <c r="F4126" t="s">
        <v>52</v>
      </c>
      <c r="G4126" s="118">
        <v>0.74887731481481479</v>
      </c>
      <c r="H4126" s="118">
        <v>3.4722222222222224E-4</v>
      </c>
      <c r="I4126" s="118">
        <v>1.0532407407407407E-3</v>
      </c>
      <c r="J4126" s="118">
        <v>5.0462962962962961E-3</v>
      </c>
      <c r="K4126" s="118">
        <v>5.0462962962962961E-3</v>
      </c>
    </row>
    <row r="4127" spans="1:11" x14ac:dyDescent="0.25">
      <c r="A4127">
        <v>3</v>
      </c>
      <c r="B4127">
        <v>15</v>
      </c>
      <c r="C4127"/>
      <c r="D4127" t="s">
        <v>31</v>
      </c>
      <c r="E4127" t="s">
        <v>35</v>
      </c>
      <c r="F4127" t="s">
        <v>44</v>
      </c>
      <c r="G4127" s="118">
        <v>0.74898148148148147</v>
      </c>
      <c r="H4127" s="118">
        <v>1.0069444444444444E-3</v>
      </c>
      <c r="I4127" s="118">
        <v>3.4722222222222224E-4</v>
      </c>
      <c r="J4127"/>
      <c r="K4127"/>
    </row>
    <row r="4128" spans="1:11" x14ac:dyDescent="0.25">
      <c r="A4128">
        <v>1</v>
      </c>
      <c r="B4128">
        <v>14</v>
      </c>
      <c r="C4128"/>
      <c r="D4128" t="s">
        <v>31</v>
      </c>
      <c r="E4128" t="s">
        <v>35</v>
      </c>
      <c r="F4128" t="s">
        <v>92</v>
      </c>
      <c r="G4128" s="118">
        <v>0.74906249999999996</v>
      </c>
      <c r="H4128" s="118">
        <v>6.5972222222222213E-4</v>
      </c>
      <c r="I4128" s="118">
        <v>5.2083333333333333E-4</v>
      </c>
      <c r="J4128"/>
      <c r="K4128"/>
    </row>
    <row r="4129" spans="1:11" x14ac:dyDescent="0.25">
      <c r="A4129">
        <v>2</v>
      </c>
      <c r="B4129">
        <v>15</v>
      </c>
      <c r="C4129"/>
      <c r="D4129" t="s">
        <v>31</v>
      </c>
      <c r="E4129" t="s">
        <v>35</v>
      </c>
      <c r="F4129" t="s">
        <v>37</v>
      </c>
      <c r="G4129" s="118">
        <v>0.74920138888888888</v>
      </c>
      <c r="H4129" s="118">
        <v>9.6064814814814808E-4</v>
      </c>
      <c r="I4129" s="118">
        <v>3.4722222222222224E-4</v>
      </c>
      <c r="J4129"/>
      <c r="K4129"/>
    </row>
    <row r="4130" spans="1:11" x14ac:dyDescent="0.25">
      <c r="A4130">
        <v>3</v>
      </c>
      <c r="B4130">
        <v>15</v>
      </c>
      <c r="C4130"/>
      <c r="D4130" t="s">
        <v>31</v>
      </c>
      <c r="E4130" t="s">
        <v>32</v>
      </c>
      <c r="F4130" t="s">
        <v>44</v>
      </c>
      <c r="G4130" s="118">
        <v>0.74932870370370364</v>
      </c>
      <c r="H4130" s="118">
        <v>3.4722222222222224E-4</v>
      </c>
      <c r="I4130" s="118">
        <v>9.2592592592592585E-4</v>
      </c>
      <c r="J4130" s="118">
        <v>5.0462962962962961E-3</v>
      </c>
      <c r="K4130" s="118">
        <v>5.0462962962962961E-3</v>
      </c>
    </row>
    <row r="4131" spans="1:11" x14ac:dyDescent="0.25">
      <c r="A4131">
        <v>8</v>
      </c>
      <c r="B4131">
        <v>3</v>
      </c>
      <c r="C4131"/>
      <c r="D4131" t="s">
        <v>31</v>
      </c>
      <c r="E4131" t="s">
        <v>35</v>
      </c>
      <c r="F4131" t="s">
        <v>34</v>
      </c>
      <c r="G4131" s="118">
        <v>0.74934027777777779</v>
      </c>
      <c r="H4131" s="118">
        <v>8.449074074074075E-4</v>
      </c>
      <c r="I4131" s="118">
        <v>3.4722222222222224E-4</v>
      </c>
      <c r="J4131"/>
      <c r="K4131"/>
    </row>
    <row r="4132" spans="1:11" x14ac:dyDescent="0.25">
      <c r="A4132">
        <v>2</v>
      </c>
      <c r="B4132">
        <v>15</v>
      </c>
      <c r="C4132"/>
      <c r="D4132" t="s">
        <v>31</v>
      </c>
      <c r="E4132" t="s">
        <v>32</v>
      </c>
      <c r="F4132" t="s">
        <v>37</v>
      </c>
      <c r="G4132" s="118">
        <v>0.74954861111111104</v>
      </c>
      <c r="H4132" s="118">
        <v>3.4722222222222224E-4</v>
      </c>
      <c r="I4132" s="118">
        <v>9.0277777777777784E-4</v>
      </c>
      <c r="J4132" s="118">
        <v>5.0462962962962961E-3</v>
      </c>
      <c r="K4132" s="118">
        <v>5.0462962962962961E-3</v>
      </c>
    </row>
    <row r="4133" spans="1:11" x14ac:dyDescent="0.25">
      <c r="A4133">
        <v>1</v>
      </c>
      <c r="B4133">
        <v>15</v>
      </c>
      <c r="C4133"/>
      <c r="D4133" t="s">
        <v>31</v>
      </c>
      <c r="E4133" t="s">
        <v>32</v>
      </c>
      <c r="F4133" t="s">
        <v>92</v>
      </c>
      <c r="G4133" s="118">
        <v>0.74958333333333327</v>
      </c>
      <c r="H4133" s="118">
        <v>5.2083333333333333E-4</v>
      </c>
      <c r="I4133" s="118">
        <v>1.0069444444444444E-3</v>
      </c>
      <c r="J4133" s="118">
        <v>5.0462962962962961E-3</v>
      </c>
      <c r="K4133" s="118">
        <v>5.0462962962962961E-3</v>
      </c>
    </row>
    <row r="4134" spans="1:11" x14ac:dyDescent="0.25">
      <c r="A4134">
        <v>8</v>
      </c>
      <c r="B4134">
        <v>3</v>
      </c>
      <c r="C4134"/>
      <c r="D4134" t="s">
        <v>31</v>
      </c>
      <c r="E4134" t="s">
        <v>32</v>
      </c>
      <c r="F4134" t="s">
        <v>34</v>
      </c>
      <c r="G4134" s="118">
        <v>0.74968749999999995</v>
      </c>
      <c r="H4134" s="118">
        <v>3.4722222222222224E-4</v>
      </c>
      <c r="I4134" s="118">
        <v>9.1435185185185185E-4</v>
      </c>
      <c r="J4134" s="118">
        <v>5.0462962962962961E-3</v>
      </c>
      <c r="K4134" s="118">
        <v>5.0462962962962961E-3</v>
      </c>
    </row>
    <row r="4135" spans="1:11" x14ac:dyDescent="0.25">
      <c r="A4135">
        <v>4</v>
      </c>
      <c r="B4135">
        <v>15</v>
      </c>
      <c r="C4135"/>
      <c r="D4135" t="s">
        <v>31</v>
      </c>
      <c r="E4135" t="s">
        <v>35</v>
      </c>
      <c r="F4135" t="s">
        <v>51</v>
      </c>
      <c r="G4135" s="118">
        <v>0.74975694444444441</v>
      </c>
      <c r="H4135" s="118">
        <v>9.1435185185185185E-4</v>
      </c>
      <c r="I4135" s="118">
        <v>3.4722222222222224E-4</v>
      </c>
      <c r="J4135"/>
      <c r="K4135"/>
    </row>
    <row r="4136" spans="1:11" x14ac:dyDescent="0.25">
      <c r="A4136">
        <v>9</v>
      </c>
      <c r="B4136">
        <v>2</v>
      </c>
      <c r="C4136"/>
      <c r="D4136" t="s">
        <v>31</v>
      </c>
      <c r="E4136" t="s">
        <v>35</v>
      </c>
      <c r="F4136" t="s">
        <v>43</v>
      </c>
      <c r="G4136" s="118">
        <v>0.74983796296296301</v>
      </c>
      <c r="H4136" s="118">
        <v>1.0995370370370371E-3</v>
      </c>
      <c r="I4136" s="118">
        <v>3.4722222222222224E-4</v>
      </c>
      <c r="J4136"/>
      <c r="K4136"/>
    </row>
    <row r="4137" spans="1:11" x14ac:dyDescent="0.25">
      <c r="A4137">
        <v>5</v>
      </c>
      <c r="B4137">
        <v>16</v>
      </c>
      <c r="C4137"/>
      <c r="D4137" t="s">
        <v>31</v>
      </c>
      <c r="E4137" t="s">
        <v>35</v>
      </c>
      <c r="F4137" t="s">
        <v>57</v>
      </c>
      <c r="G4137" s="118">
        <v>0.74993055555555566</v>
      </c>
      <c r="H4137" s="118">
        <v>1.0532407407407407E-3</v>
      </c>
      <c r="I4137" s="118">
        <v>3.4722222222222224E-4</v>
      </c>
      <c r="J4137"/>
      <c r="K4137"/>
    </row>
    <row r="4138" spans="1:11" x14ac:dyDescent="0.25">
      <c r="A4138">
        <v>4</v>
      </c>
      <c r="B4138">
        <v>15</v>
      </c>
      <c r="C4138"/>
      <c r="D4138" t="s">
        <v>31</v>
      </c>
      <c r="E4138" t="s">
        <v>32</v>
      </c>
      <c r="F4138" t="s">
        <v>51</v>
      </c>
      <c r="G4138" s="118">
        <v>0.75010416666666668</v>
      </c>
      <c r="H4138" s="118">
        <v>3.4722222222222224E-4</v>
      </c>
      <c r="I4138" s="118">
        <v>1.0069444444444444E-3</v>
      </c>
      <c r="J4138" s="118">
        <v>5.0462962962962961E-3</v>
      </c>
      <c r="K4138" s="118">
        <v>5.0462962962962961E-3</v>
      </c>
    </row>
    <row r="4139" spans="1:11" x14ac:dyDescent="0.25">
      <c r="A4139">
        <v>9</v>
      </c>
      <c r="B4139">
        <v>2</v>
      </c>
      <c r="C4139"/>
      <c r="D4139" t="s">
        <v>31</v>
      </c>
      <c r="E4139" t="s">
        <v>32</v>
      </c>
      <c r="F4139" t="s">
        <v>43</v>
      </c>
      <c r="G4139" s="118">
        <v>0.75018518518518518</v>
      </c>
      <c r="H4139" s="118">
        <v>3.4722222222222224E-4</v>
      </c>
      <c r="I4139" s="118">
        <v>1.1458333333333333E-3</v>
      </c>
      <c r="J4139" s="118">
        <v>5.0462962962962961E-3</v>
      </c>
      <c r="K4139" s="118">
        <v>5.0462962962962961E-3</v>
      </c>
    </row>
    <row r="4140" spans="1:11" x14ac:dyDescent="0.25">
      <c r="A4140">
        <v>3</v>
      </c>
      <c r="B4140">
        <v>15</v>
      </c>
      <c r="C4140"/>
      <c r="D4140" t="s">
        <v>31</v>
      </c>
      <c r="E4140" t="s">
        <v>35</v>
      </c>
      <c r="F4140" t="s">
        <v>49</v>
      </c>
      <c r="G4140" s="118">
        <v>0.75025462962962963</v>
      </c>
      <c r="H4140" s="118">
        <v>9.2592592592592585E-4</v>
      </c>
      <c r="I4140" s="118">
        <v>3.4722222222222224E-4</v>
      </c>
      <c r="J4140"/>
      <c r="K4140"/>
    </row>
    <row r="4141" spans="1:11" x14ac:dyDescent="0.25">
      <c r="A4141">
        <v>5</v>
      </c>
      <c r="B4141">
        <v>16</v>
      </c>
      <c r="C4141"/>
      <c r="D4141" t="s">
        <v>31</v>
      </c>
      <c r="E4141" t="s">
        <v>32</v>
      </c>
      <c r="F4141" t="s">
        <v>57</v>
      </c>
      <c r="G4141" s="118">
        <v>0.75027777777777782</v>
      </c>
      <c r="H4141" s="118">
        <v>3.4722222222222224E-4</v>
      </c>
      <c r="I4141" s="118">
        <v>9.3750000000000007E-4</v>
      </c>
      <c r="J4141" s="118">
        <v>5.0462962962962961E-3</v>
      </c>
      <c r="K4141" s="118">
        <v>5.0462962962962961E-3</v>
      </c>
    </row>
    <row r="4142" spans="1:11" x14ac:dyDescent="0.25">
      <c r="A4142">
        <v>2</v>
      </c>
      <c r="B4142">
        <v>15</v>
      </c>
      <c r="C4142"/>
      <c r="D4142" t="s">
        <v>31</v>
      </c>
      <c r="E4142" t="s">
        <v>35</v>
      </c>
      <c r="F4142" t="s">
        <v>42</v>
      </c>
      <c r="G4142" s="118">
        <v>0.75045138888888896</v>
      </c>
      <c r="H4142" s="118">
        <v>9.0277777777777784E-4</v>
      </c>
      <c r="I4142" s="118">
        <v>3.4722222222222224E-4</v>
      </c>
      <c r="J4142"/>
      <c r="K4142"/>
    </row>
    <row r="4143" spans="1:11" x14ac:dyDescent="0.25">
      <c r="A4143">
        <v>1</v>
      </c>
      <c r="B4143">
        <v>15</v>
      </c>
      <c r="C4143"/>
      <c r="D4143" t="s">
        <v>31</v>
      </c>
      <c r="E4143" t="s">
        <v>35</v>
      </c>
      <c r="F4143" t="s">
        <v>41</v>
      </c>
      <c r="G4143" s="118">
        <v>0.75059027777777787</v>
      </c>
      <c r="H4143" s="118">
        <v>1.0069444444444444E-3</v>
      </c>
      <c r="I4143" s="118">
        <v>3.4722222222222224E-4</v>
      </c>
      <c r="J4143"/>
      <c r="K4143"/>
    </row>
    <row r="4144" spans="1:11" x14ac:dyDescent="0.25">
      <c r="A4144">
        <v>3</v>
      </c>
      <c r="B4144">
        <v>15</v>
      </c>
      <c r="C4144"/>
      <c r="D4144" t="s">
        <v>31</v>
      </c>
      <c r="E4144" t="s">
        <v>32</v>
      </c>
      <c r="F4144" t="s">
        <v>49</v>
      </c>
      <c r="G4144" s="118">
        <v>0.7506018518518518</v>
      </c>
      <c r="H4144" s="118">
        <v>3.4722222222222224E-4</v>
      </c>
      <c r="I4144" s="118">
        <v>1.3541666666666667E-3</v>
      </c>
      <c r="J4144" s="118">
        <v>5.0462962962962961E-3</v>
      </c>
      <c r="K4144" s="118">
        <v>5.0462962962962961E-3</v>
      </c>
    </row>
    <row r="4145" spans="1:11" x14ac:dyDescent="0.25">
      <c r="A4145">
        <v>8</v>
      </c>
      <c r="B4145">
        <v>3</v>
      </c>
      <c r="C4145"/>
      <c r="D4145" t="s">
        <v>31</v>
      </c>
      <c r="E4145" t="s">
        <v>35</v>
      </c>
      <c r="F4145" t="s">
        <v>38</v>
      </c>
      <c r="G4145" s="118">
        <v>0.7506018518518518</v>
      </c>
      <c r="H4145" s="118">
        <v>9.1435185185185185E-4</v>
      </c>
      <c r="I4145" s="118">
        <v>3.4722222222222224E-4</v>
      </c>
      <c r="J4145"/>
      <c r="K4145"/>
    </row>
    <row r="4146" spans="1:11" x14ac:dyDescent="0.25">
      <c r="A4146">
        <v>2</v>
      </c>
      <c r="B4146">
        <v>15</v>
      </c>
      <c r="C4146"/>
      <c r="D4146" t="s">
        <v>31</v>
      </c>
      <c r="E4146" t="s">
        <v>32</v>
      </c>
      <c r="F4146" t="s">
        <v>42</v>
      </c>
      <c r="G4146" s="118">
        <v>0.75079861111111112</v>
      </c>
      <c r="H4146" s="118">
        <v>3.4722222222222224E-4</v>
      </c>
      <c r="I4146" s="118">
        <v>9.1435185185185185E-4</v>
      </c>
      <c r="J4146" s="118">
        <v>5.0462962962962961E-3</v>
      </c>
      <c r="K4146" s="118">
        <v>5.0462962962962961E-3</v>
      </c>
    </row>
    <row r="4147" spans="1:11" x14ac:dyDescent="0.25">
      <c r="A4147">
        <v>1</v>
      </c>
      <c r="B4147">
        <v>15</v>
      </c>
      <c r="C4147"/>
      <c r="D4147" t="s">
        <v>31</v>
      </c>
      <c r="E4147" t="s">
        <v>32</v>
      </c>
      <c r="F4147" t="s">
        <v>41</v>
      </c>
      <c r="G4147" s="118">
        <v>0.75093750000000004</v>
      </c>
      <c r="H4147" s="118">
        <v>3.4722222222222224E-4</v>
      </c>
      <c r="I4147" s="118">
        <v>8.564814814814815E-4</v>
      </c>
      <c r="J4147" s="118">
        <v>5.0462962962962961E-3</v>
      </c>
      <c r="K4147" s="118">
        <v>5.0462962962962961E-3</v>
      </c>
    </row>
    <row r="4148" spans="1:11" x14ac:dyDescent="0.25">
      <c r="A4148">
        <v>8</v>
      </c>
      <c r="B4148">
        <v>3</v>
      </c>
      <c r="C4148"/>
      <c r="D4148" t="s">
        <v>31</v>
      </c>
      <c r="E4148" t="s">
        <v>32</v>
      </c>
      <c r="F4148" t="s">
        <v>38</v>
      </c>
      <c r="G4148" s="118">
        <v>0.75094907407407396</v>
      </c>
      <c r="H4148" s="118">
        <v>3.4722222222222224E-4</v>
      </c>
      <c r="I4148" s="118">
        <v>1.2384259259259258E-3</v>
      </c>
      <c r="J4148" s="118">
        <v>5.0462962962962961E-3</v>
      </c>
      <c r="K4148" s="118">
        <v>5.0462962962962961E-3</v>
      </c>
    </row>
    <row r="4149" spans="1:11" x14ac:dyDescent="0.25">
      <c r="A4149">
        <v>4</v>
      </c>
      <c r="B4149">
        <v>15</v>
      </c>
      <c r="C4149"/>
      <c r="D4149" t="s">
        <v>31</v>
      </c>
      <c r="E4149" t="s">
        <v>35</v>
      </c>
      <c r="F4149" t="s">
        <v>55</v>
      </c>
      <c r="G4149" s="118">
        <v>0.75111111111111117</v>
      </c>
      <c r="H4149" s="118">
        <v>1.0069444444444444E-3</v>
      </c>
      <c r="I4149" s="118">
        <v>4.6296296296296293E-4</v>
      </c>
      <c r="J4149"/>
      <c r="K4149"/>
    </row>
    <row r="4150" spans="1:11" x14ac:dyDescent="0.25">
      <c r="A4150">
        <v>5</v>
      </c>
      <c r="B4150">
        <v>16</v>
      </c>
      <c r="C4150"/>
      <c r="D4150" t="s">
        <v>31</v>
      </c>
      <c r="E4150" t="s">
        <v>35</v>
      </c>
      <c r="F4150" t="s">
        <v>39</v>
      </c>
      <c r="G4150" s="118">
        <v>0.75121527777777775</v>
      </c>
      <c r="H4150" s="118">
        <v>9.3750000000000007E-4</v>
      </c>
      <c r="I4150" s="118">
        <v>5.2083333333333333E-4</v>
      </c>
      <c r="J4150"/>
      <c r="K4150"/>
    </row>
    <row r="4151" spans="1:11" x14ac:dyDescent="0.25">
      <c r="A4151">
        <v>9</v>
      </c>
      <c r="B4151">
        <v>2</v>
      </c>
      <c r="C4151"/>
      <c r="D4151" t="s">
        <v>31</v>
      </c>
      <c r="E4151" t="s">
        <v>35</v>
      </c>
      <c r="F4151" t="s">
        <v>50</v>
      </c>
      <c r="G4151" s="118">
        <v>0.75133101851851858</v>
      </c>
      <c r="H4151" s="118">
        <v>1.1458333333333333E-3</v>
      </c>
      <c r="I4151" s="118">
        <v>3.4722222222222224E-4</v>
      </c>
      <c r="J4151"/>
      <c r="K4151"/>
    </row>
    <row r="4152" spans="1:11" x14ac:dyDescent="0.25">
      <c r="A4152">
        <v>4</v>
      </c>
      <c r="B4152">
        <v>15</v>
      </c>
      <c r="C4152"/>
      <c r="D4152" t="s">
        <v>31</v>
      </c>
      <c r="E4152" t="s">
        <v>32</v>
      </c>
      <c r="F4152" t="s">
        <v>55</v>
      </c>
      <c r="G4152" s="118">
        <v>0.75157407407407406</v>
      </c>
      <c r="H4152" s="118">
        <v>4.6296296296296293E-4</v>
      </c>
      <c r="I4152" s="118">
        <v>4.3981481481481481E-4</v>
      </c>
      <c r="J4152" s="118">
        <v>5.0462962962962961E-3</v>
      </c>
      <c r="K4152" s="118">
        <v>5.0462962962962961E-3</v>
      </c>
    </row>
    <row r="4153" spans="1:11" x14ac:dyDescent="0.25">
      <c r="A4153">
        <v>9</v>
      </c>
      <c r="B4153">
        <v>2</v>
      </c>
      <c r="C4153"/>
      <c r="D4153" t="s">
        <v>31</v>
      </c>
      <c r="E4153" t="s">
        <v>32</v>
      </c>
      <c r="F4153" t="s">
        <v>50</v>
      </c>
      <c r="G4153" s="118">
        <v>0.75167824074074074</v>
      </c>
      <c r="H4153" s="118">
        <v>3.4722222222222224E-4</v>
      </c>
      <c r="I4153" s="118">
        <v>1.261574074074074E-3</v>
      </c>
      <c r="J4153" s="118">
        <v>5.0462962962962961E-3</v>
      </c>
      <c r="K4153" s="118">
        <v>5.0462962962962961E-3</v>
      </c>
    </row>
    <row r="4154" spans="1:11" x14ac:dyDescent="0.25">
      <c r="A4154">
        <v>2</v>
      </c>
      <c r="B4154">
        <v>15</v>
      </c>
      <c r="C4154"/>
      <c r="D4154" t="s">
        <v>31</v>
      </c>
      <c r="E4154" t="s">
        <v>35</v>
      </c>
      <c r="F4154" t="s">
        <v>48</v>
      </c>
      <c r="G4154" s="118">
        <v>0.75171296296296297</v>
      </c>
      <c r="H4154" s="118">
        <v>9.1435185185185185E-4</v>
      </c>
      <c r="I4154" s="118">
        <v>5.2083333333333333E-4</v>
      </c>
      <c r="J4154"/>
      <c r="K4154"/>
    </row>
    <row r="4155" spans="1:11" x14ac:dyDescent="0.25">
      <c r="A4155">
        <v>5</v>
      </c>
      <c r="B4155">
        <v>16</v>
      </c>
      <c r="C4155"/>
      <c r="D4155" t="s">
        <v>31</v>
      </c>
      <c r="E4155" t="s">
        <v>32</v>
      </c>
      <c r="F4155" t="s">
        <v>39</v>
      </c>
      <c r="G4155" s="118">
        <v>0.75173611111111116</v>
      </c>
      <c r="H4155" s="118">
        <v>5.2083333333333333E-4</v>
      </c>
      <c r="I4155" s="118">
        <v>1.8055555555555557E-3</v>
      </c>
      <c r="J4155" s="118">
        <v>5.0462962962962961E-3</v>
      </c>
      <c r="K4155" s="118">
        <v>5.0462962962962961E-3</v>
      </c>
    </row>
    <row r="4156" spans="1:11" x14ac:dyDescent="0.25">
      <c r="A4156">
        <v>1</v>
      </c>
      <c r="B4156">
        <v>15</v>
      </c>
      <c r="C4156"/>
      <c r="D4156" t="s">
        <v>31</v>
      </c>
      <c r="E4156" t="s">
        <v>35</v>
      </c>
      <c r="F4156" t="s">
        <v>47</v>
      </c>
      <c r="G4156" s="118">
        <v>0.75179398148148147</v>
      </c>
      <c r="H4156" s="118">
        <v>8.564814814814815E-4</v>
      </c>
      <c r="I4156" s="118">
        <v>5.2083333333333333E-4</v>
      </c>
      <c r="J4156"/>
      <c r="K4156"/>
    </row>
    <row r="4157" spans="1:11" x14ac:dyDescent="0.25">
      <c r="A4157">
        <v>3</v>
      </c>
      <c r="B4157">
        <v>15</v>
      </c>
      <c r="C4157"/>
      <c r="D4157" t="s">
        <v>31</v>
      </c>
      <c r="E4157" t="s">
        <v>35</v>
      </c>
      <c r="F4157" t="s">
        <v>33</v>
      </c>
      <c r="G4157" s="118">
        <v>0.75195601851851857</v>
      </c>
      <c r="H4157" s="118">
        <v>1.3541666666666667E-3</v>
      </c>
      <c r="I4157" s="118">
        <v>5.2083333333333333E-4</v>
      </c>
      <c r="J4157"/>
      <c r="K4157"/>
    </row>
    <row r="4158" spans="1:11" x14ac:dyDescent="0.25">
      <c r="A4158">
        <v>4</v>
      </c>
      <c r="B4158">
        <v>15</v>
      </c>
      <c r="C4158"/>
      <c r="D4158" t="s">
        <v>31</v>
      </c>
      <c r="E4158" t="s">
        <v>35</v>
      </c>
      <c r="F4158" t="s">
        <v>58</v>
      </c>
      <c r="G4158" s="118">
        <v>0.75201388888888887</v>
      </c>
      <c r="H4158" s="118">
        <v>4.3981481481481481E-4</v>
      </c>
      <c r="I4158" s="118">
        <v>5.7870370370370366E-5</v>
      </c>
      <c r="J4158"/>
      <c r="K4158"/>
    </row>
    <row r="4159" spans="1:11" x14ac:dyDescent="0.25">
      <c r="A4159">
        <v>4</v>
      </c>
      <c r="B4159">
        <v>15</v>
      </c>
      <c r="C4159"/>
      <c r="D4159" t="s">
        <v>31</v>
      </c>
      <c r="E4159" t="s">
        <v>32</v>
      </c>
      <c r="F4159" t="s">
        <v>58</v>
      </c>
      <c r="G4159" s="118">
        <v>0.75207175925925929</v>
      </c>
      <c r="H4159" s="118">
        <v>5.7870370370370366E-5</v>
      </c>
      <c r="I4159" s="118">
        <v>4.8611111111111104E-4</v>
      </c>
      <c r="J4159" s="118">
        <v>5.0462962962962961E-3</v>
      </c>
      <c r="K4159" s="118">
        <v>5.0462962962962961E-3</v>
      </c>
    </row>
    <row r="4160" spans="1:11" x14ac:dyDescent="0.25">
      <c r="A4160">
        <v>8</v>
      </c>
      <c r="B4160">
        <v>3</v>
      </c>
      <c r="C4160"/>
      <c r="D4160" t="s">
        <v>31</v>
      </c>
      <c r="E4160" t="s">
        <v>35</v>
      </c>
      <c r="F4160" t="s">
        <v>45</v>
      </c>
      <c r="G4160" s="118">
        <v>0.7521874999999999</v>
      </c>
      <c r="H4160" s="118">
        <v>1.2384259259259258E-3</v>
      </c>
      <c r="I4160" s="118">
        <v>3.4722222222222224E-4</v>
      </c>
      <c r="J4160"/>
      <c r="K4160"/>
    </row>
    <row r="4161" spans="1:11" x14ac:dyDescent="0.25">
      <c r="A4161">
        <v>2</v>
      </c>
      <c r="B4161">
        <v>15</v>
      </c>
      <c r="C4161"/>
      <c r="D4161" t="s">
        <v>31</v>
      </c>
      <c r="E4161" t="s">
        <v>32</v>
      </c>
      <c r="F4161" t="s">
        <v>48</v>
      </c>
      <c r="G4161" s="118">
        <v>0.75223379629629628</v>
      </c>
      <c r="H4161" s="118">
        <v>5.2083333333333333E-4</v>
      </c>
      <c r="I4161" s="118">
        <v>8.6805555555555551E-4</v>
      </c>
      <c r="J4161" s="118">
        <v>5.0462962962962961E-3</v>
      </c>
      <c r="K4161" s="118">
        <v>5.0462962962962961E-3</v>
      </c>
    </row>
    <row r="4162" spans="1:11" x14ac:dyDescent="0.25">
      <c r="A4162">
        <v>1</v>
      </c>
      <c r="B4162">
        <v>15</v>
      </c>
      <c r="C4162"/>
      <c r="D4162" t="s">
        <v>31</v>
      </c>
      <c r="E4162" t="s">
        <v>32</v>
      </c>
      <c r="F4162" t="s">
        <v>47</v>
      </c>
      <c r="G4162" s="118">
        <v>0.75231481481481488</v>
      </c>
      <c r="H4162" s="118">
        <v>5.2083333333333333E-4</v>
      </c>
      <c r="I4162" s="118">
        <v>8.7962962962962962E-4</v>
      </c>
      <c r="J4162" s="118">
        <v>5.0462962962962961E-3</v>
      </c>
      <c r="K4162" s="118">
        <v>5.0462962962962961E-3</v>
      </c>
    </row>
    <row r="4163" spans="1:11" x14ac:dyDescent="0.25">
      <c r="A4163">
        <v>3</v>
      </c>
      <c r="B4163">
        <v>15</v>
      </c>
      <c r="C4163"/>
      <c r="D4163" t="s">
        <v>31</v>
      </c>
      <c r="E4163" t="s">
        <v>32</v>
      </c>
      <c r="F4163" t="s">
        <v>33</v>
      </c>
      <c r="G4163" s="118">
        <v>0.75247685185185187</v>
      </c>
      <c r="H4163" s="118">
        <v>5.2083333333333333E-4</v>
      </c>
      <c r="I4163" s="118">
        <v>9.6064814814814808E-4</v>
      </c>
      <c r="J4163" s="118">
        <v>5.0462962962962961E-3</v>
      </c>
      <c r="K4163" s="118">
        <v>5.0462962962962961E-3</v>
      </c>
    </row>
    <row r="4164" spans="1:11" x14ac:dyDescent="0.25">
      <c r="A4164">
        <v>8</v>
      </c>
      <c r="B4164">
        <v>3</v>
      </c>
      <c r="C4164"/>
      <c r="D4164" t="s">
        <v>31</v>
      </c>
      <c r="E4164" t="s">
        <v>32</v>
      </c>
      <c r="F4164" t="s">
        <v>45</v>
      </c>
      <c r="G4164" s="118">
        <v>0.75253472222222229</v>
      </c>
      <c r="H4164" s="118">
        <v>3.4722222222222224E-4</v>
      </c>
      <c r="I4164" s="118">
        <v>1.0416666666666667E-3</v>
      </c>
      <c r="J4164" s="118">
        <v>5.0462962962962961E-3</v>
      </c>
      <c r="K4164" s="118">
        <v>5.0462962962962961E-3</v>
      </c>
    </row>
    <row r="4165" spans="1:11" x14ac:dyDescent="0.25">
      <c r="A4165">
        <v>4</v>
      </c>
      <c r="B4165">
        <v>15</v>
      </c>
      <c r="C4165"/>
      <c r="D4165" t="s">
        <v>31</v>
      </c>
      <c r="E4165" t="s">
        <v>35</v>
      </c>
      <c r="F4165" t="s">
        <v>40</v>
      </c>
      <c r="G4165" s="118">
        <v>0.75255787037037036</v>
      </c>
      <c r="H4165" s="118">
        <v>4.8611111111111104E-4</v>
      </c>
      <c r="I4165" s="118">
        <v>4.6296296296296293E-4</v>
      </c>
      <c r="J4165"/>
      <c r="K4165"/>
    </row>
    <row r="4166" spans="1:11" x14ac:dyDescent="0.25">
      <c r="A4166">
        <v>9</v>
      </c>
      <c r="B4166">
        <v>2</v>
      </c>
      <c r="C4166"/>
      <c r="D4166" t="s">
        <v>31</v>
      </c>
      <c r="E4166" t="s">
        <v>35</v>
      </c>
      <c r="F4166" t="s">
        <v>56</v>
      </c>
      <c r="G4166" s="118">
        <v>0.75293981481481476</v>
      </c>
      <c r="H4166" s="118">
        <v>1.261574074074074E-3</v>
      </c>
      <c r="I4166" s="118">
        <v>3.4722222222222224E-4</v>
      </c>
      <c r="J4166"/>
      <c r="K4166"/>
    </row>
    <row r="4167" spans="1:11" x14ac:dyDescent="0.25">
      <c r="A4167">
        <v>4</v>
      </c>
      <c r="B4167">
        <v>15</v>
      </c>
      <c r="C4167"/>
      <c r="D4167" t="s">
        <v>31</v>
      </c>
      <c r="E4167" t="s">
        <v>32</v>
      </c>
      <c r="F4167" t="s">
        <v>40</v>
      </c>
      <c r="G4167" s="118">
        <v>0.75302083333333336</v>
      </c>
      <c r="H4167" s="118">
        <v>4.6296296296296293E-4</v>
      </c>
      <c r="I4167" s="118">
        <v>1.0069444444444444E-3</v>
      </c>
      <c r="J4167" s="118">
        <v>5.0462962962962961E-3</v>
      </c>
      <c r="K4167" s="118">
        <v>5.0462962962962961E-3</v>
      </c>
    </row>
    <row r="4168" spans="1:11" x14ac:dyDescent="0.25">
      <c r="A4168">
        <v>2</v>
      </c>
      <c r="B4168">
        <v>15</v>
      </c>
      <c r="C4168"/>
      <c r="D4168" t="s">
        <v>31</v>
      </c>
      <c r="E4168" t="s">
        <v>35</v>
      </c>
      <c r="F4168" t="s">
        <v>54</v>
      </c>
      <c r="G4168" s="118">
        <v>0.75310185185185186</v>
      </c>
      <c r="H4168" s="118">
        <v>8.6805555555555551E-4</v>
      </c>
      <c r="I4168" s="118">
        <v>3.4722222222222224E-4</v>
      </c>
      <c r="J4168"/>
      <c r="K4168"/>
    </row>
    <row r="4169" spans="1:11" x14ac:dyDescent="0.25">
      <c r="A4169">
        <v>1</v>
      </c>
      <c r="B4169">
        <v>15</v>
      </c>
      <c r="C4169"/>
      <c r="D4169" t="s">
        <v>31</v>
      </c>
      <c r="E4169" t="s">
        <v>35</v>
      </c>
      <c r="F4169" t="s">
        <v>53</v>
      </c>
      <c r="G4169" s="118">
        <v>0.7531944444444445</v>
      </c>
      <c r="H4169" s="118">
        <v>8.7962962962962962E-4</v>
      </c>
      <c r="I4169" s="118">
        <v>3.4722222222222224E-4</v>
      </c>
      <c r="J4169"/>
      <c r="K4169"/>
    </row>
    <row r="4170" spans="1:11" x14ac:dyDescent="0.25">
      <c r="A4170">
        <v>9</v>
      </c>
      <c r="B4170">
        <v>2</v>
      </c>
      <c r="C4170"/>
      <c r="D4170" t="s">
        <v>31</v>
      </c>
      <c r="E4170" t="s">
        <v>32</v>
      </c>
      <c r="F4170" t="s">
        <v>56</v>
      </c>
      <c r="G4170" s="118">
        <v>0.75328703703703714</v>
      </c>
      <c r="H4170" s="118">
        <v>3.4722222222222224E-4</v>
      </c>
      <c r="I4170" s="118">
        <v>9.6064814814814808E-4</v>
      </c>
      <c r="J4170" s="118">
        <v>5.0462962962962961E-3</v>
      </c>
      <c r="K4170" s="118">
        <v>5.0462962962962961E-3</v>
      </c>
    </row>
    <row r="4171" spans="1:11" x14ac:dyDescent="0.25">
      <c r="A4171">
        <v>3</v>
      </c>
      <c r="B4171">
        <v>15</v>
      </c>
      <c r="C4171"/>
      <c r="D4171" t="s">
        <v>31</v>
      </c>
      <c r="E4171" t="s">
        <v>35</v>
      </c>
      <c r="F4171" t="s">
        <v>36</v>
      </c>
      <c r="G4171" s="118">
        <v>0.75343749999999998</v>
      </c>
      <c r="H4171" s="118">
        <v>9.6064814814814808E-4</v>
      </c>
      <c r="I4171" s="118">
        <v>3.4722222222222224E-4</v>
      </c>
      <c r="J4171"/>
      <c r="K4171"/>
    </row>
    <row r="4172" spans="1:11" x14ac:dyDescent="0.25">
      <c r="A4172">
        <v>2</v>
      </c>
      <c r="B4172">
        <v>15</v>
      </c>
      <c r="C4172"/>
      <c r="D4172" t="s">
        <v>31</v>
      </c>
      <c r="E4172" t="s">
        <v>32</v>
      </c>
      <c r="F4172" t="s">
        <v>54</v>
      </c>
      <c r="G4172" s="118">
        <v>0.75344907407407413</v>
      </c>
      <c r="H4172" s="118">
        <v>3.4722222222222224E-4</v>
      </c>
      <c r="I4172" s="118">
        <v>6.5972222222222213E-4</v>
      </c>
      <c r="J4172" s="118">
        <v>5.0462962962962961E-3</v>
      </c>
      <c r="K4172" s="118">
        <v>5.0462962962962961E-3</v>
      </c>
    </row>
    <row r="4173" spans="1:11" x14ac:dyDescent="0.25">
      <c r="A4173">
        <v>1</v>
      </c>
      <c r="B4173">
        <v>15</v>
      </c>
      <c r="C4173"/>
      <c r="D4173" t="s">
        <v>31</v>
      </c>
      <c r="E4173" t="s">
        <v>32</v>
      </c>
      <c r="F4173" t="s">
        <v>53</v>
      </c>
      <c r="G4173" s="118">
        <v>0.75354166666666667</v>
      </c>
      <c r="H4173" s="118">
        <v>3.4722222222222224E-4</v>
      </c>
      <c r="I4173" s="118">
        <v>8.449074074074075E-4</v>
      </c>
      <c r="J4173" s="118">
        <v>5.0462962962962961E-3</v>
      </c>
      <c r="K4173" s="118">
        <v>5.0462962962962961E-3</v>
      </c>
    </row>
    <row r="4174" spans="1:11" x14ac:dyDescent="0.25">
      <c r="A4174">
        <v>5</v>
      </c>
      <c r="B4174">
        <v>16</v>
      </c>
      <c r="C4174"/>
      <c r="D4174" t="s">
        <v>31</v>
      </c>
      <c r="E4174" t="s">
        <v>35</v>
      </c>
      <c r="F4174" t="s">
        <v>46</v>
      </c>
      <c r="G4174" s="118">
        <v>0.75354166666666667</v>
      </c>
      <c r="H4174" s="118">
        <v>1.8055555555555557E-3</v>
      </c>
      <c r="I4174" s="118">
        <v>3.4722222222222224E-4</v>
      </c>
      <c r="J4174"/>
      <c r="K4174"/>
    </row>
    <row r="4175" spans="1:11" x14ac:dyDescent="0.25">
      <c r="A4175">
        <v>8</v>
      </c>
      <c r="B4175">
        <v>3</v>
      </c>
      <c r="C4175"/>
      <c r="D4175" t="s">
        <v>31</v>
      </c>
      <c r="E4175" t="s">
        <v>35</v>
      </c>
      <c r="F4175" t="s">
        <v>52</v>
      </c>
      <c r="G4175" s="118">
        <v>0.75357638888888889</v>
      </c>
      <c r="H4175" s="118">
        <v>1.0416666666666667E-3</v>
      </c>
      <c r="I4175" s="118">
        <v>3.4722222222222224E-4</v>
      </c>
      <c r="J4175"/>
      <c r="K4175"/>
    </row>
    <row r="4176" spans="1:11" x14ac:dyDescent="0.25">
      <c r="A4176">
        <v>3</v>
      </c>
      <c r="B4176">
        <v>15</v>
      </c>
      <c r="C4176"/>
      <c r="D4176" t="s">
        <v>31</v>
      </c>
      <c r="E4176" t="s">
        <v>32</v>
      </c>
      <c r="F4176" t="s">
        <v>36</v>
      </c>
      <c r="G4176" s="118">
        <v>0.75378472222222215</v>
      </c>
      <c r="H4176" s="118">
        <v>3.4722222222222224E-4</v>
      </c>
      <c r="I4176" s="118">
        <v>1.0995370370370371E-3</v>
      </c>
      <c r="J4176" s="118">
        <v>5.0462962962962961E-3</v>
      </c>
      <c r="K4176" s="118">
        <v>5.0462962962962961E-3</v>
      </c>
    </row>
    <row r="4177" spans="1:11" x14ac:dyDescent="0.25">
      <c r="A4177">
        <v>5</v>
      </c>
      <c r="B4177">
        <v>16</v>
      </c>
      <c r="C4177"/>
      <c r="D4177" t="s">
        <v>31</v>
      </c>
      <c r="E4177" t="s">
        <v>32</v>
      </c>
      <c r="F4177" t="s">
        <v>46</v>
      </c>
      <c r="G4177" s="118">
        <v>0.75388888888888894</v>
      </c>
      <c r="H4177" s="118">
        <v>3.4722222222222224E-4</v>
      </c>
      <c r="I4177" s="118">
        <v>9.1435185185185185E-4</v>
      </c>
      <c r="J4177" s="118">
        <v>5.0462962962962961E-3</v>
      </c>
      <c r="K4177" s="118">
        <v>5.0462962962962961E-3</v>
      </c>
    </row>
    <row r="4178" spans="1:11" x14ac:dyDescent="0.25">
      <c r="A4178">
        <v>8</v>
      </c>
      <c r="B4178">
        <v>3</v>
      </c>
      <c r="C4178"/>
      <c r="D4178" t="s">
        <v>31</v>
      </c>
      <c r="E4178" t="s">
        <v>32</v>
      </c>
      <c r="F4178" t="s">
        <v>52</v>
      </c>
      <c r="G4178" s="118">
        <v>0.75392361111111106</v>
      </c>
      <c r="H4178" s="118">
        <v>3.4722222222222224E-4</v>
      </c>
      <c r="I4178" s="118">
        <v>1.0532407407407407E-3</v>
      </c>
      <c r="J4178" s="118">
        <v>5.0462962962962961E-3</v>
      </c>
      <c r="K4178" s="118">
        <v>5.0462962962962961E-3</v>
      </c>
    </row>
    <row r="4179" spans="1:11" x14ac:dyDescent="0.25">
      <c r="A4179">
        <v>4</v>
      </c>
      <c r="B4179">
        <v>15</v>
      </c>
      <c r="C4179"/>
      <c r="D4179" t="s">
        <v>31</v>
      </c>
      <c r="E4179" t="s">
        <v>35</v>
      </c>
      <c r="F4179" t="s">
        <v>44</v>
      </c>
      <c r="G4179" s="118">
        <v>0.75402777777777785</v>
      </c>
      <c r="H4179" s="118">
        <v>1.0069444444444444E-3</v>
      </c>
      <c r="I4179" s="118">
        <v>3.4722222222222224E-4</v>
      </c>
      <c r="J4179"/>
      <c r="K4179"/>
    </row>
    <row r="4180" spans="1:11" x14ac:dyDescent="0.25">
      <c r="A4180">
        <v>2</v>
      </c>
      <c r="B4180">
        <v>15</v>
      </c>
      <c r="C4180"/>
      <c r="D4180" t="s">
        <v>31</v>
      </c>
      <c r="E4180" t="s">
        <v>35</v>
      </c>
      <c r="F4180" t="s">
        <v>92</v>
      </c>
      <c r="G4180" s="118">
        <v>0.75410879629629635</v>
      </c>
      <c r="H4180" s="118">
        <v>6.5972222222222213E-4</v>
      </c>
      <c r="I4180" s="118">
        <v>5.2083333333333333E-4</v>
      </c>
      <c r="J4180"/>
      <c r="K4180"/>
    </row>
    <row r="4181" spans="1:11" x14ac:dyDescent="0.25">
      <c r="A4181">
        <v>9</v>
      </c>
      <c r="B4181">
        <v>2</v>
      </c>
      <c r="C4181"/>
      <c r="D4181" t="s">
        <v>31</v>
      </c>
      <c r="E4181" t="s">
        <v>35</v>
      </c>
      <c r="F4181" t="s">
        <v>37</v>
      </c>
      <c r="G4181" s="118">
        <v>0.75424768518518526</v>
      </c>
      <c r="H4181" s="118">
        <v>9.6064814814814808E-4</v>
      </c>
      <c r="I4181" s="118">
        <v>3.4722222222222224E-4</v>
      </c>
      <c r="J4181"/>
      <c r="K4181"/>
    </row>
    <row r="4182" spans="1:11" x14ac:dyDescent="0.25">
      <c r="A4182">
        <v>4</v>
      </c>
      <c r="B4182">
        <v>15</v>
      </c>
      <c r="C4182"/>
      <c r="D4182" t="s">
        <v>31</v>
      </c>
      <c r="E4182" t="s">
        <v>32</v>
      </c>
      <c r="F4182" t="s">
        <v>44</v>
      </c>
      <c r="G4182" s="118">
        <v>0.75437500000000002</v>
      </c>
      <c r="H4182" s="118">
        <v>3.4722222222222224E-4</v>
      </c>
      <c r="I4182" s="118">
        <v>9.2592592592592585E-4</v>
      </c>
      <c r="J4182" s="118">
        <v>5.0462962962962961E-3</v>
      </c>
      <c r="K4182" s="118">
        <v>5.0462962962962961E-3</v>
      </c>
    </row>
    <row r="4183" spans="1:11" x14ac:dyDescent="0.25">
      <c r="A4183">
        <v>1</v>
      </c>
      <c r="B4183">
        <v>15</v>
      </c>
      <c r="C4183"/>
      <c r="D4183" t="s">
        <v>31</v>
      </c>
      <c r="E4183" t="s">
        <v>35</v>
      </c>
      <c r="F4183" t="s">
        <v>34</v>
      </c>
      <c r="G4183" s="118">
        <v>0.75438657407407417</v>
      </c>
      <c r="H4183" s="118">
        <v>8.449074074074075E-4</v>
      </c>
      <c r="I4183" s="118">
        <v>3.4722222222222224E-4</v>
      </c>
      <c r="J4183"/>
      <c r="K4183"/>
    </row>
    <row r="4184" spans="1:11" x14ac:dyDescent="0.25">
      <c r="A4184">
        <v>9</v>
      </c>
      <c r="B4184">
        <v>2</v>
      </c>
      <c r="C4184"/>
      <c r="D4184" t="s">
        <v>31</v>
      </c>
      <c r="E4184" t="s">
        <v>32</v>
      </c>
      <c r="F4184" t="s">
        <v>37</v>
      </c>
      <c r="G4184" s="118">
        <v>0.75459490740740742</v>
      </c>
      <c r="H4184" s="118">
        <v>3.4722222222222224E-4</v>
      </c>
      <c r="I4184" s="118">
        <v>9.0277777777777784E-4</v>
      </c>
      <c r="J4184" s="118">
        <v>5.0462962962962961E-3</v>
      </c>
      <c r="K4184" s="118">
        <v>5.0462962962962961E-3</v>
      </c>
    </row>
    <row r="4185" spans="1:11" x14ac:dyDescent="0.25">
      <c r="A4185">
        <v>2</v>
      </c>
      <c r="B4185">
        <v>16</v>
      </c>
      <c r="C4185"/>
      <c r="D4185" t="s">
        <v>31</v>
      </c>
      <c r="E4185" t="s">
        <v>32</v>
      </c>
      <c r="F4185" t="s">
        <v>92</v>
      </c>
      <c r="G4185" s="118">
        <v>0.75462962962962965</v>
      </c>
      <c r="H4185" s="118">
        <v>5.2083333333333333E-4</v>
      </c>
      <c r="I4185" s="118">
        <v>1.0069444444444444E-3</v>
      </c>
      <c r="J4185" s="118">
        <v>5.0462962962962961E-3</v>
      </c>
      <c r="K4185" s="118">
        <v>5.0462962962962961E-3</v>
      </c>
    </row>
    <row r="4186" spans="1:11" x14ac:dyDescent="0.25">
      <c r="A4186">
        <v>1</v>
      </c>
      <c r="B4186">
        <v>15</v>
      </c>
      <c r="C4186"/>
      <c r="D4186" t="s">
        <v>31</v>
      </c>
      <c r="E4186" t="s">
        <v>32</v>
      </c>
      <c r="F4186" t="s">
        <v>34</v>
      </c>
      <c r="G4186" s="118">
        <v>0.75473379629629633</v>
      </c>
      <c r="H4186" s="118">
        <v>3.4722222222222224E-4</v>
      </c>
      <c r="I4186" s="118">
        <v>9.1435185185185185E-4</v>
      </c>
      <c r="J4186" s="118">
        <v>5.0462962962962961E-3</v>
      </c>
      <c r="K4186" s="118">
        <v>5.0462962962962961E-3</v>
      </c>
    </row>
    <row r="4187" spans="1:11" x14ac:dyDescent="0.25">
      <c r="A4187">
        <v>5</v>
      </c>
      <c r="B4187">
        <v>16</v>
      </c>
      <c r="C4187"/>
      <c r="D4187" t="s">
        <v>31</v>
      </c>
      <c r="E4187" t="s">
        <v>35</v>
      </c>
      <c r="F4187" t="s">
        <v>51</v>
      </c>
      <c r="G4187" s="118">
        <v>0.75480324074074068</v>
      </c>
      <c r="H4187" s="118">
        <v>9.1435185185185185E-4</v>
      </c>
      <c r="I4187" s="118">
        <v>3.4722222222222224E-4</v>
      </c>
      <c r="J4187"/>
      <c r="K4187"/>
    </row>
    <row r="4188" spans="1:11" x14ac:dyDescent="0.25">
      <c r="A4188">
        <v>3</v>
      </c>
      <c r="B4188">
        <v>15</v>
      </c>
      <c r="C4188"/>
      <c r="D4188" t="s">
        <v>31</v>
      </c>
      <c r="E4188" t="s">
        <v>35</v>
      </c>
      <c r="F4188" t="s">
        <v>43</v>
      </c>
      <c r="G4188" s="118">
        <v>0.75488425925925917</v>
      </c>
      <c r="H4188" s="118">
        <v>1.0995370370370371E-3</v>
      </c>
      <c r="I4188" s="118">
        <v>3.4722222222222224E-4</v>
      </c>
      <c r="J4188"/>
      <c r="K4188"/>
    </row>
    <row r="4189" spans="1:11" x14ac:dyDescent="0.25">
      <c r="A4189">
        <v>8</v>
      </c>
      <c r="B4189">
        <v>3</v>
      </c>
      <c r="C4189"/>
      <c r="D4189" t="s">
        <v>31</v>
      </c>
      <c r="E4189" t="s">
        <v>35</v>
      </c>
      <c r="F4189" t="s">
        <v>57</v>
      </c>
      <c r="G4189" s="118">
        <v>0.75497685185185182</v>
      </c>
      <c r="H4189" s="118">
        <v>1.0532407407407407E-3</v>
      </c>
      <c r="I4189" s="118">
        <v>3.4722222222222224E-4</v>
      </c>
      <c r="J4189"/>
      <c r="K4189"/>
    </row>
    <row r="4190" spans="1:11" x14ac:dyDescent="0.25">
      <c r="A4190">
        <v>5</v>
      </c>
      <c r="B4190">
        <v>16</v>
      </c>
      <c r="C4190"/>
      <c r="D4190" t="s">
        <v>31</v>
      </c>
      <c r="E4190" t="s">
        <v>32</v>
      </c>
      <c r="F4190" t="s">
        <v>51</v>
      </c>
      <c r="G4190" s="118">
        <v>0.75515046296296295</v>
      </c>
      <c r="H4190" s="118">
        <v>3.4722222222222224E-4</v>
      </c>
      <c r="I4190" s="118">
        <v>1.0069444444444444E-3</v>
      </c>
      <c r="J4190" s="118">
        <v>5.0462962962962961E-3</v>
      </c>
      <c r="K4190" s="118">
        <v>5.0462962962962961E-3</v>
      </c>
    </row>
    <row r="4191" spans="1:11" x14ac:dyDescent="0.25">
      <c r="A4191">
        <v>3</v>
      </c>
      <c r="B4191">
        <v>15</v>
      </c>
      <c r="C4191"/>
      <c r="D4191" t="s">
        <v>31</v>
      </c>
      <c r="E4191" t="s">
        <v>32</v>
      </c>
      <c r="F4191" t="s">
        <v>43</v>
      </c>
      <c r="G4191" s="118">
        <v>0.75523148148148145</v>
      </c>
      <c r="H4191" s="118">
        <v>3.4722222222222224E-4</v>
      </c>
      <c r="I4191" s="118">
        <v>1.1458333333333333E-3</v>
      </c>
      <c r="J4191" s="118">
        <v>5.0462962962962961E-3</v>
      </c>
      <c r="K4191" s="118">
        <v>5.0462962962962961E-3</v>
      </c>
    </row>
    <row r="4192" spans="1:11" x14ac:dyDescent="0.25">
      <c r="A4192">
        <v>4</v>
      </c>
      <c r="B4192">
        <v>15</v>
      </c>
      <c r="C4192"/>
      <c r="D4192" t="s">
        <v>31</v>
      </c>
      <c r="E4192" t="s">
        <v>35</v>
      </c>
      <c r="F4192" t="s">
        <v>49</v>
      </c>
      <c r="G4192" s="118">
        <v>0.7553009259259259</v>
      </c>
      <c r="H4192" s="118">
        <v>9.2592592592592585E-4</v>
      </c>
      <c r="I4192" s="118">
        <v>3.4722222222222224E-4</v>
      </c>
      <c r="J4192"/>
      <c r="K4192"/>
    </row>
    <row r="4193" spans="1:11" x14ac:dyDescent="0.25">
      <c r="A4193">
        <v>8</v>
      </c>
      <c r="B4193">
        <v>3</v>
      </c>
      <c r="C4193"/>
      <c r="D4193" t="s">
        <v>31</v>
      </c>
      <c r="E4193" t="s">
        <v>32</v>
      </c>
      <c r="F4193" t="s">
        <v>57</v>
      </c>
      <c r="G4193" s="118">
        <v>0.75532407407407398</v>
      </c>
      <c r="H4193" s="118">
        <v>3.4722222222222224E-4</v>
      </c>
      <c r="I4193" s="118">
        <v>9.3750000000000007E-4</v>
      </c>
      <c r="J4193" s="118">
        <v>5.0462962962962961E-3</v>
      </c>
      <c r="K4193" s="118">
        <v>5.0462962962962961E-3</v>
      </c>
    </row>
    <row r="4194" spans="1:11" x14ac:dyDescent="0.25">
      <c r="A4194">
        <v>9</v>
      </c>
      <c r="B4194">
        <v>2</v>
      </c>
      <c r="C4194"/>
      <c r="D4194" t="s">
        <v>31</v>
      </c>
      <c r="E4194" t="s">
        <v>35</v>
      </c>
      <c r="F4194" t="s">
        <v>42</v>
      </c>
      <c r="G4194" s="118">
        <v>0.75549768518518512</v>
      </c>
      <c r="H4194" s="118">
        <v>9.0277777777777784E-4</v>
      </c>
      <c r="I4194" s="118">
        <v>3.4722222222222224E-4</v>
      </c>
      <c r="J4194"/>
      <c r="K4194"/>
    </row>
    <row r="4195" spans="1:11" x14ac:dyDescent="0.25">
      <c r="A4195">
        <v>2</v>
      </c>
      <c r="B4195">
        <v>16</v>
      </c>
      <c r="C4195"/>
      <c r="D4195" t="s">
        <v>31</v>
      </c>
      <c r="E4195" t="s">
        <v>35</v>
      </c>
      <c r="F4195" t="s">
        <v>41</v>
      </c>
      <c r="G4195" s="118">
        <v>0.75563657407407403</v>
      </c>
      <c r="H4195" s="118">
        <v>1.0069444444444444E-3</v>
      </c>
      <c r="I4195" s="118">
        <v>3.4722222222222224E-4</v>
      </c>
      <c r="J4195"/>
      <c r="K4195"/>
    </row>
    <row r="4196" spans="1:11" x14ac:dyDescent="0.25">
      <c r="A4196">
        <v>1</v>
      </c>
      <c r="B4196">
        <v>15</v>
      </c>
      <c r="C4196"/>
      <c r="D4196" t="s">
        <v>31</v>
      </c>
      <c r="E4196" t="s">
        <v>35</v>
      </c>
      <c r="F4196" t="s">
        <v>38</v>
      </c>
      <c r="G4196" s="118">
        <v>0.75564814814814818</v>
      </c>
      <c r="H4196" s="118">
        <v>9.1435185185185185E-4</v>
      </c>
      <c r="I4196" s="118">
        <v>3.4722222222222224E-4</v>
      </c>
      <c r="J4196"/>
      <c r="K4196"/>
    </row>
    <row r="4197" spans="1:11" x14ac:dyDescent="0.25">
      <c r="A4197">
        <v>4</v>
      </c>
      <c r="B4197">
        <v>15</v>
      </c>
      <c r="C4197"/>
      <c r="D4197" t="s">
        <v>31</v>
      </c>
      <c r="E4197" t="s">
        <v>32</v>
      </c>
      <c r="F4197" t="s">
        <v>49</v>
      </c>
      <c r="G4197" s="118">
        <v>0.75564814814814818</v>
      </c>
      <c r="H4197" s="118">
        <v>3.4722222222222224E-4</v>
      </c>
      <c r="I4197" s="118">
        <v>1.3541666666666667E-3</v>
      </c>
      <c r="J4197" s="118">
        <v>5.0462962962962961E-3</v>
      </c>
      <c r="K4197" s="118">
        <v>5.0462962962962961E-3</v>
      </c>
    </row>
    <row r="4198" spans="1:11" x14ac:dyDescent="0.25">
      <c r="A4198">
        <v>9</v>
      </c>
      <c r="B4198">
        <v>2</v>
      </c>
      <c r="C4198"/>
      <c r="D4198" t="s">
        <v>31</v>
      </c>
      <c r="E4198" t="s">
        <v>32</v>
      </c>
      <c r="F4198" t="s">
        <v>42</v>
      </c>
      <c r="G4198" s="118">
        <v>0.75584490740740751</v>
      </c>
      <c r="H4198" s="118">
        <v>3.4722222222222224E-4</v>
      </c>
      <c r="I4198" s="118">
        <v>9.1435185185185185E-4</v>
      </c>
      <c r="J4198" s="118">
        <v>5.0462962962962961E-3</v>
      </c>
      <c r="K4198" s="118">
        <v>5.0462962962962961E-3</v>
      </c>
    </row>
    <row r="4199" spans="1:11" x14ac:dyDescent="0.25">
      <c r="A4199">
        <v>2</v>
      </c>
      <c r="B4199">
        <v>16</v>
      </c>
      <c r="C4199"/>
      <c r="D4199" t="s">
        <v>31</v>
      </c>
      <c r="E4199" t="s">
        <v>32</v>
      </c>
      <c r="F4199" t="s">
        <v>41</v>
      </c>
      <c r="G4199" s="118">
        <v>0.7559837962962962</v>
      </c>
      <c r="H4199" s="118">
        <v>3.4722222222222224E-4</v>
      </c>
      <c r="I4199" s="118">
        <v>8.564814814814815E-4</v>
      </c>
      <c r="J4199" s="118">
        <v>5.0462962962962961E-3</v>
      </c>
      <c r="K4199" s="118">
        <v>5.0462962962962961E-3</v>
      </c>
    </row>
    <row r="4200" spans="1:11" x14ac:dyDescent="0.25">
      <c r="A4200">
        <v>1</v>
      </c>
      <c r="B4200">
        <v>15</v>
      </c>
      <c r="C4200"/>
      <c r="D4200" t="s">
        <v>31</v>
      </c>
      <c r="E4200" t="s">
        <v>32</v>
      </c>
      <c r="F4200" t="s">
        <v>38</v>
      </c>
      <c r="G4200" s="118">
        <v>0.75599537037037035</v>
      </c>
      <c r="H4200" s="118">
        <v>3.4722222222222224E-4</v>
      </c>
      <c r="I4200" s="118">
        <v>1.2384259259259258E-3</v>
      </c>
      <c r="J4200" s="118">
        <v>5.0462962962962961E-3</v>
      </c>
      <c r="K4200" s="118">
        <v>5.0462962962962961E-3</v>
      </c>
    </row>
    <row r="4201" spans="1:11" x14ac:dyDescent="0.25">
      <c r="A4201">
        <v>5</v>
      </c>
      <c r="B4201">
        <v>16</v>
      </c>
      <c r="C4201"/>
      <c r="D4201" t="s">
        <v>31</v>
      </c>
      <c r="E4201" t="s">
        <v>35</v>
      </c>
      <c r="F4201" t="s">
        <v>55</v>
      </c>
      <c r="G4201" s="118">
        <v>0.75615740740740733</v>
      </c>
      <c r="H4201" s="118">
        <v>1.0069444444444444E-3</v>
      </c>
      <c r="I4201" s="118">
        <v>4.6296296296296293E-4</v>
      </c>
      <c r="J4201"/>
      <c r="K4201"/>
    </row>
    <row r="4202" spans="1:11" x14ac:dyDescent="0.25">
      <c r="A4202">
        <v>8</v>
      </c>
      <c r="B4202">
        <v>3</v>
      </c>
      <c r="C4202"/>
      <c r="D4202" t="s">
        <v>31</v>
      </c>
      <c r="E4202" t="s">
        <v>35</v>
      </c>
      <c r="F4202" t="s">
        <v>39</v>
      </c>
      <c r="G4202" s="118">
        <v>0.75626157407407402</v>
      </c>
      <c r="H4202" s="118">
        <v>9.3750000000000007E-4</v>
      </c>
      <c r="I4202" s="118">
        <v>5.2083333333333333E-4</v>
      </c>
      <c r="J4202"/>
      <c r="K4202"/>
    </row>
    <row r="4203" spans="1:11" x14ac:dyDescent="0.25">
      <c r="A4203">
        <v>3</v>
      </c>
      <c r="B4203">
        <v>15</v>
      </c>
      <c r="C4203"/>
      <c r="D4203" t="s">
        <v>31</v>
      </c>
      <c r="E4203" t="s">
        <v>35</v>
      </c>
      <c r="F4203" t="s">
        <v>50</v>
      </c>
      <c r="G4203" s="118">
        <v>0.75637731481481485</v>
      </c>
      <c r="H4203" s="118">
        <v>1.1458333333333333E-3</v>
      </c>
      <c r="I4203" s="118">
        <v>3.4722222222222224E-4</v>
      </c>
      <c r="J4203"/>
      <c r="K4203"/>
    </row>
    <row r="4204" spans="1:11" x14ac:dyDescent="0.25">
      <c r="A4204">
        <v>5</v>
      </c>
      <c r="B4204">
        <v>16</v>
      </c>
      <c r="C4204"/>
      <c r="D4204" t="s">
        <v>31</v>
      </c>
      <c r="E4204" t="s">
        <v>32</v>
      </c>
      <c r="F4204" t="s">
        <v>55</v>
      </c>
      <c r="G4204" s="118">
        <v>0.75662037037037033</v>
      </c>
      <c r="H4204" s="118">
        <v>4.6296296296296293E-4</v>
      </c>
      <c r="I4204" s="118">
        <v>4.3981481481481481E-4</v>
      </c>
      <c r="J4204" s="118">
        <v>5.0462962962962961E-3</v>
      </c>
      <c r="K4204" s="118">
        <v>5.0462962962962961E-3</v>
      </c>
    </row>
    <row r="4205" spans="1:11" x14ac:dyDescent="0.25">
      <c r="A4205">
        <v>3</v>
      </c>
      <c r="B4205">
        <v>15</v>
      </c>
      <c r="C4205"/>
      <c r="D4205" t="s">
        <v>31</v>
      </c>
      <c r="E4205" t="s">
        <v>32</v>
      </c>
      <c r="F4205" t="s">
        <v>50</v>
      </c>
      <c r="G4205" s="118">
        <v>0.75672453703703713</v>
      </c>
      <c r="H4205" s="118">
        <v>3.4722222222222224E-4</v>
      </c>
      <c r="I4205" s="118">
        <v>1.261574074074074E-3</v>
      </c>
      <c r="J4205" s="118">
        <v>5.0462962962962961E-3</v>
      </c>
      <c r="K4205" s="118">
        <v>5.0462962962962961E-3</v>
      </c>
    </row>
    <row r="4206" spans="1:11" x14ac:dyDescent="0.25">
      <c r="A4206">
        <v>9</v>
      </c>
      <c r="B4206">
        <v>2</v>
      </c>
      <c r="C4206"/>
      <c r="D4206" t="s">
        <v>31</v>
      </c>
      <c r="E4206" t="s">
        <v>35</v>
      </c>
      <c r="F4206" t="s">
        <v>48</v>
      </c>
      <c r="G4206" s="118">
        <v>0.75675925925925924</v>
      </c>
      <c r="H4206" s="118">
        <v>9.1435185185185185E-4</v>
      </c>
      <c r="I4206" s="118">
        <v>5.2083333333333333E-4</v>
      </c>
      <c r="J4206"/>
      <c r="K4206"/>
    </row>
    <row r="4207" spans="1:11" x14ac:dyDescent="0.25">
      <c r="A4207">
        <v>8</v>
      </c>
      <c r="B4207">
        <v>3</v>
      </c>
      <c r="C4207"/>
      <c r="D4207" t="s">
        <v>31</v>
      </c>
      <c r="E4207" t="s">
        <v>32</v>
      </c>
      <c r="F4207" t="s">
        <v>39</v>
      </c>
      <c r="G4207" s="118">
        <v>0.75678240740740732</v>
      </c>
      <c r="H4207" s="118">
        <v>5.2083333333333333E-4</v>
      </c>
      <c r="I4207" s="118">
        <v>1.8055555555555557E-3</v>
      </c>
      <c r="J4207" s="118">
        <v>5.0462962962962961E-3</v>
      </c>
      <c r="K4207" s="118">
        <v>5.0462962962962961E-3</v>
      </c>
    </row>
    <row r="4208" spans="1:11" x14ac:dyDescent="0.25">
      <c r="A4208">
        <v>2</v>
      </c>
      <c r="B4208">
        <v>16</v>
      </c>
      <c r="C4208"/>
      <c r="D4208" t="s">
        <v>31</v>
      </c>
      <c r="E4208" t="s">
        <v>35</v>
      </c>
      <c r="F4208" t="s">
        <v>47</v>
      </c>
      <c r="G4208" s="118">
        <v>0.75684027777777774</v>
      </c>
      <c r="H4208" s="118">
        <v>8.564814814814815E-4</v>
      </c>
      <c r="I4208" s="118">
        <v>5.2083333333333333E-4</v>
      </c>
      <c r="J4208"/>
      <c r="K4208"/>
    </row>
    <row r="4209" spans="1:11" x14ac:dyDescent="0.25">
      <c r="A4209">
        <v>4</v>
      </c>
      <c r="B4209">
        <v>15</v>
      </c>
      <c r="C4209"/>
      <c r="D4209" t="s">
        <v>31</v>
      </c>
      <c r="E4209" t="s">
        <v>35</v>
      </c>
      <c r="F4209" t="s">
        <v>33</v>
      </c>
      <c r="G4209" s="118">
        <v>0.75700231481481473</v>
      </c>
      <c r="H4209" s="118">
        <v>1.3541666666666667E-3</v>
      </c>
      <c r="I4209" s="118">
        <v>5.2083333333333333E-4</v>
      </c>
      <c r="J4209"/>
      <c r="K4209"/>
    </row>
    <row r="4210" spans="1:11" x14ac:dyDescent="0.25">
      <c r="A4210">
        <v>5</v>
      </c>
      <c r="B4210">
        <v>16</v>
      </c>
      <c r="C4210"/>
      <c r="D4210" t="s">
        <v>31</v>
      </c>
      <c r="E4210" t="s">
        <v>35</v>
      </c>
      <c r="F4210" t="s">
        <v>58</v>
      </c>
      <c r="G4210" s="118">
        <v>0.75706018518518514</v>
      </c>
      <c r="H4210" s="118">
        <v>4.3981481481481481E-4</v>
      </c>
      <c r="I4210" s="118">
        <v>5.7870370370370366E-5</v>
      </c>
      <c r="J4210"/>
      <c r="K4210"/>
    </row>
    <row r="4211" spans="1:11" x14ac:dyDescent="0.25">
      <c r="A4211">
        <v>5</v>
      </c>
      <c r="B4211">
        <v>16</v>
      </c>
      <c r="C4211"/>
      <c r="D4211" t="s">
        <v>31</v>
      </c>
      <c r="E4211" t="s">
        <v>32</v>
      </c>
      <c r="F4211" t="s">
        <v>58</v>
      </c>
      <c r="G4211" s="118">
        <v>0.75711805555555556</v>
      </c>
      <c r="H4211" s="118">
        <v>5.7870370370370366E-5</v>
      </c>
      <c r="I4211" s="118">
        <v>4.8611111111111104E-4</v>
      </c>
      <c r="J4211" s="118">
        <v>5.0462962962962961E-3</v>
      </c>
      <c r="K4211" s="118">
        <v>5.0462962962962961E-3</v>
      </c>
    </row>
    <row r="4212" spans="1:11" x14ac:dyDescent="0.25">
      <c r="A4212">
        <v>1</v>
      </c>
      <c r="B4212">
        <v>15</v>
      </c>
      <c r="C4212"/>
      <c r="D4212" t="s">
        <v>31</v>
      </c>
      <c r="E4212" t="s">
        <v>35</v>
      </c>
      <c r="F4212" t="s">
        <v>45</v>
      </c>
      <c r="G4212" s="118">
        <v>0.75723379629629628</v>
      </c>
      <c r="H4212" s="118">
        <v>1.2384259259259258E-3</v>
      </c>
      <c r="I4212" s="118">
        <v>3.4722222222222224E-4</v>
      </c>
      <c r="J4212"/>
      <c r="K4212"/>
    </row>
    <row r="4213" spans="1:11" x14ac:dyDescent="0.25">
      <c r="A4213">
        <v>9</v>
      </c>
      <c r="B4213">
        <v>2</v>
      </c>
      <c r="C4213"/>
      <c r="D4213" t="s">
        <v>31</v>
      </c>
      <c r="E4213" t="s">
        <v>32</v>
      </c>
      <c r="F4213" t="s">
        <v>48</v>
      </c>
      <c r="G4213" s="118">
        <v>0.75728009259259255</v>
      </c>
      <c r="H4213" s="118">
        <v>5.2083333333333333E-4</v>
      </c>
      <c r="I4213" s="118">
        <v>8.6805555555555551E-4</v>
      </c>
      <c r="J4213" s="118">
        <v>5.0462962962962961E-3</v>
      </c>
      <c r="K4213" s="118">
        <v>5.0462962962962961E-3</v>
      </c>
    </row>
    <row r="4214" spans="1:11" x14ac:dyDescent="0.25">
      <c r="A4214">
        <v>2</v>
      </c>
      <c r="B4214">
        <v>16</v>
      </c>
      <c r="C4214"/>
      <c r="D4214" t="s">
        <v>31</v>
      </c>
      <c r="E4214" t="s">
        <v>32</v>
      </c>
      <c r="F4214" t="s">
        <v>47</v>
      </c>
      <c r="G4214" s="118">
        <v>0.75736111111111104</v>
      </c>
      <c r="H4214" s="118">
        <v>5.2083333333333333E-4</v>
      </c>
      <c r="I4214" s="118">
        <v>8.7962962962962962E-4</v>
      </c>
      <c r="J4214" s="118">
        <v>5.0462962962962961E-3</v>
      </c>
      <c r="K4214" s="118">
        <v>5.0462962962962961E-3</v>
      </c>
    </row>
    <row r="4215" spans="1:11" x14ac:dyDescent="0.25">
      <c r="A4215">
        <v>4</v>
      </c>
      <c r="B4215">
        <v>15</v>
      </c>
      <c r="C4215"/>
      <c r="D4215" t="s">
        <v>31</v>
      </c>
      <c r="E4215" t="s">
        <v>32</v>
      </c>
      <c r="F4215" t="s">
        <v>33</v>
      </c>
      <c r="G4215" s="118">
        <v>0.75752314814814825</v>
      </c>
      <c r="H4215" s="118">
        <v>5.2083333333333333E-4</v>
      </c>
      <c r="I4215" s="118">
        <v>9.6064814814814808E-4</v>
      </c>
      <c r="J4215" s="118">
        <v>5.0462962962962961E-3</v>
      </c>
      <c r="K4215" s="118">
        <v>5.0462962962962961E-3</v>
      </c>
    </row>
    <row r="4216" spans="1:11" x14ac:dyDescent="0.25">
      <c r="A4216">
        <v>1</v>
      </c>
      <c r="B4216">
        <v>15</v>
      </c>
      <c r="C4216"/>
      <c r="D4216" t="s">
        <v>31</v>
      </c>
      <c r="E4216" t="s">
        <v>32</v>
      </c>
      <c r="F4216" t="s">
        <v>45</v>
      </c>
      <c r="G4216" s="118">
        <v>0.75758101851851845</v>
      </c>
      <c r="H4216" s="118">
        <v>3.4722222222222224E-4</v>
      </c>
      <c r="I4216" s="118">
        <v>1.0416666666666667E-3</v>
      </c>
      <c r="J4216" s="118">
        <v>5.0462962962962961E-3</v>
      </c>
      <c r="K4216" s="118">
        <v>5.0462962962962961E-3</v>
      </c>
    </row>
    <row r="4217" spans="1:11" x14ac:dyDescent="0.25">
      <c r="A4217">
        <v>5</v>
      </c>
      <c r="B4217">
        <v>16</v>
      </c>
      <c r="C4217"/>
      <c r="D4217" t="s">
        <v>31</v>
      </c>
      <c r="E4217" t="s">
        <v>35</v>
      </c>
      <c r="F4217" t="s">
        <v>40</v>
      </c>
      <c r="G4217" s="118">
        <v>0.75760416666666675</v>
      </c>
      <c r="H4217" s="118">
        <v>4.8611111111111104E-4</v>
      </c>
      <c r="I4217" s="118">
        <v>4.6296296296296293E-4</v>
      </c>
      <c r="J4217"/>
      <c r="K4217"/>
    </row>
    <row r="4218" spans="1:11" x14ac:dyDescent="0.25">
      <c r="A4218">
        <v>3</v>
      </c>
      <c r="B4218">
        <v>15</v>
      </c>
      <c r="C4218"/>
      <c r="D4218" t="s">
        <v>31</v>
      </c>
      <c r="E4218" t="s">
        <v>35</v>
      </c>
      <c r="F4218" t="s">
        <v>56</v>
      </c>
      <c r="G4218" s="118">
        <v>0.75798611111111114</v>
      </c>
      <c r="H4218" s="118">
        <v>1.261574074074074E-3</v>
      </c>
      <c r="I4218" s="118">
        <v>3.4722222222222224E-4</v>
      </c>
      <c r="J4218"/>
      <c r="K4218"/>
    </row>
    <row r="4219" spans="1:11" x14ac:dyDescent="0.25">
      <c r="A4219">
        <v>5</v>
      </c>
      <c r="B4219">
        <v>16</v>
      </c>
      <c r="C4219"/>
      <c r="D4219" t="s">
        <v>31</v>
      </c>
      <c r="E4219" t="s">
        <v>32</v>
      </c>
      <c r="F4219" t="s">
        <v>40</v>
      </c>
      <c r="G4219" s="118">
        <v>0.75806712962962963</v>
      </c>
      <c r="H4219" s="118">
        <v>4.6296296296296293E-4</v>
      </c>
      <c r="I4219" s="118">
        <v>1.0069444444444444E-3</v>
      </c>
      <c r="J4219" s="118">
        <v>5.0462962962962961E-3</v>
      </c>
      <c r="K4219" s="118">
        <v>5.0462962962962961E-3</v>
      </c>
    </row>
    <row r="4220" spans="1:11" x14ac:dyDescent="0.25">
      <c r="A4220">
        <v>9</v>
      </c>
      <c r="B4220">
        <v>2</v>
      </c>
      <c r="C4220"/>
      <c r="D4220" t="s">
        <v>31</v>
      </c>
      <c r="E4220" t="s">
        <v>35</v>
      </c>
      <c r="F4220" t="s">
        <v>54</v>
      </c>
      <c r="G4220" s="118">
        <v>0.75814814814814813</v>
      </c>
      <c r="H4220" s="118">
        <v>8.6805555555555551E-4</v>
      </c>
      <c r="I4220" s="118">
        <v>3.4722222222222224E-4</v>
      </c>
      <c r="J4220"/>
      <c r="K4220"/>
    </row>
    <row r="4221" spans="1:11" x14ac:dyDescent="0.25">
      <c r="A4221">
        <v>2</v>
      </c>
      <c r="B4221">
        <v>16</v>
      </c>
      <c r="C4221"/>
      <c r="D4221" t="s">
        <v>31</v>
      </c>
      <c r="E4221" t="s">
        <v>35</v>
      </c>
      <c r="F4221" t="s">
        <v>53</v>
      </c>
      <c r="G4221" s="118">
        <v>0.75824074074074066</v>
      </c>
      <c r="H4221" s="118">
        <v>8.7962962962962962E-4</v>
      </c>
      <c r="I4221" s="118">
        <v>3.4722222222222224E-4</v>
      </c>
      <c r="J4221"/>
      <c r="K4221"/>
    </row>
    <row r="4222" spans="1:11" x14ac:dyDescent="0.25">
      <c r="A4222">
        <v>3</v>
      </c>
      <c r="B4222">
        <v>15</v>
      </c>
      <c r="C4222"/>
      <c r="D4222" t="s">
        <v>31</v>
      </c>
      <c r="E4222" t="s">
        <v>32</v>
      </c>
      <c r="F4222" t="s">
        <v>56</v>
      </c>
      <c r="G4222" s="118">
        <v>0.7583333333333333</v>
      </c>
      <c r="H4222" s="118">
        <v>3.4722222222222224E-4</v>
      </c>
      <c r="I4222" s="118">
        <v>9.6064814814814808E-4</v>
      </c>
      <c r="J4222" s="118">
        <v>5.0462962962962961E-3</v>
      </c>
      <c r="K4222" s="118">
        <v>5.0462962962962961E-3</v>
      </c>
    </row>
    <row r="4223" spans="1:11" x14ac:dyDescent="0.25">
      <c r="A4223">
        <v>4</v>
      </c>
      <c r="B4223">
        <v>15</v>
      </c>
      <c r="C4223"/>
      <c r="D4223" t="s">
        <v>31</v>
      </c>
      <c r="E4223" t="s">
        <v>35</v>
      </c>
      <c r="F4223" t="s">
        <v>36</v>
      </c>
      <c r="G4223" s="118">
        <v>0.75848379629629636</v>
      </c>
      <c r="H4223" s="118">
        <v>9.6064814814814808E-4</v>
      </c>
      <c r="I4223" s="118">
        <v>3.4722222222222224E-4</v>
      </c>
      <c r="J4223"/>
      <c r="K4223"/>
    </row>
    <row r="4224" spans="1:11" x14ac:dyDescent="0.25">
      <c r="A4224">
        <v>9</v>
      </c>
      <c r="B4224">
        <v>2</v>
      </c>
      <c r="C4224"/>
      <c r="D4224" t="s">
        <v>31</v>
      </c>
      <c r="E4224" t="s">
        <v>32</v>
      </c>
      <c r="F4224" t="s">
        <v>54</v>
      </c>
      <c r="G4224" s="118">
        <v>0.7584953703703704</v>
      </c>
      <c r="H4224" s="118">
        <v>3.4722222222222224E-4</v>
      </c>
      <c r="I4224" s="118">
        <v>6.5972222222222213E-4</v>
      </c>
      <c r="J4224" s="118">
        <v>5.0462962962962961E-3</v>
      </c>
      <c r="K4224" s="118">
        <v>5.0462962962962961E-3</v>
      </c>
    </row>
    <row r="4225" spans="1:11" x14ac:dyDescent="0.25">
      <c r="A4225">
        <v>2</v>
      </c>
      <c r="B4225">
        <v>16</v>
      </c>
      <c r="C4225"/>
      <c r="D4225" t="s">
        <v>31</v>
      </c>
      <c r="E4225" t="s">
        <v>32</v>
      </c>
      <c r="F4225" t="s">
        <v>53</v>
      </c>
      <c r="G4225" s="118">
        <v>0.75858796296296294</v>
      </c>
      <c r="H4225" s="118">
        <v>3.4722222222222224E-4</v>
      </c>
      <c r="I4225" s="118">
        <v>8.449074074074075E-4</v>
      </c>
      <c r="J4225" s="118">
        <v>5.0462962962962961E-3</v>
      </c>
      <c r="K4225" s="118">
        <v>5.0462962962962961E-3</v>
      </c>
    </row>
    <row r="4226" spans="1:11" x14ac:dyDescent="0.25">
      <c r="A4226">
        <v>8</v>
      </c>
      <c r="B4226">
        <v>3</v>
      </c>
      <c r="C4226"/>
      <c r="D4226" t="s">
        <v>31</v>
      </c>
      <c r="E4226" t="s">
        <v>35</v>
      </c>
      <c r="F4226" t="s">
        <v>46</v>
      </c>
      <c r="G4226" s="118">
        <v>0.75858796296296294</v>
      </c>
      <c r="H4226" s="118">
        <v>1.8055555555555557E-3</v>
      </c>
      <c r="I4226" s="118">
        <v>3.4722222222222224E-4</v>
      </c>
      <c r="J4226"/>
      <c r="K4226"/>
    </row>
    <row r="4227" spans="1:11" x14ac:dyDescent="0.25">
      <c r="A4227">
        <v>1</v>
      </c>
      <c r="B4227">
        <v>15</v>
      </c>
      <c r="C4227"/>
      <c r="D4227" t="s">
        <v>31</v>
      </c>
      <c r="E4227" t="s">
        <v>35</v>
      </c>
      <c r="F4227" t="s">
        <v>52</v>
      </c>
      <c r="G4227" s="118">
        <v>0.75862268518518527</v>
      </c>
      <c r="H4227" s="118">
        <v>1.0416666666666667E-3</v>
      </c>
      <c r="I4227" s="118">
        <v>3.4722222222222224E-4</v>
      </c>
      <c r="J4227"/>
      <c r="K4227"/>
    </row>
    <row r="4228" spans="1:11" x14ac:dyDescent="0.25">
      <c r="A4228">
        <v>4</v>
      </c>
      <c r="B4228">
        <v>15</v>
      </c>
      <c r="C4228"/>
      <c r="D4228" t="s">
        <v>31</v>
      </c>
      <c r="E4228" t="s">
        <v>32</v>
      </c>
      <c r="F4228" t="s">
        <v>36</v>
      </c>
      <c r="G4228" s="118">
        <v>0.75883101851851853</v>
      </c>
      <c r="H4228" s="118">
        <v>3.4722222222222224E-4</v>
      </c>
      <c r="I4228" s="118">
        <v>1.0995370370370371E-3</v>
      </c>
      <c r="J4228" s="118">
        <v>5.0462962962962961E-3</v>
      </c>
      <c r="K4228" s="118">
        <v>5.0462962962962961E-3</v>
      </c>
    </row>
    <row r="4229" spans="1:11" x14ac:dyDescent="0.25">
      <c r="A4229">
        <v>8</v>
      </c>
      <c r="B4229">
        <v>3</v>
      </c>
      <c r="C4229"/>
      <c r="D4229" t="s">
        <v>31</v>
      </c>
      <c r="E4229" t="s">
        <v>32</v>
      </c>
      <c r="F4229" t="s">
        <v>46</v>
      </c>
      <c r="G4229" s="118">
        <v>0.75893518518518521</v>
      </c>
      <c r="H4229" s="118">
        <v>3.4722222222222224E-4</v>
      </c>
      <c r="I4229" s="118">
        <v>9.1435185185185185E-4</v>
      </c>
      <c r="J4229" s="118">
        <v>5.0462962962962961E-3</v>
      </c>
      <c r="K4229" s="118">
        <v>5.0462962962962961E-3</v>
      </c>
    </row>
    <row r="4230" spans="1:11" x14ac:dyDescent="0.25">
      <c r="A4230">
        <v>1</v>
      </c>
      <c r="B4230">
        <v>15</v>
      </c>
      <c r="C4230"/>
      <c r="D4230" t="s">
        <v>31</v>
      </c>
      <c r="E4230" t="s">
        <v>32</v>
      </c>
      <c r="F4230" t="s">
        <v>52</v>
      </c>
      <c r="G4230" s="118">
        <v>0.75896990740740744</v>
      </c>
      <c r="H4230" s="118">
        <v>3.4722222222222224E-4</v>
      </c>
      <c r="I4230" s="118">
        <v>1.0532407407407407E-3</v>
      </c>
      <c r="J4230" s="118">
        <v>5.0462962962962961E-3</v>
      </c>
      <c r="K4230" s="118">
        <v>5.0462962962962961E-3</v>
      </c>
    </row>
    <row r="4231" spans="1:11" x14ac:dyDescent="0.25">
      <c r="A4231">
        <v>5</v>
      </c>
      <c r="B4231">
        <v>16</v>
      </c>
      <c r="C4231"/>
      <c r="D4231" t="s">
        <v>31</v>
      </c>
      <c r="E4231" t="s">
        <v>35</v>
      </c>
      <c r="F4231" t="s">
        <v>44</v>
      </c>
      <c r="G4231" s="118">
        <v>0.75907407407407401</v>
      </c>
      <c r="H4231" s="118">
        <v>1.0069444444444444E-3</v>
      </c>
      <c r="I4231" s="118">
        <v>3.4722222222222224E-4</v>
      </c>
      <c r="J4231"/>
      <c r="K4231"/>
    </row>
    <row r="4232" spans="1:11" x14ac:dyDescent="0.25">
      <c r="A4232">
        <v>9</v>
      </c>
      <c r="B4232">
        <v>2</v>
      </c>
      <c r="C4232"/>
      <c r="D4232" t="s">
        <v>31</v>
      </c>
      <c r="E4232" t="s">
        <v>35</v>
      </c>
      <c r="F4232" t="s">
        <v>92</v>
      </c>
      <c r="G4232" s="118">
        <v>0.75915509259259262</v>
      </c>
      <c r="H4232" s="118">
        <v>6.5972222222222213E-4</v>
      </c>
      <c r="I4232" s="118">
        <v>5.2083333333333333E-4</v>
      </c>
      <c r="J4232"/>
      <c r="K4232"/>
    </row>
    <row r="4233" spans="1:11" x14ac:dyDescent="0.25">
      <c r="A4233">
        <v>3</v>
      </c>
      <c r="B4233">
        <v>15</v>
      </c>
      <c r="C4233"/>
      <c r="D4233" t="s">
        <v>31</v>
      </c>
      <c r="E4233" t="s">
        <v>35</v>
      </c>
      <c r="F4233" t="s">
        <v>37</v>
      </c>
      <c r="G4233" s="118">
        <v>0.75929398148148142</v>
      </c>
      <c r="H4233" s="118">
        <v>9.6064814814814808E-4</v>
      </c>
      <c r="I4233" s="118">
        <v>3.4722222222222224E-4</v>
      </c>
      <c r="J4233"/>
      <c r="K4233"/>
    </row>
    <row r="4234" spans="1:11" x14ac:dyDescent="0.25">
      <c r="A4234">
        <v>5</v>
      </c>
      <c r="B4234">
        <v>16</v>
      </c>
      <c r="C4234"/>
      <c r="D4234" t="s">
        <v>31</v>
      </c>
      <c r="E4234" t="s">
        <v>32</v>
      </c>
      <c r="F4234" t="s">
        <v>44</v>
      </c>
      <c r="G4234" s="118">
        <v>0.7594212962962964</v>
      </c>
      <c r="H4234" s="118">
        <v>3.4722222222222224E-4</v>
      </c>
      <c r="I4234" s="118">
        <v>9.2592592592592585E-4</v>
      </c>
      <c r="J4234" s="118">
        <v>5.0462962962962961E-3</v>
      </c>
      <c r="K4234" s="118">
        <v>5.0462962962962961E-3</v>
      </c>
    </row>
    <row r="4235" spans="1:11" x14ac:dyDescent="0.25">
      <c r="A4235">
        <v>2</v>
      </c>
      <c r="B4235">
        <v>16</v>
      </c>
      <c r="C4235"/>
      <c r="D4235" t="s">
        <v>31</v>
      </c>
      <c r="E4235" t="s">
        <v>35</v>
      </c>
      <c r="F4235" t="s">
        <v>34</v>
      </c>
      <c r="G4235" s="118">
        <v>0.75943287037037033</v>
      </c>
      <c r="H4235" s="118">
        <v>8.449074074074075E-4</v>
      </c>
      <c r="I4235" s="118">
        <v>3.4722222222222224E-4</v>
      </c>
      <c r="J4235"/>
      <c r="K4235"/>
    </row>
    <row r="4236" spans="1:11" x14ac:dyDescent="0.25">
      <c r="A4236">
        <v>3</v>
      </c>
      <c r="B4236">
        <v>15</v>
      </c>
      <c r="C4236"/>
      <c r="D4236" t="s">
        <v>31</v>
      </c>
      <c r="E4236" t="s">
        <v>32</v>
      </c>
      <c r="F4236" t="s">
        <v>37</v>
      </c>
      <c r="G4236" s="118">
        <v>0.7596412037037038</v>
      </c>
      <c r="H4236" s="118">
        <v>3.4722222222222224E-4</v>
      </c>
      <c r="I4236" s="118">
        <v>9.0277777777777784E-4</v>
      </c>
      <c r="J4236" s="118">
        <v>5.0462962962962961E-3</v>
      </c>
      <c r="K4236" s="118">
        <v>5.0462962962962961E-3</v>
      </c>
    </row>
    <row r="4237" spans="1:11" x14ac:dyDescent="0.25">
      <c r="A4237">
        <v>9</v>
      </c>
      <c r="B4237">
        <v>3</v>
      </c>
      <c r="C4237"/>
      <c r="D4237" t="s">
        <v>31</v>
      </c>
      <c r="E4237" t="s">
        <v>32</v>
      </c>
      <c r="F4237" t="s">
        <v>92</v>
      </c>
      <c r="G4237" s="118">
        <v>0.75967592592592592</v>
      </c>
      <c r="H4237" s="118">
        <v>5.2083333333333333E-4</v>
      </c>
      <c r="I4237" s="118">
        <v>1.0069444444444444E-3</v>
      </c>
      <c r="J4237" s="118">
        <v>5.0462962962962961E-3</v>
      </c>
      <c r="K4237" s="118">
        <v>5.0462962962962961E-3</v>
      </c>
    </row>
    <row r="4238" spans="1:11" x14ac:dyDescent="0.25">
      <c r="A4238">
        <v>2</v>
      </c>
      <c r="B4238">
        <v>16</v>
      </c>
      <c r="C4238"/>
      <c r="D4238" t="s">
        <v>31</v>
      </c>
      <c r="E4238" t="s">
        <v>32</v>
      </c>
      <c r="F4238" t="s">
        <v>34</v>
      </c>
      <c r="G4238" s="118">
        <v>0.75978009259259249</v>
      </c>
      <c r="H4238" s="118">
        <v>3.4722222222222224E-4</v>
      </c>
      <c r="I4238" s="118">
        <v>9.1435185185185185E-4</v>
      </c>
      <c r="J4238" s="118">
        <v>5.0462962962962961E-3</v>
      </c>
      <c r="K4238" s="118">
        <v>5.0462962962962961E-3</v>
      </c>
    </row>
    <row r="4239" spans="1:11" x14ac:dyDescent="0.25">
      <c r="A4239">
        <v>8</v>
      </c>
      <c r="B4239">
        <v>3</v>
      </c>
      <c r="C4239"/>
      <c r="D4239" t="s">
        <v>31</v>
      </c>
      <c r="E4239" t="s">
        <v>35</v>
      </c>
      <c r="F4239" t="s">
        <v>51</v>
      </c>
      <c r="G4239" s="118">
        <v>0.75984953703703706</v>
      </c>
      <c r="H4239" s="118">
        <v>9.1435185185185185E-4</v>
      </c>
      <c r="I4239" s="118">
        <v>3.4722222222222224E-4</v>
      </c>
      <c r="J4239"/>
      <c r="K4239"/>
    </row>
    <row r="4240" spans="1:11" x14ac:dyDescent="0.25">
      <c r="A4240">
        <v>4</v>
      </c>
      <c r="B4240">
        <v>15</v>
      </c>
      <c r="C4240"/>
      <c r="D4240" t="s">
        <v>31</v>
      </c>
      <c r="E4240" t="s">
        <v>35</v>
      </c>
      <c r="F4240" t="s">
        <v>43</v>
      </c>
      <c r="G4240" s="118">
        <v>0.75993055555555555</v>
      </c>
      <c r="H4240" s="118">
        <v>1.0995370370370371E-3</v>
      </c>
      <c r="I4240" s="118">
        <v>3.4722222222222224E-4</v>
      </c>
      <c r="J4240"/>
      <c r="K4240"/>
    </row>
    <row r="4241" spans="1:11" x14ac:dyDescent="0.25">
      <c r="A4241">
        <v>1</v>
      </c>
      <c r="B4241">
        <v>15</v>
      </c>
      <c r="C4241"/>
      <c r="D4241" t="s">
        <v>31</v>
      </c>
      <c r="E4241" t="s">
        <v>35</v>
      </c>
      <c r="F4241" t="s">
        <v>57</v>
      </c>
      <c r="G4241" s="118">
        <v>0.7600231481481482</v>
      </c>
      <c r="H4241" s="118">
        <v>1.0532407407407407E-3</v>
      </c>
      <c r="I4241" s="118">
        <v>3.4722222222222224E-4</v>
      </c>
      <c r="J4241"/>
      <c r="K4241"/>
    </row>
    <row r="4242" spans="1:11" x14ac:dyDescent="0.25">
      <c r="A4242">
        <v>8</v>
      </c>
      <c r="B4242">
        <v>3</v>
      </c>
      <c r="C4242"/>
      <c r="D4242" t="s">
        <v>31</v>
      </c>
      <c r="E4242" t="s">
        <v>32</v>
      </c>
      <c r="F4242" t="s">
        <v>51</v>
      </c>
      <c r="G4242" s="118">
        <v>0.76019675925925922</v>
      </c>
      <c r="H4242" s="118">
        <v>3.4722222222222224E-4</v>
      </c>
      <c r="I4242" s="118">
        <v>1.0069444444444444E-3</v>
      </c>
      <c r="J4242" s="118">
        <v>5.0462962962962961E-3</v>
      </c>
      <c r="K4242" s="118">
        <v>5.0462962962962961E-3</v>
      </c>
    </row>
    <row r="4243" spans="1:11" x14ac:dyDescent="0.25">
      <c r="A4243">
        <v>4</v>
      </c>
      <c r="B4243">
        <v>15</v>
      </c>
      <c r="C4243"/>
      <c r="D4243" t="s">
        <v>31</v>
      </c>
      <c r="E4243" t="s">
        <v>32</v>
      </c>
      <c r="F4243" t="s">
        <v>43</v>
      </c>
      <c r="G4243" s="118">
        <v>0.76027777777777772</v>
      </c>
      <c r="H4243" s="118">
        <v>3.4722222222222224E-4</v>
      </c>
      <c r="I4243" s="118">
        <v>1.1458333333333333E-3</v>
      </c>
      <c r="J4243" s="118">
        <v>5.0462962962962961E-3</v>
      </c>
      <c r="K4243" s="118">
        <v>5.0462962962962961E-3</v>
      </c>
    </row>
    <row r="4244" spans="1:11" x14ac:dyDescent="0.25">
      <c r="A4244">
        <v>5</v>
      </c>
      <c r="B4244">
        <v>16</v>
      </c>
      <c r="C4244"/>
      <c r="D4244" t="s">
        <v>31</v>
      </c>
      <c r="E4244" t="s">
        <v>35</v>
      </c>
      <c r="F4244" t="s">
        <v>49</v>
      </c>
      <c r="G4244" s="118">
        <v>0.76034722222222229</v>
      </c>
      <c r="H4244" s="118">
        <v>9.2592592592592585E-4</v>
      </c>
      <c r="I4244" s="118">
        <v>3.4722222222222224E-4</v>
      </c>
      <c r="J4244"/>
      <c r="K4244"/>
    </row>
    <row r="4245" spans="1:11" x14ac:dyDescent="0.25">
      <c r="A4245">
        <v>1</v>
      </c>
      <c r="B4245">
        <v>15</v>
      </c>
      <c r="C4245"/>
      <c r="D4245" t="s">
        <v>31</v>
      </c>
      <c r="E4245" t="s">
        <v>32</v>
      </c>
      <c r="F4245" t="s">
        <v>57</v>
      </c>
      <c r="G4245" s="118">
        <v>0.76037037037037036</v>
      </c>
      <c r="H4245" s="118">
        <v>3.4722222222222224E-4</v>
      </c>
      <c r="I4245" s="118">
        <v>9.3750000000000007E-4</v>
      </c>
      <c r="J4245" s="118">
        <v>5.0462962962962961E-3</v>
      </c>
      <c r="K4245" s="118">
        <v>5.0462962962962961E-3</v>
      </c>
    </row>
    <row r="4246" spans="1:11" x14ac:dyDescent="0.25">
      <c r="A4246">
        <v>3</v>
      </c>
      <c r="B4246">
        <v>15</v>
      </c>
      <c r="C4246"/>
      <c r="D4246" t="s">
        <v>31</v>
      </c>
      <c r="E4246" t="s">
        <v>35</v>
      </c>
      <c r="F4246" t="s">
        <v>42</v>
      </c>
      <c r="G4246" s="118">
        <v>0.7605439814814815</v>
      </c>
      <c r="H4246" s="118">
        <v>9.0277777777777784E-4</v>
      </c>
      <c r="I4246" s="118">
        <v>3.4722222222222224E-4</v>
      </c>
      <c r="J4246"/>
      <c r="K4246"/>
    </row>
    <row r="4247" spans="1:11" x14ac:dyDescent="0.25">
      <c r="A4247">
        <v>9</v>
      </c>
      <c r="B4247">
        <v>3</v>
      </c>
      <c r="C4247"/>
      <c r="D4247" t="s">
        <v>31</v>
      </c>
      <c r="E4247" t="s">
        <v>35</v>
      </c>
      <c r="F4247" t="s">
        <v>41</v>
      </c>
      <c r="G4247" s="118">
        <v>0.76068287037037041</v>
      </c>
      <c r="H4247" s="118">
        <v>1.0069444444444444E-3</v>
      </c>
      <c r="I4247" s="118">
        <v>3.4722222222222224E-4</v>
      </c>
      <c r="J4247"/>
      <c r="K4247"/>
    </row>
    <row r="4248" spans="1:11" x14ac:dyDescent="0.25">
      <c r="A4248">
        <v>2</v>
      </c>
      <c r="B4248">
        <v>16</v>
      </c>
      <c r="C4248"/>
      <c r="D4248" t="s">
        <v>31</v>
      </c>
      <c r="E4248" t="s">
        <v>35</v>
      </c>
      <c r="F4248" t="s">
        <v>38</v>
      </c>
      <c r="G4248" s="118">
        <v>0.76069444444444445</v>
      </c>
      <c r="H4248" s="118">
        <v>9.1435185185185185E-4</v>
      </c>
      <c r="I4248" s="118">
        <v>3.4722222222222224E-4</v>
      </c>
      <c r="J4248"/>
      <c r="K4248"/>
    </row>
    <row r="4249" spans="1:11" x14ac:dyDescent="0.25">
      <c r="A4249">
        <v>5</v>
      </c>
      <c r="B4249">
        <v>16</v>
      </c>
      <c r="C4249"/>
      <c r="D4249" t="s">
        <v>31</v>
      </c>
      <c r="E4249" t="s">
        <v>32</v>
      </c>
      <c r="F4249" t="s">
        <v>49</v>
      </c>
      <c r="G4249" s="118">
        <v>0.76069444444444445</v>
      </c>
      <c r="H4249" s="118">
        <v>3.4722222222222224E-4</v>
      </c>
      <c r="I4249" s="118">
        <v>1.3541666666666667E-3</v>
      </c>
      <c r="J4249" s="118">
        <v>5.0462962962962961E-3</v>
      </c>
      <c r="K4249" s="118">
        <v>5.0462962962962961E-3</v>
      </c>
    </row>
    <row r="4250" spans="1:11" x14ac:dyDescent="0.25">
      <c r="A4250">
        <v>3</v>
      </c>
      <c r="B4250">
        <v>15</v>
      </c>
      <c r="C4250"/>
      <c r="D4250" t="s">
        <v>31</v>
      </c>
      <c r="E4250" t="s">
        <v>32</v>
      </c>
      <c r="F4250" t="s">
        <v>42</v>
      </c>
      <c r="G4250" s="118">
        <v>0.76089120370370367</v>
      </c>
      <c r="H4250" s="118">
        <v>3.4722222222222224E-4</v>
      </c>
      <c r="I4250" s="118">
        <v>9.1435185185185185E-4</v>
      </c>
      <c r="J4250" s="118">
        <v>5.0462962962962961E-3</v>
      </c>
      <c r="K4250" s="118">
        <v>5.0462962962962961E-3</v>
      </c>
    </row>
    <row r="4251" spans="1:11" x14ac:dyDescent="0.25">
      <c r="A4251">
        <v>9</v>
      </c>
      <c r="B4251">
        <v>3</v>
      </c>
      <c r="C4251"/>
      <c r="D4251" t="s">
        <v>31</v>
      </c>
      <c r="E4251" t="s">
        <v>32</v>
      </c>
      <c r="F4251" t="s">
        <v>41</v>
      </c>
      <c r="G4251" s="118">
        <v>0.76103009259259258</v>
      </c>
      <c r="H4251" s="118">
        <v>3.4722222222222224E-4</v>
      </c>
      <c r="I4251" s="118">
        <v>8.564814814814815E-4</v>
      </c>
      <c r="J4251" s="118">
        <v>5.0462962962962961E-3</v>
      </c>
      <c r="K4251" s="118">
        <v>5.0462962962962961E-3</v>
      </c>
    </row>
    <row r="4252" spans="1:11" x14ac:dyDescent="0.25">
      <c r="A4252">
        <v>2</v>
      </c>
      <c r="B4252">
        <v>16</v>
      </c>
      <c r="C4252"/>
      <c r="D4252" t="s">
        <v>31</v>
      </c>
      <c r="E4252" t="s">
        <v>32</v>
      </c>
      <c r="F4252" t="s">
        <v>38</v>
      </c>
      <c r="G4252" s="118">
        <v>0.76104166666666673</v>
      </c>
      <c r="H4252" s="118">
        <v>3.4722222222222224E-4</v>
      </c>
      <c r="I4252" s="118">
        <v>1.2384259259259258E-3</v>
      </c>
      <c r="J4252" s="118">
        <v>5.0462962962962961E-3</v>
      </c>
      <c r="K4252" s="118">
        <v>5.0462962962962961E-3</v>
      </c>
    </row>
    <row r="4253" spans="1:11" x14ac:dyDescent="0.25">
      <c r="A4253">
        <v>8</v>
      </c>
      <c r="B4253">
        <v>3</v>
      </c>
      <c r="C4253"/>
      <c r="D4253" t="s">
        <v>31</v>
      </c>
      <c r="E4253" t="s">
        <v>35</v>
      </c>
      <c r="F4253" t="s">
        <v>55</v>
      </c>
      <c r="G4253" s="118">
        <v>0.76120370370370372</v>
      </c>
      <c r="H4253" s="118">
        <v>1.0069444444444444E-3</v>
      </c>
      <c r="I4253" s="118">
        <v>4.6296296296296293E-4</v>
      </c>
      <c r="J4253"/>
      <c r="K4253"/>
    </row>
    <row r="4254" spans="1:11" x14ac:dyDescent="0.25">
      <c r="A4254">
        <v>1</v>
      </c>
      <c r="B4254">
        <v>15</v>
      </c>
      <c r="C4254"/>
      <c r="D4254" t="s">
        <v>31</v>
      </c>
      <c r="E4254" t="s">
        <v>35</v>
      </c>
      <c r="F4254" t="s">
        <v>39</v>
      </c>
      <c r="G4254" s="118">
        <v>0.7613078703703704</v>
      </c>
      <c r="H4254" s="118">
        <v>9.3750000000000007E-4</v>
      </c>
      <c r="I4254" s="118">
        <v>5.2083333333333333E-4</v>
      </c>
      <c r="J4254"/>
      <c r="K4254"/>
    </row>
    <row r="4255" spans="1:11" x14ac:dyDescent="0.25">
      <c r="A4255">
        <v>4</v>
      </c>
      <c r="B4255">
        <v>15</v>
      </c>
      <c r="C4255"/>
      <c r="D4255" t="s">
        <v>31</v>
      </c>
      <c r="E4255" t="s">
        <v>35</v>
      </c>
      <c r="F4255" t="s">
        <v>50</v>
      </c>
      <c r="G4255" s="118">
        <v>0.76142361111111112</v>
      </c>
      <c r="H4255" s="118">
        <v>1.1458333333333333E-3</v>
      </c>
      <c r="I4255" s="118">
        <v>3.4722222222222224E-4</v>
      </c>
      <c r="J4255"/>
      <c r="K4255"/>
    </row>
    <row r="4256" spans="1:11" x14ac:dyDescent="0.25">
      <c r="A4256">
        <v>8</v>
      </c>
      <c r="B4256">
        <v>3</v>
      </c>
      <c r="C4256"/>
      <c r="D4256" t="s">
        <v>31</v>
      </c>
      <c r="E4256" t="s">
        <v>32</v>
      </c>
      <c r="F4256" t="s">
        <v>55</v>
      </c>
      <c r="G4256" s="118">
        <v>0.76166666666666671</v>
      </c>
      <c r="H4256" s="118">
        <v>4.6296296296296293E-4</v>
      </c>
      <c r="I4256" s="118">
        <v>4.3981481481481481E-4</v>
      </c>
      <c r="J4256" s="118">
        <v>5.0462962962962961E-3</v>
      </c>
      <c r="K4256" s="118">
        <v>5.0462962962962961E-3</v>
      </c>
    </row>
    <row r="4257" spans="1:11" x14ac:dyDescent="0.25">
      <c r="A4257">
        <v>4</v>
      </c>
      <c r="B4257">
        <v>15</v>
      </c>
      <c r="C4257"/>
      <c r="D4257" t="s">
        <v>31</v>
      </c>
      <c r="E4257" t="s">
        <v>32</v>
      </c>
      <c r="F4257" t="s">
        <v>50</v>
      </c>
      <c r="G4257" s="118">
        <v>0.76177083333333329</v>
      </c>
      <c r="H4257" s="118">
        <v>3.4722222222222224E-4</v>
      </c>
      <c r="I4257" s="118">
        <v>1.261574074074074E-3</v>
      </c>
      <c r="J4257" s="118">
        <v>5.0462962962962961E-3</v>
      </c>
      <c r="K4257" s="118">
        <v>5.0462962962962961E-3</v>
      </c>
    </row>
    <row r="4258" spans="1:11" x14ac:dyDescent="0.25">
      <c r="A4258">
        <v>3</v>
      </c>
      <c r="B4258">
        <v>15</v>
      </c>
      <c r="C4258"/>
      <c r="D4258" t="s">
        <v>31</v>
      </c>
      <c r="E4258" t="s">
        <v>35</v>
      </c>
      <c r="F4258" t="s">
        <v>48</v>
      </c>
      <c r="G4258" s="118">
        <v>0.76180555555555562</v>
      </c>
      <c r="H4258" s="118">
        <v>9.1435185185185185E-4</v>
      </c>
      <c r="I4258" s="118">
        <v>5.2083333333333333E-4</v>
      </c>
      <c r="J4258"/>
      <c r="K4258"/>
    </row>
    <row r="4259" spans="1:11" x14ac:dyDescent="0.25">
      <c r="A4259">
        <v>1</v>
      </c>
      <c r="B4259">
        <v>15</v>
      </c>
      <c r="C4259"/>
      <c r="D4259" t="s">
        <v>31</v>
      </c>
      <c r="E4259" t="s">
        <v>32</v>
      </c>
      <c r="F4259" t="s">
        <v>39</v>
      </c>
      <c r="G4259" s="118">
        <v>0.7618287037037037</v>
      </c>
      <c r="H4259" s="118">
        <v>5.2083333333333333E-4</v>
      </c>
      <c r="I4259" s="118">
        <v>1.8055555555555557E-3</v>
      </c>
      <c r="J4259" s="118">
        <v>5.0462962962962961E-3</v>
      </c>
      <c r="K4259" s="118">
        <v>5.0462962962962961E-3</v>
      </c>
    </row>
    <row r="4260" spans="1:11" x14ac:dyDescent="0.25">
      <c r="A4260">
        <v>9</v>
      </c>
      <c r="B4260">
        <v>3</v>
      </c>
      <c r="C4260"/>
      <c r="D4260" t="s">
        <v>31</v>
      </c>
      <c r="E4260" t="s">
        <v>35</v>
      </c>
      <c r="F4260" t="s">
        <v>47</v>
      </c>
      <c r="G4260" s="118">
        <v>0.76188657407407412</v>
      </c>
      <c r="H4260" s="118">
        <v>8.564814814814815E-4</v>
      </c>
      <c r="I4260" s="118">
        <v>5.2083333333333333E-4</v>
      </c>
      <c r="J4260"/>
      <c r="K4260"/>
    </row>
    <row r="4261" spans="1:11" x14ac:dyDescent="0.25">
      <c r="A4261">
        <v>5</v>
      </c>
      <c r="B4261">
        <v>16</v>
      </c>
      <c r="C4261"/>
      <c r="D4261" t="s">
        <v>31</v>
      </c>
      <c r="E4261" t="s">
        <v>35</v>
      </c>
      <c r="F4261" t="s">
        <v>33</v>
      </c>
      <c r="G4261" s="118">
        <v>0.76204861111111111</v>
      </c>
      <c r="H4261" s="118">
        <v>1.3541666666666667E-3</v>
      </c>
      <c r="I4261" s="118">
        <v>5.2083333333333333E-4</v>
      </c>
      <c r="J4261"/>
      <c r="K4261"/>
    </row>
    <row r="4262" spans="1:11" x14ac:dyDescent="0.25">
      <c r="A4262">
        <v>8</v>
      </c>
      <c r="B4262">
        <v>3</v>
      </c>
      <c r="C4262"/>
      <c r="D4262" t="s">
        <v>31</v>
      </c>
      <c r="E4262" t="s">
        <v>35</v>
      </c>
      <c r="F4262" t="s">
        <v>58</v>
      </c>
      <c r="G4262" s="118">
        <v>0.76210648148148152</v>
      </c>
      <c r="H4262" s="118">
        <v>4.3981481481481481E-4</v>
      </c>
      <c r="I4262" s="118">
        <v>5.7870370370370366E-5</v>
      </c>
      <c r="J4262"/>
      <c r="K4262"/>
    </row>
    <row r="4263" spans="1:11" x14ac:dyDescent="0.25">
      <c r="A4263">
        <v>8</v>
      </c>
      <c r="B4263">
        <v>3</v>
      </c>
      <c r="C4263"/>
      <c r="D4263" t="s">
        <v>31</v>
      </c>
      <c r="E4263" t="s">
        <v>32</v>
      </c>
      <c r="F4263" t="s">
        <v>58</v>
      </c>
      <c r="G4263" s="118">
        <v>0.76216435185185183</v>
      </c>
      <c r="H4263" s="118">
        <v>5.7870370370370366E-5</v>
      </c>
      <c r="I4263" s="118">
        <v>4.8611111111111104E-4</v>
      </c>
      <c r="J4263" s="118">
        <v>5.0462962962962961E-3</v>
      </c>
      <c r="K4263" s="118">
        <v>5.0462962962962961E-3</v>
      </c>
    </row>
    <row r="4264" spans="1:11" x14ac:dyDescent="0.25">
      <c r="A4264">
        <v>2</v>
      </c>
      <c r="B4264">
        <v>16</v>
      </c>
      <c r="C4264"/>
      <c r="D4264" t="s">
        <v>31</v>
      </c>
      <c r="E4264" t="s">
        <v>35</v>
      </c>
      <c r="F4264" t="s">
        <v>45</v>
      </c>
      <c r="G4264" s="118">
        <v>0.76228009259259266</v>
      </c>
      <c r="H4264" s="118">
        <v>1.2384259259259258E-3</v>
      </c>
      <c r="I4264" s="118">
        <v>3.4722222222222224E-4</v>
      </c>
      <c r="J4264"/>
      <c r="K4264"/>
    </row>
    <row r="4265" spans="1:11" x14ac:dyDescent="0.25">
      <c r="A4265">
        <v>3</v>
      </c>
      <c r="B4265">
        <v>15</v>
      </c>
      <c r="C4265"/>
      <c r="D4265" t="s">
        <v>31</v>
      </c>
      <c r="E4265" t="s">
        <v>32</v>
      </c>
      <c r="F4265" t="s">
        <v>48</v>
      </c>
      <c r="G4265" s="118">
        <v>0.76232638888888893</v>
      </c>
      <c r="H4265" s="118">
        <v>5.2083333333333333E-4</v>
      </c>
      <c r="I4265" s="118">
        <v>8.6805555555555551E-4</v>
      </c>
      <c r="J4265" s="118">
        <v>5.0462962962962961E-3</v>
      </c>
      <c r="K4265" s="118">
        <v>5.0462962962962961E-3</v>
      </c>
    </row>
    <row r="4266" spans="1:11" x14ac:dyDescent="0.25">
      <c r="A4266">
        <v>9</v>
      </c>
      <c r="B4266">
        <v>3</v>
      </c>
      <c r="C4266"/>
      <c r="D4266" t="s">
        <v>31</v>
      </c>
      <c r="E4266" t="s">
        <v>32</v>
      </c>
      <c r="F4266" t="s">
        <v>47</v>
      </c>
      <c r="G4266" s="118">
        <v>0.76240740740740742</v>
      </c>
      <c r="H4266" s="118">
        <v>5.2083333333333333E-4</v>
      </c>
      <c r="I4266" s="118">
        <v>8.7962962962962962E-4</v>
      </c>
      <c r="J4266" s="118">
        <v>5.0462962962962961E-3</v>
      </c>
      <c r="K4266" s="118">
        <v>5.0462962962962961E-3</v>
      </c>
    </row>
    <row r="4267" spans="1:11" x14ac:dyDescent="0.25">
      <c r="A4267">
        <v>5</v>
      </c>
      <c r="B4267">
        <v>16</v>
      </c>
      <c r="C4267"/>
      <c r="D4267" t="s">
        <v>31</v>
      </c>
      <c r="E4267" t="s">
        <v>32</v>
      </c>
      <c r="F4267" t="s">
        <v>33</v>
      </c>
      <c r="G4267" s="118">
        <v>0.76256944444444441</v>
      </c>
      <c r="H4267" s="118">
        <v>5.2083333333333333E-4</v>
      </c>
      <c r="I4267" s="118">
        <v>9.6064814814814808E-4</v>
      </c>
      <c r="J4267" s="118">
        <v>5.0462962962962961E-3</v>
      </c>
      <c r="K4267" s="118">
        <v>5.0462962962962961E-3</v>
      </c>
    </row>
    <row r="4268" spans="1:11" x14ac:dyDescent="0.25">
      <c r="A4268">
        <v>2</v>
      </c>
      <c r="B4268">
        <v>16</v>
      </c>
      <c r="C4268"/>
      <c r="D4268" t="s">
        <v>31</v>
      </c>
      <c r="E4268" t="s">
        <v>32</v>
      </c>
      <c r="F4268" t="s">
        <v>45</v>
      </c>
      <c r="G4268" s="118">
        <v>0.76262731481481483</v>
      </c>
      <c r="H4268" s="118">
        <v>3.4722222222222224E-4</v>
      </c>
      <c r="I4268" s="118">
        <v>1.0416666666666667E-3</v>
      </c>
      <c r="J4268" s="118">
        <v>5.0462962962962961E-3</v>
      </c>
      <c r="K4268" s="118">
        <v>5.0462962962962961E-3</v>
      </c>
    </row>
    <row r="4269" spans="1:11" x14ac:dyDescent="0.25">
      <c r="A4269">
        <v>8</v>
      </c>
      <c r="B4269">
        <v>3</v>
      </c>
      <c r="C4269"/>
      <c r="D4269" t="s">
        <v>31</v>
      </c>
      <c r="E4269" t="s">
        <v>35</v>
      </c>
      <c r="F4269" t="s">
        <v>40</v>
      </c>
      <c r="G4269" s="118">
        <v>0.76265046296296291</v>
      </c>
      <c r="H4269" s="118">
        <v>4.8611111111111104E-4</v>
      </c>
      <c r="I4269" s="118">
        <v>4.6296296296296293E-4</v>
      </c>
      <c r="J4269"/>
      <c r="K4269"/>
    </row>
    <row r="4270" spans="1:11" x14ac:dyDescent="0.25">
      <c r="A4270">
        <v>4</v>
      </c>
      <c r="B4270">
        <v>15</v>
      </c>
      <c r="C4270"/>
      <c r="D4270" t="s">
        <v>31</v>
      </c>
      <c r="E4270" t="s">
        <v>35</v>
      </c>
      <c r="F4270" t="s">
        <v>56</v>
      </c>
      <c r="G4270" s="118">
        <v>0.76303240740740741</v>
      </c>
      <c r="H4270" s="118">
        <v>1.261574074074074E-3</v>
      </c>
      <c r="I4270" s="118">
        <v>3.4722222222222224E-4</v>
      </c>
      <c r="J4270"/>
      <c r="K4270"/>
    </row>
    <row r="4271" spans="1:11" x14ac:dyDescent="0.25">
      <c r="A4271">
        <v>8</v>
      </c>
      <c r="B4271">
        <v>3</v>
      </c>
      <c r="C4271"/>
      <c r="D4271" t="s">
        <v>31</v>
      </c>
      <c r="E4271" t="s">
        <v>32</v>
      </c>
      <c r="F4271" t="s">
        <v>40</v>
      </c>
      <c r="G4271" s="118">
        <v>0.7631134259259259</v>
      </c>
      <c r="H4271" s="118">
        <v>4.6296296296296293E-4</v>
      </c>
      <c r="I4271" s="118">
        <v>1.0069444444444444E-3</v>
      </c>
      <c r="J4271" s="118">
        <v>5.0462962962962961E-3</v>
      </c>
      <c r="K4271" s="118">
        <v>5.0462962962962961E-3</v>
      </c>
    </row>
    <row r="4272" spans="1:11" x14ac:dyDescent="0.25">
      <c r="A4272">
        <v>3</v>
      </c>
      <c r="B4272">
        <v>15</v>
      </c>
      <c r="C4272"/>
      <c r="D4272" t="s">
        <v>31</v>
      </c>
      <c r="E4272" t="s">
        <v>35</v>
      </c>
      <c r="F4272" t="s">
        <v>54</v>
      </c>
      <c r="G4272" s="118">
        <v>0.7631944444444444</v>
      </c>
      <c r="H4272" s="118">
        <v>8.6805555555555551E-4</v>
      </c>
      <c r="I4272" s="118">
        <v>3.4722222222222224E-4</v>
      </c>
      <c r="J4272"/>
      <c r="K4272"/>
    </row>
    <row r="4273" spans="1:11" x14ac:dyDescent="0.25">
      <c r="A4273">
        <v>9</v>
      </c>
      <c r="B4273">
        <v>3</v>
      </c>
      <c r="C4273"/>
      <c r="D4273" t="s">
        <v>31</v>
      </c>
      <c r="E4273" t="s">
        <v>35</v>
      </c>
      <c r="F4273" t="s">
        <v>53</v>
      </c>
      <c r="G4273" s="118">
        <v>0.76328703703703704</v>
      </c>
      <c r="H4273" s="118">
        <v>8.7962962962962962E-4</v>
      </c>
      <c r="I4273" s="118">
        <v>3.4722222222222224E-4</v>
      </c>
      <c r="J4273"/>
      <c r="K4273"/>
    </row>
    <row r="4274" spans="1:11" x14ac:dyDescent="0.25">
      <c r="A4274">
        <v>4</v>
      </c>
      <c r="B4274">
        <v>15</v>
      </c>
      <c r="C4274"/>
      <c r="D4274" t="s">
        <v>31</v>
      </c>
      <c r="E4274" t="s">
        <v>32</v>
      </c>
      <c r="F4274" t="s">
        <v>56</v>
      </c>
      <c r="G4274" s="118">
        <v>0.76337962962962969</v>
      </c>
      <c r="H4274" s="118">
        <v>3.4722222222222224E-4</v>
      </c>
      <c r="I4274" s="118">
        <v>9.6064814814814808E-4</v>
      </c>
      <c r="J4274" s="118">
        <v>5.0462962962962961E-3</v>
      </c>
      <c r="K4274" s="118">
        <v>5.0462962962962961E-3</v>
      </c>
    </row>
    <row r="4275" spans="1:11" x14ac:dyDescent="0.25">
      <c r="A4275">
        <v>5</v>
      </c>
      <c r="B4275">
        <v>16</v>
      </c>
      <c r="C4275"/>
      <c r="D4275" t="s">
        <v>31</v>
      </c>
      <c r="E4275" t="s">
        <v>35</v>
      </c>
      <c r="F4275" t="s">
        <v>36</v>
      </c>
      <c r="G4275" s="118">
        <v>0.76353009259259252</v>
      </c>
      <c r="H4275" s="118">
        <v>9.6064814814814808E-4</v>
      </c>
      <c r="I4275" s="118">
        <v>3.4722222222222224E-4</v>
      </c>
      <c r="J4275"/>
      <c r="K4275"/>
    </row>
    <row r="4276" spans="1:11" x14ac:dyDescent="0.25">
      <c r="A4276">
        <v>3</v>
      </c>
      <c r="B4276">
        <v>15</v>
      </c>
      <c r="C4276"/>
      <c r="D4276" t="s">
        <v>31</v>
      </c>
      <c r="E4276" t="s">
        <v>32</v>
      </c>
      <c r="F4276" t="s">
        <v>54</v>
      </c>
      <c r="G4276" s="118">
        <v>0.76354166666666667</v>
      </c>
      <c r="H4276" s="118">
        <v>3.4722222222222224E-4</v>
      </c>
      <c r="I4276" s="118">
        <v>6.5972222222222213E-4</v>
      </c>
      <c r="J4276" s="118">
        <v>5.0462962962962961E-3</v>
      </c>
      <c r="K4276" s="118">
        <v>5.0462962962962961E-3</v>
      </c>
    </row>
    <row r="4277" spans="1:11" x14ac:dyDescent="0.25">
      <c r="A4277">
        <v>1</v>
      </c>
      <c r="B4277">
        <v>15</v>
      </c>
      <c r="C4277"/>
      <c r="D4277" t="s">
        <v>31</v>
      </c>
      <c r="E4277" t="s">
        <v>35</v>
      </c>
      <c r="F4277" t="s">
        <v>46</v>
      </c>
      <c r="G4277" s="118">
        <v>0.76363425925925921</v>
      </c>
      <c r="H4277" s="118">
        <v>1.8055555555555557E-3</v>
      </c>
      <c r="I4277" s="118">
        <v>3.4722222222222224E-4</v>
      </c>
      <c r="J4277"/>
      <c r="K4277"/>
    </row>
    <row r="4278" spans="1:11" x14ac:dyDescent="0.25">
      <c r="A4278">
        <v>9</v>
      </c>
      <c r="B4278">
        <v>3</v>
      </c>
      <c r="C4278"/>
      <c r="D4278" t="s">
        <v>31</v>
      </c>
      <c r="E4278" t="s">
        <v>32</v>
      </c>
      <c r="F4278" t="s">
        <v>53</v>
      </c>
      <c r="G4278" s="118">
        <v>0.76363425925925921</v>
      </c>
      <c r="H4278" s="118">
        <v>3.4722222222222224E-4</v>
      </c>
      <c r="I4278" s="118">
        <v>8.449074074074075E-4</v>
      </c>
      <c r="J4278" s="118">
        <v>5.0462962962962961E-3</v>
      </c>
      <c r="K4278" s="118">
        <v>5.0462962962962961E-3</v>
      </c>
    </row>
    <row r="4279" spans="1:11" x14ac:dyDescent="0.25">
      <c r="A4279">
        <v>2</v>
      </c>
      <c r="B4279">
        <v>16</v>
      </c>
      <c r="C4279"/>
      <c r="D4279" t="s">
        <v>31</v>
      </c>
      <c r="E4279" t="s">
        <v>35</v>
      </c>
      <c r="F4279" t="s">
        <v>52</v>
      </c>
      <c r="G4279" s="118">
        <v>0.76366898148148143</v>
      </c>
      <c r="H4279" s="118">
        <v>1.0416666666666667E-3</v>
      </c>
      <c r="I4279" s="118">
        <v>3.4722222222222224E-4</v>
      </c>
      <c r="J4279"/>
      <c r="K4279"/>
    </row>
    <row r="4280" spans="1:11" x14ac:dyDescent="0.25">
      <c r="A4280">
        <v>5</v>
      </c>
      <c r="B4280">
        <v>16</v>
      </c>
      <c r="C4280"/>
      <c r="D4280" t="s">
        <v>31</v>
      </c>
      <c r="E4280" t="s">
        <v>32</v>
      </c>
      <c r="F4280" t="s">
        <v>36</v>
      </c>
      <c r="G4280" s="118">
        <v>0.76387731481481491</v>
      </c>
      <c r="H4280" s="118">
        <v>3.4722222222222224E-4</v>
      </c>
      <c r="I4280" s="118">
        <v>1.0995370370370371E-3</v>
      </c>
      <c r="J4280" s="118">
        <v>5.0462962962962961E-3</v>
      </c>
      <c r="K4280" s="118">
        <v>5.0462962962962961E-3</v>
      </c>
    </row>
    <row r="4281" spans="1:11" x14ac:dyDescent="0.25">
      <c r="A4281">
        <v>1</v>
      </c>
      <c r="B4281">
        <v>15</v>
      </c>
      <c r="C4281"/>
      <c r="D4281" t="s">
        <v>31</v>
      </c>
      <c r="E4281" t="s">
        <v>32</v>
      </c>
      <c r="F4281" t="s">
        <v>46</v>
      </c>
      <c r="G4281" s="118">
        <v>0.76398148148148148</v>
      </c>
      <c r="H4281" s="118">
        <v>3.4722222222222224E-4</v>
      </c>
      <c r="I4281" s="118">
        <v>9.1435185185185185E-4</v>
      </c>
      <c r="J4281" s="118">
        <v>5.0462962962962961E-3</v>
      </c>
      <c r="K4281" s="118">
        <v>5.0462962962962961E-3</v>
      </c>
    </row>
    <row r="4282" spans="1:11" x14ac:dyDescent="0.25">
      <c r="A4282">
        <v>2</v>
      </c>
      <c r="B4282">
        <v>16</v>
      </c>
      <c r="C4282"/>
      <c r="D4282" t="s">
        <v>31</v>
      </c>
      <c r="E4282" t="s">
        <v>32</v>
      </c>
      <c r="F4282" t="s">
        <v>52</v>
      </c>
      <c r="G4282" s="118">
        <v>0.7640162037037036</v>
      </c>
      <c r="H4282" s="118">
        <v>3.4722222222222224E-4</v>
      </c>
      <c r="I4282" s="118">
        <v>1.0532407407407407E-3</v>
      </c>
      <c r="J4282" s="118">
        <v>5.0462962962962961E-3</v>
      </c>
      <c r="K4282" s="118">
        <v>5.0462962962962961E-3</v>
      </c>
    </row>
    <row r="4283" spans="1:11" x14ac:dyDescent="0.25">
      <c r="A4283">
        <v>8</v>
      </c>
      <c r="B4283">
        <v>3</v>
      </c>
      <c r="C4283"/>
      <c r="D4283" t="s">
        <v>31</v>
      </c>
      <c r="E4283" t="s">
        <v>35</v>
      </c>
      <c r="F4283" t="s">
        <v>44</v>
      </c>
      <c r="G4283" s="118">
        <v>0.76412037037037039</v>
      </c>
      <c r="H4283" s="118">
        <v>1.0069444444444444E-3</v>
      </c>
      <c r="I4283" s="118">
        <v>3.4722222222222224E-4</v>
      </c>
      <c r="J4283"/>
      <c r="K4283"/>
    </row>
    <row r="4284" spans="1:11" x14ac:dyDescent="0.25">
      <c r="A4284">
        <v>3</v>
      </c>
      <c r="B4284">
        <v>15</v>
      </c>
      <c r="C4284"/>
      <c r="D4284" t="s">
        <v>31</v>
      </c>
      <c r="E4284" t="s">
        <v>35</v>
      </c>
      <c r="F4284" t="s">
        <v>92</v>
      </c>
      <c r="G4284" s="118">
        <v>0.76420138888888889</v>
      </c>
      <c r="H4284" s="118">
        <v>6.5972222222222213E-4</v>
      </c>
      <c r="I4284" s="118">
        <v>5.2083333333333333E-4</v>
      </c>
      <c r="J4284"/>
      <c r="K4284"/>
    </row>
    <row r="4285" spans="1:11" x14ac:dyDescent="0.25">
      <c r="A4285">
        <v>4</v>
      </c>
      <c r="B4285">
        <v>15</v>
      </c>
      <c r="C4285"/>
      <c r="D4285" t="s">
        <v>31</v>
      </c>
      <c r="E4285" t="s">
        <v>35</v>
      </c>
      <c r="F4285" t="s">
        <v>37</v>
      </c>
      <c r="G4285" s="118">
        <v>0.7643402777777778</v>
      </c>
      <c r="H4285" s="118">
        <v>9.6064814814814808E-4</v>
      </c>
      <c r="I4285" s="118">
        <v>3.4722222222222224E-4</v>
      </c>
      <c r="J4285"/>
      <c r="K4285"/>
    </row>
    <row r="4286" spans="1:11" x14ac:dyDescent="0.25">
      <c r="A4286">
        <v>8</v>
      </c>
      <c r="B4286">
        <v>3</v>
      </c>
      <c r="C4286"/>
      <c r="D4286" t="s">
        <v>31</v>
      </c>
      <c r="E4286" t="s">
        <v>32</v>
      </c>
      <c r="F4286" t="s">
        <v>44</v>
      </c>
      <c r="G4286" s="118">
        <v>0.76446759259259256</v>
      </c>
      <c r="H4286" s="118">
        <v>3.4722222222222224E-4</v>
      </c>
      <c r="I4286" s="118">
        <v>9.2592592592592585E-4</v>
      </c>
      <c r="J4286" s="118">
        <v>5.0462962962962961E-3</v>
      </c>
      <c r="K4286" s="118">
        <v>5.0462962962962961E-3</v>
      </c>
    </row>
    <row r="4287" spans="1:11" x14ac:dyDescent="0.25">
      <c r="A4287">
        <v>9</v>
      </c>
      <c r="B4287">
        <v>3</v>
      </c>
      <c r="C4287"/>
      <c r="D4287" t="s">
        <v>31</v>
      </c>
      <c r="E4287" t="s">
        <v>35</v>
      </c>
      <c r="F4287" t="s">
        <v>34</v>
      </c>
      <c r="G4287" s="118">
        <v>0.76447916666666671</v>
      </c>
      <c r="H4287" s="118">
        <v>8.449074074074075E-4</v>
      </c>
      <c r="I4287" s="118">
        <v>3.4722222222222224E-4</v>
      </c>
      <c r="J4287"/>
      <c r="K4287"/>
    </row>
    <row r="4288" spans="1:11" x14ac:dyDescent="0.25">
      <c r="A4288">
        <v>4</v>
      </c>
      <c r="B4288">
        <v>15</v>
      </c>
      <c r="C4288"/>
      <c r="D4288" t="s">
        <v>31</v>
      </c>
      <c r="E4288" t="s">
        <v>32</v>
      </c>
      <c r="F4288" t="s">
        <v>37</v>
      </c>
      <c r="G4288" s="118">
        <v>0.76468749999999996</v>
      </c>
      <c r="H4288" s="118">
        <v>3.4722222222222224E-4</v>
      </c>
      <c r="I4288" s="118">
        <v>9.0277777777777784E-4</v>
      </c>
      <c r="J4288" s="118">
        <v>5.0462962962962961E-3</v>
      </c>
      <c r="K4288" s="118">
        <v>5.0462962962962961E-3</v>
      </c>
    </row>
    <row r="4289" spans="1:11" x14ac:dyDescent="0.25">
      <c r="A4289">
        <v>3</v>
      </c>
      <c r="B4289">
        <v>16</v>
      </c>
      <c r="C4289"/>
      <c r="D4289" t="s">
        <v>31</v>
      </c>
      <c r="E4289" t="s">
        <v>32</v>
      </c>
      <c r="F4289" t="s">
        <v>92</v>
      </c>
      <c r="G4289" s="118">
        <v>0.76472222222222219</v>
      </c>
      <c r="H4289" s="118">
        <v>5.2083333333333333E-4</v>
      </c>
      <c r="I4289" s="118">
        <v>1.0069444444444444E-3</v>
      </c>
      <c r="J4289" s="118">
        <v>5.0462962962962961E-3</v>
      </c>
      <c r="K4289" s="118">
        <v>5.0462962962962961E-3</v>
      </c>
    </row>
    <row r="4290" spans="1:11" x14ac:dyDescent="0.25">
      <c r="A4290">
        <v>9</v>
      </c>
      <c r="B4290">
        <v>3</v>
      </c>
      <c r="C4290"/>
      <c r="D4290" t="s">
        <v>31</v>
      </c>
      <c r="E4290" t="s">
        <v>32</v>
      </c>
      <c r="F4290" t="s">
        <v>34</v>
      </c>
      <c r="G4290" s="118">
        <v>0.76482638888888888</v>
      </c>
      <c r="H4290" s="118">
        <v>3.4722222222222224E-4</v>
      </c>
      <c r="I4290" s="118">
        <v>9.1435185185185185E-4</v>
      </c>
      <c r="J4290" s="118">
        <v>5.0462962962962961E-3</v>
      </c>
      <c r="K4290" s="118">
        <v>5.0462962962962961E-3</v>
      </c>
    </row>
    <row r="4291" spans="1:11" x14ac:dyDescent="0.25">
      <c r="A4291">
        <v>1</v>
      </c>
      <c r="B4291">
        <v>15</v>
      </c>
      <c r="C4291"/>
      <c r="D4291" t="s">
        <v>31</v>
      </c>
      <c r="E4291" t="s">
        <v>35</v>
      </c>
      <c r="F4291" t="s">
        <v>51</v>
      </c>
      <c r="G4291" s="118">
        <v>0.76489583333333344</v>
      </c>
      <c r="H4291" s="118">
        <v>9.1435185185185185E-4</v>
      </c>
      <c r="I4291" s="118">
        <v>3.4722222222222224E-4</v>
      </c>
      <c r="J4291"/>
      <c r="K4291"/>
    </row>
    <row r="4292" spans="1:11" x14ac:dyDescent="0.25">
      <c r="A4292">
        <v>5</v>
      </c>
      <c r="B4292">
        <v>16</v>
      </c>
      <c r="C4292"/>
      <c r="D4292" t="s">
        <v>31</v>
      </c>
      <c r="E4292" t="s">
        <v>35</v>
      </c>
      <c r="F4292" t="s">
        <v>43</v>
      </c>
      <c r="G4292" s="118">
        <v>0.76497685185185194</v>
      </c>
      <c r="H4292" s="118">
        <v>1.0995370370370371E-3</v>
      </c>
      <c r="I4292" s="118">
        <v>3.4722222222222224E-4</v>
      </c>
      <c r="J4292"/>
      <c r="K4292"/>
    </row>
    <row r="4293" spans="1:11" x14ac:dyDescent="0.25">
      <c r="A4293">
        <v>2</v>
      </c>
      <c r="B4293">
        <v>16</v>
      </c>
      <c r="C4293"/>
      <c r="D4293" t="s">
        <v>31</v>
      </c>
      <c r="E4293" t="s">
        <v>35</v>
      </c>
      <c r="F4293" t="s">
        <v>57</v>
      </c>
      <c r="G4293" s="118">
        <v>0.76506944444444447</v>
      </c>
      <c r="H4293" s="118">
        <v>1.0532407407407407E-3</v>
      </c>
      <c r="I4293" s="118">
        <v>3.4722222222222224E-4</v>
      </c>
      <c r="J4293"/>
      <c r="K4293"/>
    </row>
    <row r="4294" spans="1:11" x14ac:dyDescent="0.25">
      <c r="A4294">
        <v>1</v>
      </c>
      <c r="B4294">
        <v>15</v>
      </c>
      <c r="C4294"/>
      <c r="D4294" t="s">
        <v>31</v>
      </c>
      <c r="E4294" t="s">
        <v>32</v>
      </c>
      <c r="F4294" t="s">
        <v>51</v>
      </c>
      <c r="G4294" s="118">
        <v>0.76524305555555561</v>
      </c>
      <c r="H4294" s="118">
        <v>3.4722222222222224E-4</v>
      </c>
      <c r="I4294" s="118">
        <v>1.0069444444444444E-3</v>
      </c>
      <c r="J4294" s="118">
        <v>5.0462962962962961E-3</v>
      </c>
      <c r="K4294" s="118">
        <v>5.0462962962962961E-3</v>
      </c>
    </row>
    <row r="4295" spans="1:11" x14ac:dyDescent="0.25">
      <c r="A4295">
        <v>5</v>
      </c>
      <c r="B4295">
        <v>16</v>
      </c>
      <c r="C4295"/>
      <c r="D4295" t="s">
        <v>31</v>
      </c>
      <c r="E4295" t="s">
        <v>32</v>
      </c>
      <c r="F4295" t="s">
        <v>43</v>
      </c>
      <c r="G4295" s="118">
        <v>0.7653240740740741</v>
      </c>
      <c r="H4295" s="118">
        <v>3.4722222222222224E-4</v>
      </c>
      <c r="I4295" s="118">
        <v>1.1458333333333333E-3</v>
      </c>
      <c r="J4295" s="118">
        <v>5.0462962962962961E-3</v>
      </c>
      <c r="K4295" s="118">
        <v>5.0462962962962961E-3</v>
      </c>
    </row>
    <row r="4296" spans="1:11" x14ac:dyDescent="0.25">
      <c r="A4296">
        <v>8</v>
      </c>
      <c r="B4296">
        <v>3</v>
      </c>
      <c r="C4296"/>
      <c r="D4296" t="s">
        <v>31</v>
      </c>
      <c r="E4296" t="s">
        <v>35</v>
      </c>
      <c r="F4296" t="s">
        <v>49</v>
      </c>
      <c r="G4296" s="118">
        <v>0.76539351851851845</v>
      </c>
      <c r="H4296" s="118">
        <v>9.2592592592592585E-4</v>
      </c>
      <c r="I4296" s="118">
        <v>3.4722222222222224E-4</v>
      </c>
      <c r="J4296"/>
      <c r="K4296"/>
    </row>
    <row r="4297" spans="1:11" x14ac:dyDescent="0.25">
      <c r="A4297">
        <v>2</v>
      </c>
      <c r="B4297">
        <v>16</v>
      </c>
      <c r="C4297"/>
      <c r="D4297" t="s">
        <v>31</v>
      </c>
      <c r="E4297" t="s">
        <v>32</v>
      </c>
      <c r="F4297" t="s">
        <v>57</v>
      </c>
      <c r="G4297" s="118">
        <v>0.76541666666666675</v>
      </c>
      <c r="H4297" s="118">
        <v>3.4722222222222224E-4</v>
      </c>
      <c r="I4297" s="118">
        <v>9.3750000000000007E-4</v>
      </c>
      <c r="J4297" s="118">
        <v>5.0462962962962961E-3</v>
      </c>
      <c r="K4297" s="118">
        <v>5.0462962962962961E-3</v>
      </c>
    </row>
    <row r="4298" spans="1:11" x14ac:dyDescent="0.25">
      <c r="A4298">
        <v>4</v>
      </c>
      <c r="B4298">
        <v>15</v>
      </c>
      <c r="C4298"/>
      <c r="D4298" t="s">
        <v>31</v>
      </c>
      <c r="E4298" t="s">
        <v>35</v>
      </c>
      <c r="F4298" t="s">
        <v>42</v>
      </c>
      <c r="G4298" s="118">
        <v>0.76559027777777777</v>
      </c>
      <c r="H4298" s="118">
        <v>9.0277777777777784E-4</v>
      </c>
      <c r="I4298" s="118">
        <v>3.4722222222222224E-4</v>
      </c>
      <c r="J4298"/>
      <c r="K4298"/>
    </row>
    <row r="4299" spans="1:11" x14ac:dyDescent="0.25">
      <c r="A4299">
        <v>3</v>
      </c>
      <c r="B4299">
        <v>16</v>
      </c>
      <c r="C4299"/>
      <c r="D4299" t="s">
        <v>31</v>
      </c>
      <c r="E4299" t="s">
        <v>35</v>
      </c>
      <c r="F4299" t="s">
        <v>41</v>
      </c>
      <c r="G4299" s="118">
        <v>0.76572916666666668</v>
      </c>
      <c r="H4299" s="118">
        <v>1.0069444444444444E-3</v>
      </c>
      <c r="I4299" s="118">
        <v>3.4722222222222224E-4</v>
      </c>
      <c r="J4299"/>
      <c r="K4299"/>
    </row>
    <row r="4300" spans="1:11" x14ac:dyDescent="0.25">
      <c r="A4300">
        <v>8</v>
      </c>
      <c r="B4300">
        <v>3</v>
      </c>
      <c r="C4300"/>
      <c r="D4300" t="s">
        <v>31</v>
      </c>
      <c r="E4300" t="s">
        <v>32</v>
      </c>
      <c r="F4300" t="s">
        <v>49</v>
      </c>
      <c r="G4300" s="118">
        <v>0.76574074074074072</v>
      </c>
      <c r="H4300" s="118">
        <v>3.4722222222222224E-4</v>
      </c>
      <c r="I4300" s="118">
        <v>1.3541666666666667E-3</v>
      </c>
      <c r="J4300" s="118">
        <v>5.0462962962962961E-3</v>
      </c>
      <c r="K4300" s="118">
        <v>5.0462962962962961E-3</v>
      </c>
    </row>
    <row r="4301" spans="1:11" x14ac:dyDescent="0.25">
      <c r="A4301">
        <v>9</v>
      </c>
      <c r="B4301">
        <v>3</v>
      </c>
      <c r="C4301"/>
      <c r="D4301" t="s">
        <v>31</v>
      </c>
      <c r="E4301" t="s">
        <v>35</v>
      </c>
      <c r="F4301" t="s">
        <v>38</v>
      </c>
      <c r="G4301" s="118">
        <v>0.76574074074074072</v>
      </c>
      <c r="H4301" s="118">
        <v>9.1435185185185185E-4</v>
      </c>
      <c r="I4301" s="118">
        <v>3.4722222222222224E-4</v>
      </c>
      <c r="J4301"/>
      <c r="K4301"/>
    </row>
    <row r="4302" spans="1:11" x14ac:dyDescent="0.25">
      <c r="A4302">
        <v>4</v>
      </c>
      <c r="B4302">
        <v>15</v>
      </c>
      <c r="C4302"/>
      <c r="D4302" t="s">
        <v>31</v>
      </c>
      <c r="E4302" t="s">
        <v>32</v>
      </c>
      <c r="F4302" t="s">
        <v>42</v>
      </c>
      <c r="G4302" s="118">
        <v>0.76593750000000005</v>
      </c>
      <c r="H4302" s="118">
        <v>3.4722222222222224E-4</v>
      </c>
      <c r="I4302" s="118">
        <v>9.1435185185185185E-4</v>
      </c>
      <c r="J4302" s="118">
        <v>5.0462962962962961E-3</v>
      </c>
      <c r="K4302" s="118">
        <v>5.0462962962962961E-3</v>
      </c>
    </row>
    <row r="4303" spans="1:11" x14ac:dyDescent="0.25">
      <c r="A4303">
        <v>3</v>
      </c>
      <c r="B4303">
        <v>16</v>
      </c>
      <c r="C4303"/>
      <c r="D4303" t="s">
        <v>31</v>
      </c>
      <c r="E4303" t="s">
        <v>32</v>
      </c>
      <c r="F4303" t="s">
        <v>41</v>
      </c>
      <c r="G4303" s="118">
        <v>0.76607638888888896</v>
      </c>
      <c r="H4303" s="118">
        <v>3.4722222222222224E-4</v>
      </c>
      <c r="I4303" s="118">
        <v>8.564814814814815E-4</v>
      </c>
      <c r="J4303" s="118">
        <v>5.0462962962962961E-3</v>
      </c>
      <c r="K4303" s="118">
        <v>5.0462962962962961E-3</v>
      </c>
    </row>
    <row r="4304" spans="1:11" x14ac:dyDescent="0.25">
      <c r="A4304">
        <v>9</v>
      </c>
      <c r="B4304">
        <v>3</v>
      </c>
      <c r="C4304"/>
      <c r="D4304" t="s">
        <v>31</v>
      </c>
      <c r="E4304" t="s">
        <v>32</v>
      </c>
      <c r="F4304" t="s">
        <v>38</v>
      </c>
      <c r="G4304" s="118">
        <v>0.766087962962963</v>
      </c>
      <c r="H4304" s="118">
        <v>3.4722222222222224E-4</v>
      </c>
      <c r="I4304" s="118">
        <v>1.2384259259259258E-3</v>
      </c>
      <c r="J4304" s="118">
        <v>5.0462962962962961E-3</v>
      </c>
      <c r="K4304" s="118">
        <v>5.0462962962962961E-3</v>
      </c>
    </row>
    <row r="4305" spans="1:11" x14ac:dyDescent="0.25">
      <c r="A4305">
        <v>1</v>
      </c>
      <c r="B4305">
        <v>15</v>
      </c>
      <c r="C4305"/>
      <c r="D4305" t="s">
        <v>31</v>
      </c>
      <c r="E4305" t="s">
        <v>35</v>
      </c>
      <c r="F4305" t="s">
        <v>55</v>
      </c>
      <c r="G4305" s="118">
        <v>0.76624999999999999</v>
      </c>
      <c r="H4305" s="118">
        <v>1.0069444444444444E-3</v>
      </c>
      <c r="I4305" s="118">
        <v>4.6296296296296293E-4</v>
      </c>
      <c r="J4305"/>
      <c r="K4305"/>
    </row>
    <row r="4306" spans="1:11" x14ac:dyDescent="0.25">
      <c r="A4306">
        <v>2</v>
      </c>
      <c r="B4306">
        <v>16</v>
      </c>
      <c r="C4306"/>
      <c r="D4306" t="s">
        <v>31</v>
      </c>
      <c r="E4306" t="s">
        <v>35</v>
      </c>
      <c r="F4306" t="s">
        <v>39</v>
      </c>
      <c r="G4306" s="118">
        <v>0.76635416666666656</v>
      </c>
      <c r="H4306" s="118">
        <v>9.3750000000000007E-4</v>
      </c>
      <c r="I4306" s="118">
        <v>5.2083333333333333E-4</v>
      </c>
      <c r="J4306"/>
      <c r="K4306"/>
    </row>
    <row r="4307" spans="1:11" x14ac:dyDescent="0.25">
      <c r="A4307">
        <v>5</v>
      </c>
      <c r="B4307">
        <v>16</v>
      </c>
      <c r="C4307"/>
      <c r="D4307" t="s">
        <v>31</v>
      </c>
      <c r="E4307" t="s">
        <v>35</v>
      </c>
      <c r="F4307" t="s">
        <v>50</v>
      </c>
      <c r="G4307" s="118">
        <v>0.76646990740740739</v>
      </c>
      <c r="H4307" s="118">
        <v>1.1458333333333333E-3</v>
      </c>
      <c r="I4307" s="118">
        <v>3.4722222222222224E-4</v>
      </c>
      <c r="J4307"/>
      <c r="K4307"/>
    </row>
    <row r="4308" spans="1:11" x14ac:dyDescent="0.25">
      <c r="A4308">
        <v>1</v>
      </c>
      <c r="B4308">
        <v>15</v>
      </c>
      <c r="C4308"/>
      <c r="D4308" t="s">
        <v>31</v>
      </c>
      <c r="E4308" t="s">
        <v>32</v>
      </c>
      <c r="F4308" t="s">
        <v>55</v>
      </c>
      <c r="G4308" s="118">
        <v>0.76671296296296287</v>
      </c>
      <c r="H4308" s="118">
        <v>4.6296296296296293E-4</v>
      </c>
      <c r="I4308" s="118">
        <v>4.3981481481481481E-4</v>
      </c>
      <c r="J4308" s="118">
        <v>5.0462962962962961E-3</v>
      </c>
      <c r="K4308" s="118">
        <v>5.0462962962962961E-3</v>
      </c>
    </row>
    <row r="4309" spans="1:11" x14ac:dyDescent="0.25">
      <c r="A4309">
        <v>5</v>
      </c>
      <c r="B4309">
        <v>16</v>
      </c>
      <c r="C4309"/>
      <c r="D4309" t="s">
        <v>31</v>
      </c>
      <c r="E4309" t="s">
        <v>32</v>
      </c>
      <c r="F4309" t="s">
        <v>50</v>
      </c>
      <c r="G4309" s="118">
        <v>0.76681712962962967</v>
      </c>
      <c r="H4309" s="118">
        <v>3.4722222222222224E-4</v>
      </c>
      <c r="I4309" s="118">
        <v>1.261574074074074E-3</v>
      </c>
      <c r="J4309" s="118">
        <v>5.0462962962962961E-3</v>
      </c>
      <c r="K4309" s="118">
        <v>5.0462962962962961E-3</v>
      </c>
    </row>
    <row r="4310" spans="1:11" x14ac:dyDescent="0.25">
      <c r="A4310">
        <v>4</v>
      </c>
      <c r="B4310">
        <v>15</v>
      </c>
      <c r="C4310"/>
      <c r="D4310" t="s">
        <v>31</v>
      </c>
      <c r="E4310" t="s">
        <v>35</v>
      </c>
      <c r="F4310" t="s">
        <v>48</v>
      </c>
      <c r="G4310" s="118">
        <v>0.76685185185185178</v>
      </c>
      <c r="H4310" s="118">
        <v>9.1435185185185185E-4</v>
      </c>
      <c r="I4310" s="118">
        <v>5.2083333333333333E-4</v>
      </c>
      <c r="J4310"/>
      <c r="K4310"/>
    </row>
    <row r="4311" spans="1:11" x14ac:dyDescent="0.25">
      <c r="A4311">
        <v>2</v>
      </c>
      <c r="B4311">
        <v>16</v>
      </c>
      <c r="C4311"/>
      <c r="D4311" t="s">
        <v>31</v>
      </c>
      <c r="E4311" t="s">
        <v>32</v>
      </c>
      <c r="F4311" t="s">
        <v>39</v>
      </c>
      <c r="G4311" s="118">
        <v>0.76687500000000008</v>
      </c>
      <c r="H4311" s="118">
        <v>5.2083333333333333E-4</v>
      </c>
      <c r="I4311" s="118">
        <v>1.8055555555555557E-3</v>
      </c>
      <c r="J4311" s="118">
        <v>5.0462962962962961E-3</v>
      </c>
      <c r="K4311" s="118">
        <v>5.0462962962962961E-3</v>
      </c>
    </row>
    <row r="4312" spans="1:11" x14ac:dyDescent="0.25">
      <c r="A4312">
        <v>3</v>
      </c>
      <c r="B4312">
        <v>16</v>
      </c>
      <c r="C4312"/>
      <c r="D4312" t="s">
        <v>31</v>
      </c>
      <c r="E4312" t="s">
        <v>35</v>
      </c>
      <c r="F4312" t="s">
        <v>47</v>
      </c>
      <c r="G4312" s="118">
        <v>0.76693287037037028</v>
      </c>
      <c r="H4312" s="118">
        <v>8.564814814814815E-4</v>
      </c>
      <c r="I4312" s="118">
        <v>5.2083333333333333E-4</v>
      </c>
      <c r="J4312"/>
      <c r="K4312"/>
    </row>
    <row r="4313" spans="1:11" x14ac:dyDescent="0.25">
      <c r="A4313">
        <v>8</v>
      </c>
      <c r="B4313">
        <v>3</v>
      </c>
      <c r="C4313"/>
      <c r="D4313" t="s">
        <v>31</v>
      </c>
      <c r="E4313" t="s">
        <v>35</v>
      </c>
      <c r="F4313" t="s">
        <v>33</v>
      </c>
      <c r="G4313" s="118">
        <v>0.76709490740740749</v>
      </c>
      <c r="H4313" s="118">
        <v>1.3541666666666667E-3</v>
      </c>
      <c r="I4313" s="118">
        <v>5.2083333333333333E-4</v>
      </c>
      <c r="J4313"/>
      <c r="K4313"/>
    </row>
    <row r="4314" spans="1:11" x14ac:dyDescent="0.25">
      <c r="A4314">
        <v>1</v>
      </c>
      <c r="B4314">
        <v>15</v>
      </c>
      <c r="C4314"/>
      <c r="D4314" t="s">
        <v>31</v>
      </c>
      <c r="E4314" t="s">
        <v>35</v>
      </c>
      <c r="F4314" t="s">
        <v>58</v>
      </c>
      <c r="G4314" s="118">
        <v>0.76715277777777768</v>
      </c>
      <c r="H4314" s="118">
        <v>4.3981481481481481E-4</v>
      </c>
      <c r="I4314" s="118">
        <v>5.7870370370370366E-5</v>
      </c>
      <c r="J4314"/>
      <c r="K4314"/>
    </row>
    <row r="4315" spans="1:11" x14ac:dyDescent="0.25">
      <c r="A4315">
        <v>1</v>
      </c>
      <c r="B4315">
        <v>15</v>
      </c>
      <c r="C4315"/>
      <c r="D4315" t="s">
        <v>31</v>
      </c>
      <c r="E4315" t="s">
        <v>32</v>
      </c>
      <c r="F4315" t="s">
        <v>58</v>
      </c>
      <c r="G4315" s="118">
        <v>0.7672106481481481</v>
      </c>
      <c r="H4315" s="118">
        <v>5.7870370370370366E-5</v>
      </c>
      <c r="I4315" s="118">
        <v>4.8611111111111104E-4</v>
      </c>
      <c r="J4315" s="118">
        <v>5.0462962962962961E-3</v>
      </c>
      <c r="K4315" s="118">
        <v>5.0462962962962961E-3</v>
      </c>
    </row>
    <row r="4316" spans="1:11" x14ac:dyDescent="0.25">
      <c r="A4316">
        <v>9</v>
      </c>
      <c r="B4316">
        <v>3</v>
      </c>
      <c r="C4316"/>
      <c r="D4316" t="s">
        <v>31</v>
      </c>
      <c r="E4316" t="s">
        <v>35</v>
      </c>
      <c r="F4316" t="s">
        <v>45</v>
      </c>
      <c r="G4316" s="118">
        <v>0.76732638888888882</v>
      </c>
      <c r="H4316" s="118">
        <v>1.2384259259259258E-3</v>
      </c>
      <c r="I4316" s="118">
        <v>3.4722222222222224E-4</v>
      </c>
      <c r="J4316"/>
      <c r="K4316"/>
    </row>
    <row r="4317" spans="1:11" x14ac:dyDescent="0.25">
      <c r="A4317">
        <v>4</v>
      </c>
      <c r="B4317">
        <v>15</v>
      </c>
      <c r="C4317"/>
      <c r="D4317" t="s">
        <v>31</v>
      </c>
      <c r="E4317" t="s">
        <v>32</v>
      </c>
      <c r="F4317" t="s">
        <v>48</v>
      </c>
      <c r="G4317" s="118">
        <v>0.76737268518518509</v>
      </c>
      <c r="H4317" s="118">
        <v>5.2083333333333333E-4</v>
      </c>
      <c r="I4317" s="118">
        <v>8.6805555555555551E-4</v>
      </c>
      <c r="J4317" s="118">
        <v>5.0462962962962961E-3</v>
      </c>
      <c r="K4317" s="118">
        <v>5.0462962962962961E-3</v>
      </c>
    </row>
    <row r="4318" spans="1:11" x14ac:dyDescent="0.25">
      <c r="A4318">
        <v>3</v>
      </c>
      <c r="B4318">
        <v>16</v>
      </c>
      <c r="C4318"/>
      <c r="D4318" t="s">
        <v>31</v>
      </c>
      <c r="E4318" t="s">
        <v>32</v>
      </c>
      <c r="F4318" t="s">
        <v>47</v>
      </c>
      <c r="G4318" s="118">
        <v>0.7674537037037038</v>
      </c>
      <c r="H4318" s="118">
        <v>5.2083333333333333E-4</v>
      </c>
      <c r="I4318" s="118">
        <v>8.7962962962962962E-4</v>
      </c>
      <c r="J4318" s="118">
        <v>5.0462962962962961E-3</v>
      </c>
      <c r="K4318" s="118">
        <v>5.0462962962962961E-3</v>
      </c>
    </row>
    <row r="4319" spans="1:11" x14ac:dyDescent="0.25">
      <c r="A4319">
        <v>8</v>
      </c>
      <c r="B4319">
        <v>3</v>
      </c>
      <c r="C4319"/>
      <c r="D4319" t="s">
        <v>31</v>
      </c>
      <c r="E4319" t="s">
        <v>32</v>
      </c>
      <c r="F4319" t="s">
        <v>33</v>
      </c>
      <c r="G4319" s="118">
        <v>0.76761574074074079</v>
      </c>
      <c r="H4319" s="118">
        <v>5.2083333333333333E-4</v>
      </c>
      <c r="I4319" s="118">
        <v>9.6064814814814808E-4</v>
      </c>
      <c r="J4319" s="118">
        <v>5.0462962962962961E-3</v>
      </c>
      <c r="K4319" s="118">
        <v>5.0462962962962961E-3</v>
      </c>
    </row>
    <row r="4320" spans="1:11" x14ac:dyDescent="0.25">
      <c r="A4320">
        <v>9</v>
      </c>
      <c r="B4320">
        <v>3</v>
      </c>
      <c r="C4320"/>
      <c r="D4320" t="s">
        <v>31</v>
      </c>
      <c r="E4320" t="s">
        <v>32</v>
      </c>
      <c r="F4320" t="s">
        <v>45</v>
      </c>
      <c r="G4320" s="118">
        <v>0.76767361111111121</v>
      </c>
      <c r="H4320" s="118">
        <v>3.4722222222222224E-4</v>
      </c>
      <c r="I4320" s="118">
        <v>1.0416666666666667E-3</v>
      </c>
      <c r="J4320" s="118">
        <v>5.0462962962962961E-3</v>
      </c>
      <c r="K4320" s="118">
        <v>5.0462962962962961E-3</v>
      </c>
    </row>
    <row r="4321" spans="1:11" x14ac:dyDescent="0.25">
      <c r="A4321">
        <v>1</v>
      </c>
      <c r="B4321">
        <v>15</v>
      </c>
      <c r="C4321"/>
      <c r="D4321" t="s">
        <v>31</v>
      </c>
      <c r="E4321" t="s">
        <v>35</v>
      </c>
      <c r="F4321" t="s">
        <v>40</v>
      </c>
      <c r="G4321" s="118">
        <v>0.76769675925925929</v>
      </c>
      <c r="H4321" s="118">
        <v>4.8611111111111104E-4</v>
      </c>
      <c r="I4321" s="118">
        <v>4.6296296296296293E-4</v>
      </c>
      <c r="J4321"/>
      <c r="K4321"/>
    </row>
    <row r="4322" spans="1:11" x14ac:dyDescent="0.25">
      <c r="A4322">
        <v>5</v>
      </c>
      <c r="B4322">
        <v>16</v>
      </c>
      <c r="C4322"/>
      <c r="D4322" t="s">
        <v>31</v>
      </c>
      <c r="E4322" t="s">
        <v>35</v>
      </c>
      <c r="F4322" t="s">
        <v>56</v>
      </c>
      <c r="G4322" s="118">
        <v>0.76807870370370368</v>
      </c>
      <c r="H4322" s="118">
        <v>1.261574074074074E-3</v>
      </c>
      <c r="I4322" s="118">
        <v>3.4722222222222224E-4</v>
      </c>
      <c r="J4322"/>
      <c r="K4322"/>
    </row>
    <row r="4323" spans="1:11" x14ac:dyDescent="0.25">
      <c r="A4323">
        <v>1</v>
      </c>
      <c r="B4323">
        <v>15</v>
      </c>
      <c r="C4323"/>
      <c r="D4323" t="s">
        <v>31</v>
      </c>
      <c r="E4323" t="s">
        <v>32</v>
      </c>
      <c r="F4323" t="s">
        <v>40</v>
      </c>
      <c r="G4323" s="118">
        <v>0.76815972222222229</v>
      </c>
      <c r="H4323" s="118">
        <v>4.6296296296296293E-4</v>
      </c>
      <c r="I4323" s="118">
        <v>1.0069444444444444E-3</v>
      </c>
      <c r="J4323" s="118">
        <v>5.0462962962962961E-3</v>
      </c>
      <c r="K4323" s="118">
        <v>5.0462962962962961E-3</v>
      </c>
    </row>
    <row r="4324" spans="1:11" x14ac:dyDescent="0.25">
      <c r="A4324">
        <v>4</v>
      </c>
      <c r="B4324">
        <v>15</v>
      </c>
      <c r="C4324"/>
      <c r="D4324" t="s">
        <v>31</v>
      </c>
      <c r="E4324" t="s">
        <v>35</v>
      </c>
      <c r="F4324" t="s">
        <v>54</v>
      </c>
      <c r="G4324" s="118">
        <v>0.76824074074074078</v>
      </c>
      <c r="H4324" s="118">
        <v>8.6805555555555551E-4</v>
      </c>
      <c r="I4324" s="118">
        <v>3.4722222222222224E-4</v>
      </c>
      <c r="J4324"/>
      <c r="K4324"/>
    </row>
    <row r="4325" spans="1:11" x14ac:dyDescent="0.25">
      <c r="A4325">
        <v>3</v>
      </c>
      <c r="B4325">
        <v>16</v>
      </c>
      <c r="C4325"/>
      <c r="D4325" t="s">
        <v>31</v>
      </c>
      <c r="E4325" t="s">
        <v>35</v>
      </c>
      <c r="F4325" t="s">
        <v>53</v>
      </c>
      <c r="G4325" s="118">
        <v>0.76833333333333342</v>
      </c>
      <c r="H4325" s="118">
        <v>8.7962962962962962E-4</v>
      </c>
      <c r="I4325" s="118">
        <v>3.4722222222222224E-4</v>
      </c>
      <c r="J4325"/>
      <c r="K4325"/>
    </row>
    <row r="4326" spans="1:11" x14ac:dyDescent="0.25">
      <c r="A4326">
        <v>5</v>
      </c>
      <c r="B4326">
        <v>16</v>
      </c>
      <c r="C4326"/>
      <c r="D4326" t="s">
        <v>31</v>
      </c>
      <c r="E4326" t="s">
        <v>32</v>
      </c>
      <c r="F4326" t="s">
        <v>56</v>
      </c>
      <c r="G4326" s="118">
        <v>0.76842592592592596</v>
      </c>
      <c r="H4326" s="118">
        <v>3.4722222222222224E-4</v>
      </c>
      <c r="I4326" s="118">
        <v>9.6064814814814808E-4</v>
      </c>
      <c r="J4326" s="118">
        <v>5.0462962962962961E-3</v>
      </c>
      <c r="K4326" s="118">
        <v>5.0462962962962961E-3</v>
      </c>
    </row>
    <row r="4327" spans="1:11" x14ac:dyDescent="0.25">
      <c r="A4327">
        <v>8</v>
      </c>
      <c r="B4327">
        <v>3</v>
      </c>
      <c r="C4327"/>
      <c r="D4327" t="s">
        <v>31</v>
      </c>
      <c r="E4327" t="s">
        <v>35</v>
      </c>
      <c r="F4327" t="s">
        <v>36</v>
      </c>
      <c r="G4327" s="118">
        <v>0.76857638888888891</v>
      </c>
      <c r="H4327" s="118">
        <v>9.6064814814814808E-4</v>
      </c>
      <c r="I4327" s="118">
        <v>3.4722222222222224E-4</v>
      </c>
      <c r="J4327"/>
      <c r="K4327"/>
    </row>
    <row r="4328" spans="1:11" x14ac:dyDescent="0.25">
      <c r="A4328">
        <v>4</v>
      </c>
      <c r="B4328">
        <v>15</v>
      </c>
      <c r="C4328"/>
      <c r="D4328" t="s">
        <v>31</v>
      </c>
      <c r="E4328" t="s">
        <v>32</v>
      </c>
      <c r="F4328" t="s">
        <v>54</v>
      </c>
      <c r="G4328" s="118">
        <v>0.76858796296296295</v>
      </c>
      <c r="H4328" s="118">
        <v>3.4722222222222224E-4</v>
      </c>
      <c r="I4328" s="118">
        <v>6.5972222222222213E-4</v>
      </c>
      <c r="J4328" s="118">
        <v>5.0462962962962961E-3</v>
      </c>
      <c r="K4328" s="118">
        <v>5.0462962962962961E-3</v>
      </c>
    </row>
    <row r="4329" spans="1:11" x14ac:dyDescent="0.25">
      <c r="A4329">
        <v>2</v>
      </c>
      <c r="B4329">
        <v>16</v>
      </c>
      <c r="C4329"/>
      <c r="D4329" t="s">
        <v>31</v>
      </c>
      <c r="E4329" t="s">
        <v>35</v>
      </c>
      <c r="F4329" t="s">
        <v>46</v>
      </c>
      <c r="G4329" s="118">
        <v>0.76868055555555559</v>
      </c>
      <c r="H4329" s="118">
        <v>1.8055555555555557E-3</v>
      </c>
      <c r="I4329" s="118">
        <v>3.4722222222222224E-4</v>
      </c>
      <c r="J4329"/>
      <c r="K4329"/>
    </row>
    <row r="4330" spans="1:11" x14ac:dyDescent="0.25">
      <c r="A4330">
        <v>3</v>
      </c>
      <c r="B4330">
        <v>16</v>
      </c>
      <c r="C4330"/>
      <c r="D4330" t="s">
        <v>31</v>
      </c>
      <c r="E4330" t="s">
        <v>32</v>
      </c>
      <c r="F4330" t="s">
        <v>53</v>
      </c>
      <c r="G4330" s="118">
        <v>0.76868055555555559</v>
      </c>
      <c r="H4330" s="118">
        <v>3.4722222222222224E-4</v>
      </c>
      <c r="I4330" s="118">
        <v>8.449074074074075E-4</v>
      </c>
      <c r="J4330" s="118">
        <v>5.0462962962962961E-3</v>
      </c>
      <c r="K4330" s="118">
        <v>5.0462962962962961E-3</v>
      </c>
    </row>
    <row r="4331" spans="1:11" x14ac:dyDescent="0.25">
      <c r="A4331">
        <v>9</v>
      </c>
      <c r="B4331">
        <v>3</v>
      </c>
      <c r="C4331"/>
      <c r="D4331" t="s">
        <v>31</v>
      </c>
      <c r="E4331" t="s">
        <v>35</v>
      </c>
      <c r="F4331" t="s">
        <v>52</v>
      </c>
      <c r="G4331" s="118">
        <v>0.76871527777777782</v>
      </c>
      <c r="H4331" s="118">
        <v>1.0416666666666667E-3</v>
      </c>
      <c r="I4331" s="118">
        <v>3.4722222222222224E-4</v>
      </c>
      <c r="J4331"/>
      <c r="K4331"/>
    </row>
    <row r="4332" spans="1:11" x14ac:dyDescent="0.25">
      <c r="A4332">
        <v>8</v>
      </c>
      <c r="B4332">
        <v>3</v>
      </c>
      <c r="C4332"/>
      <c r="D4332" t="s">
        <v>31</v>
      </c>
      <c r="E4332" t="s">
        <v>32</v>
      </c>
      <c r="F4332" t="s">
        <v>36</v>
      </c>
      <c r="G4332" s="118">
        <v>0.76892361111111107</v>
      </c>
      <c r="H4332" s="118">
        <v>3.4722222222222224E-4</v>
      </c>
      <c r="I4332" s="118">
        <v>1.0995370370370371E-3</v>
      </c>
      <c r="J4332" s="118">
        <v>5.0462962962962961E-3</v>
      </c>
      <c r="K4332" s="118">
        <v>5.0462962962962961E-3</v>
      </c>
    </row>
    <row r="4333" spans="1:11" x14ac:dyDescent="0.25">
      <c r="A4333">
        <v>2</v>
      </c>
      <c r="B4333">
        <v>16</v>
      </c>
      <c r="C4333"/>
      <c r="D4333" t="s">
        <v>31</v>
      </c>
      <c r="E4333" t="s">
        <v>32</v>
      </c>
      <c r="F4333" t="s">
        <v>46</v>
      </c>
      <c r="G4333" s="118">
        <v>0.76902777777777775</v>
      </c>
      <c r="H4333" s="118">
        <v>3.4722222222222224E-4</v>
      </c>
      <c r="I4333" s="118">
        <v>9.1435185185185185E-4</v>
      </c>
      <c r="J4333" s="118">
        <v>5.0462962962962961E-3</v>
      </c>
      <c r="K4333" s="118">
        <v>5.0462962962962961E-3</v>
      </c>
    </row>
    <row r="4334" spans="1:11" x14ac:dyDescent="0.25">
      <c r="A4334">
        <v>9</v>
      </c>
      <c r="B4334">
        <v>3</v>
      </c>
      <c r="C4334"/>
      <c r="D4334" t="s">
        <v>31</v>
      </c>
      <c r="E4334" t="s">
        <v>32</v>
      </c>
      <c r="F4334" t="s">
        <v>52</v>
      </c>
      <c r="G4334" s="118">
        <v>0.76906249999999998</v>
      </c>
      <c r="H4334" s="118">
        <v>3.4722222222222224E-4</v>
      </c>
      <c r="I4334" s="118">
        <v>1.0532407407407407E-3</v>
      </c>
      <c r="J4334" s="118">
        <v>5.0462962962962961E-3</v>
      </c>
      <c r="K4334" s="118">
        <v>5.0462962962962961E-3</v>
      </c>
    </row>
    <row r="4335" spans="1:11" x14ac:dyDescent="0.25">
      <c r="A4335">
        <v>1</v>
      </c>
      <c r="B4335">
        <v>15</v>
      </c>
      <c r="C4335"/>
      <c r="D4335" t="s">
        <v>31</v>
      </c>
      <c r="E4335" t="s">
        <v>35</v>
      </c>
      <c r="F4335" t="s">
        <v>44</v>
      </c>
      <c r="G4335" s="118">
        <v>0.76916666666666667</v>
      </c>
      <c r="H4335" s="118">
        <v>1.0069444444444444E-3</v>
      </c>
      <c r="I4335" s="118">
        <v>3.4722222222222224E-4</v>
      </c>
      <c r="J4335"/>
      <c r="K4335"/>
    </row>
    <row r="4336" spans="1:11" x14ac:dyDescent="0.25">
      <c r="A4336">
        <v>4</v>
      </c>
      <c r="B4336">
        <v>15</v>
      </c>
      <c r="C4336"/>
      <c r="D4336" t="s">
        <v>31</v>
      </c>
      <c r="E4336" t="s">
        <v>35</v>
      </c>
      <c r="F4336" t="s">
        <v>92</v>
      </c>
      <c r="G4336" s="118">
        <v>0.76924768518518516</v>
      </c>
      <c r="H4336" s="118">
        <v>6.5972222222222213E-4</v>
      </c>
      <c r="I4336" s="118">
        <v>5.2083333333333333E-4</v>
      </c>
      <c r="J4336"/>
      <c r="K4336"/>
    </row>
    <row r="4337" spans="1:11" x14ac:dyDescent="0.25">
      <c r="A4337">
        <v>5</v>
      </c>
      <c r="B4337">
        <v>16</v>
      </c>
      <c r="C4337"/>
      <c r="D4337" t="s">
        <v>31</v>
      </c>
      <c r="E4337" t="s">
        <v>35</v>
      </c>
      <c r="F4337" t="s">
        <v>37</v>
      </c>
      <c r="G4337" s="118">
        <v>0.76938657407407407</v>
      </c>
      <c r="H4337" s="118">
        <v>9.6064814814814808E-4</v>
      </c>
      <c r="I4337" s="118">
        <v>3.4722222222222224E-4</v>
      </c>
      <c r="J4337"/>
      <c r="K4337"/>
    </row>
    <row r="4338" spans="1:11" x14ac:dyDescent="0.25">
      <c r="A4338">
        <v>1</v>
      </c>
      <c r="B4338">
        <v>15</v>
      </c>
      <c r="C4338"/>
      <c r="D4338" t="s">
        <v>31</v>
      </c>
      <c r="E4338" t="s">
        <v>32</v>
      </c>
      <c r="F4338" t="s">
        <v>44</v>
      </c>
      <c r="G4338" s="118">
        <v>0.76951388888888894</v>
      </c>
      <c r="H4338" s="118">
        <v>3.4722222222222224E-4</v>
      </c>
      <c r="I4338" s="118">
        <v>9.2592592592592585E-4</v>
      </c>
      <c r="J4338" s="118">
        <v>5.0462962962962961E-3</v>
      </c>
      <c r="K4338" s="118">
        <v>5.0462962962962961E-3</v>
      </c>
    </row>
    <row r="4339" spans="1:11" x14ac:dyDescent="0.25">
      <c r="A4339">
        <v>3</v>
      </c>
      <c r="B4339">
        <v>16</v>
      </c>
      <c r="C4339"/>
      <c r="D4339" t="s">
        <v>31</v>
      </c>
      <c r="E4339" t="s">
        <v>35</v>
      </c>
      <c r="F4339" t="s">
        <v>34</v>
      </c>
      <c r="G4339" s="118">
        <v>0.76952546296296298</v>
      </c>
      <c r="H4339" s="118">
        <v>8.449074074074075E-4</v>
      </c>
      <c r="I4339" s="118">
        <v>3.4722222222222224E-4</v>
      </c>
      <c r="J4339"/>
      <c r="K4339"/>
    </row>
    <row r="4340" spans="1:11" x14ac:dyDescent="0.25">
      <c r="A4340">
        <v>5</v>
      </c>
      <c r="B4340">
        <v>16</v>
      </c>
      <c r="C4340"/>
      <c r="D4340" t="s">
        <v>31</v>
      </c>
      <c r="E4340" t="s">
        <v>32</v>
      </c>
      <c r="F4340" t="s">
        <v>37</v>
      </c>
      <c r="G4340" s="118">
        <v>0.76973379629629635</v>
      </c>
      <c r="H4340" s="118">
        <v>3.4722222222222224E-4</v>
      </c>
      <c r="I4340" s="118">
        <v>9.0277777777777784E-4</v>
      </c>
      <c r="J4340" s="118">
        <v>5.0462962962962961E-3</v>
      </c>
      <c r="K4340" s="118">
        <v>5.0462962962962961E-3</v>
      </c>
    </row>
    <row r="4341" spans="1:11" x14ac:dyDescent="0.25">
      <c r="A4341">
        <v>4</v>
      </c>
      <c r="B4341">
        <v>16</v>
      </c>
      <c r="C4341"/>
      <c r="D4341" t="s">
        <v>31</v>
      </c>
      <c r="E4341" t="s">
        <v>32</v>
      </c>
      <c r="F4341" t="s">
        <v>92</v>
      </c>
      <c r="G4341" s="118">
        <v>0.76976851851851846</v>
      </c>
      <c r="H4341" s="118">
        <v>5.2083333333333333E-4</v>
      </c>
      <c r="I4341" s="118">
        <v>1.0069444444444444E-3</v>
      </c>
      <c r="J4341" s="118">
        <v>5.0462962962962961E-3</v>
      </c>
      <c r="K4341" s="118">
        <v>5.0462962962962961E-3</v>
      </c>
    </row>
    <row r="4342" spans="1:11" x14ac:dyDescent="0.25">
      <c r="A4342">
        <v>3</v>
      </c>
      <c r="B4342">
        <v>16</v>
      </c>
      <c r="C4342"/>
      <c r="D4342" t="s">
        <v>31</v>
      </c>
      <c r="E4342" t="s">
        <v>32</v>
      </c>
      <c r="F4342" t="s">
        <v>34</v>
      </c>
      <c r="G4342" s="118">
        <v>0.76987268518518526</v>
      </c>
      <c r="H4342" s="118">
        <v>3.4722222222222224E-4</v>
      </c>
      <c r="I4342" s="118">
        <v>9.1435185185185185E-4</v>
      </c>
      <c r="J4342" s="118">
        <v>5.0462962962962961E-3</v>
      </c>
      <c r="K4342" s="118">
        <v>5.0462962962962961E-3</v>
      </c>
    </row>
    <row r="4343" spans="1:11" x14ac:dyDescent="0.25">
      <c r="A4343">
        <v>2</v>
      </c>
      <c r="B4343">
        <v>16</v>
      </c>
      <c r="C4343"/>
      <c r="D4343" t="s">
        <v>31</v>
      </c>
      <c r="E4343" t="s">
        <v>35</v>
      </c>
      <c r="F4343" t="s">
        <v>51</v>
      </c>
      <c r="G4343" s="118">
        <v>0.7699421296296296</v>
      </c>
      <c r="H4343" s="118">
        <v>9.1435185185185185E-4</v>
      </c>
      <c r="I4343" s="118">
        <v>3.4722222222222224E-4</v>
      </c>
      <c r="J4343"/>
      <c r="K4343"/>
    </row>
    <row r="4344" spans="1:11" x14ac:dyDescent="0.25">
      <c r="A4344">
        <v>8</v>
      </c>
      <c r="B4344">
        <v>3</v>
      </c>
      <c r="C4344"/>
      <c r="D4344" t="s">
        <v>31</v>
      </c>
      <c r="E4344" t="s">
        <v>35</v>
      </c>
      <c r="F4344" t="s">
        <v>43</v>
      </c>
      <c r="G4344" s="118">
        <v>0.7700231481481481</v>
      </c>
      <c r="H4344" s="118">
        <v>1.0995370370370371E-3</v>
      </c>
      <c r="I4344" s="118">
        <v>3.4722222222222224E-4</v>
      </c>
      <c r="J4344"/>
      <c r="K4344"/>
    </row>
    <row r="4345" spans="1:11" x14ac:dyDescent="0.25">
      <c r="A4345">
        <v>9</v>
      </c>
      <c r="B4345">
        <v>3</v>
      </c>
      <c r="C4345"/>
      <c r="D4345" t="s">
        <v>31</v>
      </c>
      <c r="E4345" t="s">
        <v>35</v>
      </c>
      <c r="F4345" t="s">
        <v>57</v>
      </c>
      <c r="G4345" s="118">
        <v>0.77011574074074074</v>
      </c>
      <c r="H4345" s="118">
        <v>1.0532407407407407E-3</v>
      </c>
      <c r="I4345" s="118">
        <v>3.4722222222222224E-4</v>
      </c>
      <c r="J4345"/>
      <c r="K4345"/>
    </row>
    <row r="4346" spans="1:11" x14ac:dyDescent="0.25">
      <c r="A4346">
        <v>2</v>
      </c>
      <c r="B4346">
        <v>16</v>
      </c>
      <c r="C4346"/>
      <c r="D4346" t="s">
        <v>31</v>
      </c>
      <c r="E4346" t="s">
        <v>32</v>
      </c>
      <c r="F4346" t="s">
        <v>51</v>
      </c>
      <c r="G4346" s="118">
        <v>0.77028935185185177</v>
      </c>
      <c r="H4346" s="118">
        <v>3.4722222222222224E-4</v>
      </c>
      <c r="I4346" s="118">
        <v>1.0069444444444444E-3</v>
      </c>
      <c r="J4346" s="118">
        <v>5.0462962962962961E-3</v>
      </c>
      <c r="K4346" s="118">
        <v>5.0462962962962961E-3</v>
      </c>
    </row>
    <row r="4347" spans="1:11" x14ac:dyDescent="0.25">
      <c r="A4347">
        <v>8</v>
      </c>
      <c r="B4347">
        <v>3</v>
      </c>
      <c r="C4347"/>
      <c r="D4347" t="s">
        <v>31</v>
      </c>
      <c r="E4347" t="s">
        <v>32</v>
      </c>
      <c r="F4347" t="s">
        <v>43</v>
      </c>
      <c r="G4347" s="118">
        <v>0.77037037037037026</v>
      </c>
      <c r="H4347" s="118">
        <v>3.4722222222222224E-4</v>
      </c>
      <c r="I4347" s="118">
        <v>1.1458333333333333E-3</v>
      </c>
      <c r="J4347" s="118">
        <v>5.0462962962962961E-3</v>
      </c>
      <c r="K4347" s="118">
        <v>5.0462962962962961E-3</v>
      </c>
    </row>
    <row r="4348" spans="1:11" x14ac:dyDescent="0.25">
      <c r="A4348">
        <v>1</v>
      </c>
      <c r="B4348">
        <v>15</v>
      </c>
      <c r="C4348"/>
      <c r="D4348" t="s">
        <v>31</v>
      </c>
      <c r="E4348" t="s">
        <v>35</v>
      </c>
      <c r="F4348" t="s">
        <v>49</v>
      </c>
      <c r="G4348" s="118">
        <v>0.77043981481481483</v>
      </c>
      <c r="H4348" s="118">
        <v>9.2592592592592585E-4</v>
      </c>
      <c r="I4348" s="118">
        <v>3.4722222222222224E-4</v>
      </c>
      <c r="J4348"/>
      <c r="K4348"/>
    </row>
    <row r="4349" spans="1:11" x14ac:dyDescent="0.25">
      <c r="A4349">
        <v>9</v>
      </c>
      <c r="B4349">
        <v>3</v>
      </c>
      <c r="C4349"/>
      <c r="D4349" t="s">
        <v>31</v>
      </c>
      <c r="E4349" t="s">
        <v>32</v>
      </c>
      <c r="F4349" t="s">
        <v>57</v>
      </c>
      <c r="G4349" s="118">
        <v>0.77046296296296291</v>
      </c>
      <c r="H4349" s="118">
        <v>3.4722222222222224E-4</v>
      </c>
      <c r="I4349" s="118">
        <v>9.3750000000000007E-4</v>
      </c>
      <c r="J4349" s="118">
        <v>5.0462962962962961E-3</v>
      </c>
      <c r="K4349" s="118">
        <v>5.0462962962962961E-3</v>
      </c>
    </row>
    <row r="4350" spans="1:11" x14ac:dyDescent="0.25">
      <c r="A4350">
        <v>5</v>
      </c>
      <c r="B4350">
        <v>16</v>
      </c>
      <c r="C4350"/>
      <c r="D4350" t="s">
        <v>31</v>
      </c>
      <c r="E4350" t="s">
        <v>35</v>
      </c>
      <c r="F4350" t="s">
        <v>42</v>
      </c>
      <c r="G4350" s="118">
        <v>0.77063657407407404</v>
      </c>
      <c r="H4350" s="118">
        <v>9.0277777777777784E-4</v>
      </c>
      <c r="I4350" s="118">
        <v>3.4722222222222224E-4</v>
      </c>
      <c r="J4350"/>
      <c r="K4350"/>
    </row>
    <row r="4351" spans="1:11" x14ac:dyDescent="0.25">
      <c r="A4351">
        <v>4</v>
      </c>
      <c r="B4351">
        <v>16</v>
      </c>
      <c r="C4351"/>
      <c r="D4351" t="s">
        <v>31</v>
      </c>
      <c r="E4351" t="s">
        <v>35</v>
      </c>
      <c r="F4351" t="s">
        <v>41</v>
      </c>
      <c r="G4351" s="118">
        <v>0.77077546296296295</v>
      </c>
      <c r="H4351" s="118">
        <v>1.0069444444444444E-3</v>
      </c>
      <c r="I4351" s="118">
        <v>3.4722222222222224E-4</v>
      </c>
      <c r="J4351"/>
      <c r="K4351"/>
    </row>
    <row r="4352" spans="1:11" x14ac:dyDescent="0.25">
      <c r="A4352">
        <v>1</v>
      </c>
      <c r="B4352">
        <v>15</v>
      </c>
      <c r="C4352"/>
      <c r="D4352" t="s">
        <v>31</v>
      </c>
      <c r="E4352" t="s">
        <v>32</v>
      </c>
      <c r="F4352" t="s">
        <v>49</v>
      </c>
      <c r="G4352" s="118">
        <v>0.77078703703703699</v>
      </c>
      <c r="H4352" s="118">
        <v>3.4722222222222224E-4</v>
      </c>
      <c r="I4352" s="118">
        <v>1.3541666666666667E-3</v>
      </c>
      <c r="J4352" s="118">
        <v>5.0462962962962961E-3</v>
      </c>
      <c r="K4352" s="118">
        <v>5.0462962962962961E-3</v>
      </c>
    </row>
    <row r="4353" spans="1:11" x14ac:dyDescent="0.25">
      <c r="A4353">
        <v>3</v>
      </c>
      <c r="B4353">
        <v>16</v>
      </c>
      <c r="C4353"/>
      <c r="D4353" t="s">
        <v>31</v>
      </c>
      <c r="E4353" t="s">
        <v>35</v>
      </c>
      <c r="F4353" t="s">
        <v>38</v>
      </c>
      <c r="G4353" s="118">
        <v>0.77078703703703699</v>
      </c>
      <c r="H4353" s="118">
        <v>9.1435185185185185E-4</v>
      </c>
      <c r="I4353" s="118">
        <v>3.4722222222222224E-4</v>
      </c>
      <c r="J4353"/>
      <c r="K4353"/>
    </row>
    <row r="4354" spans="1:11" x14ac:dyDescent="0.25">
      <c r="A4354">
        <v>5</v>
      </c>
      <c r="B4354">
        <v>16</v>
      </c>
      <c r="C4354"/>
      <c r="D4354" t="s">
        <v>31</v>
      </c>
      <c r="E4354" t="s">
        <v>32</v>
      </c>
      <c r="F4354" t="s">
        <v>42</v>
      </c>
      <c r="G4354" s="118">
        <v>0.77098379629629632</v>
      </c>
      <c r="H4354" s="118">
        <v>3.4722222222222224E-4</v>
      </c>
      <c r="I4354" s="118">
        <v>9.1435185185185185E-4</v>
      </c>
      <c r="J4354" s="118">
        <v>5.0462962962962961E-3</v>
      </c>
      <c r="K4354" s="118">
        <v>5.0462962962962961E-3</v>
      </c>
    </row>
    <row r="4355" spans="1:11" x14ac:dyDescent="0.25">
      <c r="A4355">
        <v>4</v>
      </c>
      <c r="B4355">
        <v>16</v>
      </c>
      <c r="C4355"/>
      <c r="D4355" t="s">
        <v>31</v>
      </c>
      <c r="E4355" t="s">
        <v>32</v>
      </c>
      <c r="F4355" t="s">
        <v>41</v>
      </c>
      <c r="G4355" s="118">
        <v>0.77112268518518512</v>
      </c>
      <c r="H4355" s="118">
        <v>3.4722222222222224E-4</v>
      </c>
      <c r="I4355" s="118">
        <v>8.564814814814815E-4</v>
      </c>
      <c r="J4355" s="118">
        <v>5.0462962962962961E-3</v>
      </c>
      <c r="K4355" s="118">
        <v>5.0462962962962961E-3</v>
      </c>
    </row>
    <row r="4356" spans="1:11" x14ac:dyDescent="0.25">
      <c r="A4356">
        <v>3</v>
      </c>
      <c r="B4356">
        <v>16</v>
      </c>
      <c r="C4356"/>
      <c r="D4356" t="s">
        <v>31</v>
      </c>
      <c r="E4356" t="s">
        <v>32</v>
      </c>
      <c r="F4356" t="s">
        <v>38</v>
      </c>
      <c r="G4356" s="118">
        <v>0.77113425925925927</v>
      </c>
      <c r="H4356" s="118">
        <v>3.4722222222222224E-4</v>
      </c>
      <c r="I4356" s="118">
        <v>1.2384259259259258E-3</v>
      </c>
      <c r="J4356" s="118">
        <v>5.0462962962962961E-3</v>
      </c>
      <c r="K4356" s="118">
        <v>5.0462962962962961E-3</v>
      </c>
    </row>
    <row r="4357" spans="1:11" x14ac:dyDescent="0.25">
      <c r="A4357">
        <v>2</v>
      </c>
      <c r="B4357">
        <v>16</v>
      </c>
      <c r="C4357"/>
      <c r="D4357" t="s">
        <v>31</v>
      </c>
      <c r="E4357" t="s">
        <v>35</v>
      </c>
      <c r="F4357" t="s">
        <v>55</v>
      </c>
      <c r="G4357" s="118">
        <v>0.77129629629629637</v>
      </c>
      <c r="H4357" s="118">
        <v>1.0069444444444444E-3</v>
      </c>
      <c r="I4357" s="118">
        <v>4.6296296296296293E-4</v>
      </c>
      <c r="J4357"/>
      <c r="K4357"/>
    </row>
    <row r="4358" spans="1:11" x14ac:dyDescent="0.25">
      <c r="A4358">
        <v>9</v>
      </c>
      <c r="B4358">
        <v>3</v>
      </c>
      <c r="C4358"/>
      <c r="D4358" t="s">
        <v>31</v>
      </c>
      <c r="E4358" t="s">
        <v>35</v>
      </c>
      <c r="F4358" t="s">
        <v>39</v>
      </c>
      <c r="G4358" s="118">
        <v>0.77140046296296294</v>
      </c>
      <c r="H4358" s="118">
        <v>9.3750000000000007E-4</v>
      </c>
      <c r="I4358" s="118">
        <v>5.2083333333333333E-4</v>
      </c>
      <c r="J4358"/>
      <c r="K4358"/>
    </row>
    <row r="4359" spans="1:11" x14ac:dyDescent="0.25">
      <c r="A4359">
        <v>8</v>
      </c>
      <c r="B4359">
        <v>3</v>
      </c>
      <c r="C4359"/>
      <c r="D4359" t="s">
        <v>31</v>
      </c>
      <c r="E4359" t="s">
        <v>35</v>
      </c>
      <c r="F4359" t="s">
        <v>50</v>
      </c>
      <c r="G4359" s="118">
        <v>0.77151620370370377</v>
      </c>
      <c r="H4359" s="118">
        <v>1.1458333333333333E-3</v>
      </c>
      <c r="I4359" s="118">
        <v>3.4722222222222224E-4</v>
      </c>
      <c r="J4359"/>
      <c r="K4359"/>
    </row>
    <row r="4360" spans="1:11" x14ac:dyDescent="0.25">
      <c r="A4360">
        <v>2</v>
      </c>
      <c r="B4360">
        <v>16</v>
      </c>
      <c r="C4360"/>
      <c r="D4360" t="s">
        <v>31</v>
      </c>
      <c r="E4360" t="s">
        <v>32</v>
      </c>
      <c r="F4360" t="s">
        <v>55</v>
      </c>
      <c r="G4360" s="118">
        <v>0.77175925925925926</v>
      </c>
      <c r="H4360" s="118">
        <v>4.6296296296296293E-4</v>
      </c>
      <c r="I4360" s="118">
        <v>4.3981481481481481E-4</v>
      </c>
      <c r="J4360" s="118">
        <v>5.0462962962962961E-3</v>
      </c>
      <c r="K4360" s="118">
        <v>5.0462962962962961E-3</v>
      </c>
    </row>
    <row r="4361" spans="1:11" x14ac:dyDescent="0.25">
      <c r="A4361">
        <v>8</v>
      </c>
      <c r="B4361">
        <v>3</v>
      </c>
      <c r="C4361"/>
      <c r="D4361" t="s">
        <v>31</v>
      </c>
      <c r="E4361" t="s">
        <v>32</v>
      </c>
      <c r="F4361" t="s">
        <v>50</v>
      </c>
      <c r="G4361" s="118">
        <v>0.77186342592592594</v>
      </c>
      <c r="H4361" s="118">
        <v>3.4722222222222224E-4</v>
      </c>
      <c r="I4361" s="118">
        <v>1.261574074074074E-3</v>
      </c>
      <c r="J4361" s="118">
        <v>5.0462962962962961E-3</v>
      </c>
      <c r="K4361" s="118">
        <v>5.0462962962962961E-3</v>
      </c>
    </row>
    <row r="4362" spans="1:11" x14ac:dyDescent="0.25">
      <c r="A4362">
        <v>5</v>
      </c>
      <c r="B4362">
        <v>16</v>
      </c>
      <c r="C4362"/>
      <c r="D4362" t="s">
        <v>31</v>
      </c>
      <c r="E4362" t="s">
        <v>35</v>
      </c>
      <c r="F4362" t="s">
        <v>48</v>
      </c>
      <c r="G4362" s="118">
        <v>0.77189814814814817</v>
      </c>
      <c r="H4362" s="118">
        <v>9.1435185185185185E-4</v>
      </c>
      <c r="I4362" s="118">
        <v>5.2083333333333333E-4</v>
      </c>
      <c r="J4362"/>
      <c r="K4362"/>
    </row>
    <row r="4363" spans="1:11" x14ac:dyDescent="0.25">
      <c r="A4363">
        <v>9</v>
      </c>
      <c r="B4363">
        <v>3</v>
      </c>
      <c r="C4363"/>
      <c r="D4363" t="s">
        <v>31</v>
      </c>
      <c r="E4363" t="s">
        <v>32</v>
      </c>
      <c r="F4363" t="s">
        <v>39</v>
      </c>
      <c r="G4363" s="118">
        <v>0.77192129629629624</v>
      </c>
      <c r="H4363" s="118">
        <v>5.2083333333333333E-4</v>
      </c>
      <c r="I4363" s="118">
        <v>1.8055555555555557E-3</v>
      </c>
      <c r="J4363" s="118">
        <v>5.0462962962962961E-3</v>
      </c>
      <c r="K4363" s="118">
        <v>5.0462962962962961E-3</v>
      </c>
    </row>
    <row r="4364" spans="1:11" x14ac:dyDescent="0.25">
      <c r="A4364">
        <v>4</v>
      </c>
      <c r="B4364">
        <v>16</v>
      </c>
      <c r="C4364"/>
      <c r="D4364" t="s">
        <v>31</v>
      </c>
      <c r="E4364" t="s">
        <v>35</v>
      </c>
      <c r="F4364" t="s">
        <v>47</v>
      </c>
      <c r="G4364" s="118">
        <v>0.77197916666666666</v>
      </c>
      <c r="H4364" s="118">
        <v>8.564814814814815E-4</v>
      </c>
      <c r="I4364" s="118">
        <v>5.2083333333333333E-4</v>
      </c>
      <c r="J4364"/>
      <c r="K4364"/>
    </row>
    <row r="4365" spans="1:11" x14ac:dyDescent="0.25">
      <c r="A4365">
        <v>1</v>
      </c>
      <c r="B4365">
        <v>15</v>
      </c>
      <c r="C4365"/>
      <c r="D4365" t="s">
        <v>31</v>
      </c>
      <c r="E4365" t="s">
        <v>35</v>
      </c>
      <c r="F4365" t="s">
        <v>33</v>
      </c>
      <c r="G4365" s="118">
        <v>0.77214120370370365</v>
      </c>
      <c r="H4365" s="118">
        <v>1.3541666666666667E-3</v>
      </c>
      <c r="I4365" s="118">
        <v>5.2083333333333333E-4</v>
      </c>
      <c r="J4365"/>
      <c r="K4365"/>
    </row>
    <row r="4366" spans="1:11" x14ac:dyDescent="0.25">
      <c r="A4366">
        <v>2</v>
      </c>
      <c r="B4366">
        <v>16</v>
      </c>
      <c r="C4366"/>
      <c r="D4366" t="s">
        <v>31</v>
      </c>
      <c r="E4366" t="s">
        <v>35</v>
      </c>
      <c r="F4366" t="s">
        <v>58</v>
      </c>
      <c r="G4366" s="118">
        <v>0.77219907407407407</v>
      </c>
      <c r="H4366" s="118">
        <v>4.3981481481481481E-4</v>
      </c>
      <c r="I4366" s="118">
        <v>5.7870370370370366E-5</v>
      </c>
      <c r="J4366"/>
      <c r="K4366"/>
    </row>
    <row r="4367" spans="1:11" x14ac:dyDescent="0.25">
      <c r="A4367">
        <v>2</v>
      </c>
      <c r="B4367">
        <v>16</v>
      </c>
      <c r="C4367"/>
      <c r="D4367" t="s">
        <v>31</v>
      </c>
      <c r="E4367" t="s">
        <v>32</v>
      </c>
      <c r="F4367" t="s">
        <v>58</v>
      </c>
      <c r="G4367" s="118">
        <v>0.77225694444444448</v>
      </c>
      <c r="H4367" s="118">
        <v>5.7870370370370366E-5</v>
      </c>
      <c r="I4367" s="118">
        <v>4.8611111111111104E-4</v>
      </c>
      <c r="J4367" s="118">
        <v>5.0462962962962961E-3</v>
      </c>
      <c r="K4367" s="118">
        <v>5.0462962962962961E-3</v>
      </c>
    </row>
    <row r="4368" spans="1:11" x14ac:dyDescent="0.25">
      <c r="A4368">
        <v>3</v>
      </c>
      <c r="B4368">
        <v>16</v>
      </c>
      <c r="C4368"/>
      <c r="D4368" t="s">
        <v>31</v>
      </c>
      <c r="E4368" t="s">
        <v>35</v>
      </c>
      <c r="F4368" t="s">
        <v>45</v>
      </c>
      <c r="G4368" s="118">
        <v>0.7723726851851852</v>
      </c>
      <c r="H4368" s="118">
        <v>1.2384259259259258E-3</v>
      </c>
      <c r="I4368" s="118">
        <v>3.4722222222222224E-4</v>
      </c>
      <c r="J4368"/>
      <c r="K4368"/>
    </row>
    <row r="4369" spans="1:11" x14ac:dyDescent="0.25">
      <c r="A4369">
        <v>5</v>
      </c>
      <c r="B4369">
        <v>16</v>
      </c>
      <c r="C4369"/>
      <c r="D4369" t="s">
        <v>31</v>
      </c>
      <c r="E4369" t="s">
        <v>32</v>
      </c>
      <c r="F4369" t="s">
        <v>48</v>
      </c>
      <c r="G4369" s="118">
        <v>0.77241898148148147</v>
      </c>
      <c r="H4369" s="118">
        <v>5.2083333333333333E-4</v>
      </c>
      <c r="I4369" s="118">
        <v>8.6805555555555551E-4</v>
      </c>
      <c r="J4369" s="118">
        <v>5.0462962962962961E-3</v>
      </c>
      <c r="K4369" s="118">
        <v>5.0462962962962961E-3</v>
      </c>
    </row>
    <row r="4370" spans="1:11" x14ac:dyDescent="0.25">
      <c r="A4370">
        <v>4</v>
      </c>
      <c r="B4370">
        <v>16</v>
      </c>
      <c r="C4370"/>
      <c r="D4370" t="s">
        <v>31</v>
      </c>
      <c r="E4370" t="s">
        <v>32</v>
      </c>
      <c r="F4370" t="s">
        <v>47</v>
      </c>
      <c r="G4370" s="118">
        <v>0.77249999999999996</v>
      </c>
      <c r="H4370" s="118">
        <v>5.2083333333333333E-4</v>
      </c>
      <c r="I4370" s="118">
        <v>8.7962962962962962E-4</v>
      </c>
      <c r="J4370" s="118">
        <v>5.0462962962962961E-3</v>
      </c>
      <c r="K4370" s="118">
        <v>5.0462962962962961E-3</v>
      </c>
    </row>
    <row r="4371" spans="1:11" x14ac:dyDescent="0.25">
      <c r="A4371">
        <v>1</v>
      </c>
      <c r="B4371">
        <v>15</v>
      </c>
      <c r="C4371"/>
      <c r="D4371" t="s">
        <v>31</v>
      </c>
      <c r="E4371" t="s">
        <v>32</v>
      </c>
      <c r="F4371" t="s">
        <v>33</v>
      </c>
      <c r="G4371" s="118">
        <v>0.77266203703703706</v>
      </c>
      <c r="H4371" s="118">
        <v>5.2083333333333333E-4</v>
      </c>
      <c r="I4371" s="118">
        <v>9.6064814814814808E-4</v>
      </c>
      <c r="J4371" s="118">
        <v>5.0462962962962961E-3</v>
      </c>
      <c r="K4371" s="118">
        <v>5.0462962962962961E-3</v>
      </c>
    </row>
    <row r="4372" spans="1:11" x14ac:dyDescent="0.25">
      <c r="A4372">
        <v>3</v>
      </c>
      <c r="B4372">
        <v>16</v>
      </c>
      <c r="C4372"/>
      <c r="D4372" t="s">
        <v>31</v>
      </c>
      <c r="E4372" t="s">
        <v>32</v>
      </c>
      <c r="F4372" t="s">
        <v>45</v>
      </c>
      <c r="G4372" s="118">
        <v>0.77271990740740737</v>
      </c>
      <c r="H4372" s="118">
        <v>3.4722222222222224E-4</v>
      </c>
      <c r="I4372" s="118">
        <v>1.0416666666666667E-3</v>
      </c>
      <c r="J4372" s="118">
        <v>5.0462962962962961E-3</v>
      </c>
      <c r="K4372" s="118">
        <v>5.0462962962962961E-3</v>
      </c>
    </row>
    <row r="4373" spans="1:11" x14ac:dyDescent="0.25">
      <c r="A4373">
        <v>2</v>
      </c>
      <c r="B4373">
        <v>16</v>
      </c>
      <c r="C4373"/>
      <c r="D4373" t="s">
        <v>31</v>
      </c>
      <c r="E4373" t="s">
        <v>35</v>
      </c>
      <c r="F4373" t="s">
        <v>40</v>
      </c>
      <c r="G4373" s="118">
        <v>0.77274305555555556</v>
      </c>
      <c r="H4373" s="118">
        <v>4.8611111111111104E-4</v>
      </c>
      <c r="I4373" s="118">
        <v>4.6296296296296293E-4</v>
      </c>
      <c r="J4373"/>
      <c r="K4373"/>
    </row>
    <row r="4374" spans="1:11" x14ac:dyDescent="0.25">
      <c r="A4374">
        <v>8</v>
      </c>
      <c r="B4374">
        <v>3</v>
      </c>
      <c r="C4374"/>
      <c r="D4374" t="s">
        <v>31</v>
      </c>
      <c r="E4374" t="s">
        <v>35</v>
      </c>
      <c r="F4374" t="s">
        <v>56</v>
      </c>
      <c r="G4374" s="118">
        <v>0.77312499999999995</v>
      </c>
      <c r="H4374" s="118">
        <v>1.261574074074074E-3</v>
      </c>
      <c r="I4374" s="118">
        <v>3.4722222222222224E-4</v>
      </c>
      <c r="J4374"/>
      <c r="K4374"/>
    </row>
    <row r="4375" spans="1:11" x14ac:dyDescent="0.25">
      <c r="A4375">
        <v>2</v>
      </c>
      <c r="B4375">
        <v>16</v>
      </c>
      <c r="C4375"/>
      <c r="D4375" t="s">
        <v>31</v>
      </c>
      <c r="E4375" t="s">
        <v>32</v>
      </c>
      <c r="F4375" t="s">
        <v>40</v>
      </c>
      <c r="G4375" s="118">
        <v>0.77320601851851845</v>
      </c>
      <c r="H4375" s="118">
        <v>4.6296296296296293E-4</v>
      </c>
      <c r="I4375" s="118">
        <v>1.0069444444444444E-3</v>
      </c>
      <c r="J4375" s="118">
        <v>5.0462962962962961E-3</v>
      </c>
      <c r="K4375" s="118">
        <v>5.0462962962962961E-3</v>
      </c>
    </row>
    <row r="4376" spans="1:11" x14ac:dyDescent="0.25">
      <c r="A4376">
        <v>5</v>
      </c>
      <c r="B4376">
        <v>16</v>
      </c>
      <c r="C4376"/>
      <c r="D4376" t="s">
        <v>31</v>
      </c>
      <c r="E4376" t="s">
        <v>35</v>
      </c>
      <c r="F4376" t="s">
        <v>54</v>
      </c>
      <c r="G4376" s="118">
        <v>0.77328703703703694</v>
      </c>
      <c r="H4376" s="118">
        <v>8.6805555555555551E-4</v>
      </c>
      <c r="I4376" s="118">
        <v>3.4722222222222224E-4</v>
      </c>
      <c r="J4376"/>
      <c r="K4376"/>
    </row>
    <row r="4377" spans="1:11" x14ac:dyDescent="0.25">
      <c r="A4377">
        <v>4</v>
      </c>
      <c r="B4377">
        <v>16</v>
      </c>
      <c r="C4377"/>
      <c r="D4377" t="s">
        <v>31</v>
      </c>
      <c r="E4377" t="s">
        <v>35</v>
      </c>
      <c r="F4377" t="s">
        <v>53</v>
      </c>
      <c r="G4377" s="118">
        <v>0.77337962962962958</v>
      </c>
      <c r="H4377" s="118">
        <v>8.7962962962962962E-4</v>
      </c>
      <c r="I4377" s="118">
        <v>3.4722222222222224E-4</v>
      </c>
      <c r="J4377"/>
      <c r="K4377"/>
    </row>
    <row r="4378" spans="1:11" x14ac:dyDescent="0.25">
      <c r="A4378">
        <v>8</v>
      </c>
      <c r="B4378">
        <v>3</v>
      </c>
      <c r="C4378"/>
      <c r="D4378" t="s">
        <v>31</v>
      </c>
      <c r="E4378" t="s">
        <v>32</v>
      </c>
      <c r="F4378" t="s">
        <v>56</v>
      </c>
      <c r="G4378" s="118">
        <v>0.77347222222222223</v>
      </c>
      <c r="H4378" s="118">
        <v>3.4722222222222224E-4</v>
      </c>
      <c r="I4378" s="118">
        <v>9.6064814814814808E-4</v>
      </c>
      <c r="J4378" s="118">
        <v>5.0462962962962961E-3</v>
      </c>
      <c r="K4378" s="118">
        <v>5.0462962962962961E-3</v>
      </c>
    </row>
    <row r="4379" spans="1:11" x14ac:dyDescent="0.25">
      <c r="A4379">
        <v>1</v>
      </c>
      <c r="B4379">
        <v>15</v>
      </c>
      <c r="C4379"/>
      <c r="D4379" t="s">
        <v>31</v>
      </c>
      <c r="E4379" t="s">
        <v>35</v>
      </c>
      <c r="F4379" t="s">
        <v>36</v>
      </c>
      <c r="G4379" s="118">
        <v>0.77362268518518518</v>
      </c>
      <c r="H4379" s="118">
        <v>9.6064814814814808E-4</v>
      </c>
      <c r="I4379" s="118">
        <v>3.4722222222222224E-4</v>
      </c>
      <c r="J4379"/>
      <c r="K4379"/>
    </row>
    <row r="4380" spans="1:11" x14ac:dyDescent="0.25">
      <c r="A4380">
        <v>5</v>
      </c>
      <c r="B4380">
        <v>16</v>
      </c>
      <c r="C4380"/>
      <c r="D4380" t="s">
        <v>31</v>
      </c>
      <c r="E4380" t="s">
        <v>32</v>
      </c>
      <c r="F4380" t="s">
        <v>54</v>
      </c>
      <c r="G4380" s="118">
        <v>0.77363425925925933</v>
      </c>
      <c r="H4380" s="118">
        <v>3.4722222222222224E-4</v>
      </c>
      <c r="I4380" s="118">
        <v>6.5972222222222213E-4</v>
      </c>
      <c r="J4380" s="118">
        <v>5.0462962962962961E-3</v>
      </c>
      <c r="K4380" s="118">
        <v>5.0462962962962961E-3</v>
      </c>
    </row>
    <row r="4381" spans="1:11" x14ac:dyDescent="0.25">
      <c r="A4381">
        <v>4</v>
      </c>
      <c r="B4381">
        <v>16</v>
      </c>
      <c r="C4381"/>
      <c r="D4381" t="s">
        <v>31</v>
      </c>
      <c r="E4381" t="s">
        <v>32</v>
      </c>
      <c r="F4381" t="s">
        <v>53</v>
      </c>
      <c r="G4381" s="118">
        <v>0.77372685185185175</v>
      </c>
      <c r="H4381" s="118">
        <v>3.4722222222222224E-4</v>
      </c>
      <c r="I4381" s="118">
        <v>8.449074074074075E-4</v>
      </c>
      <c r="J4381" s="118">
        <v>5.0462962962962961E-3</v>
      </c>
      <c r="K4381" s="118">
        <v>5.0462962962962961E-3</v>
      </c>
    </row>
    <row r="4382" spans="1:11" x14ac:dyDescent="0.25">
      <c r="A4382">
        <v>9</v>
      </c>
      <c r="B4382">
        <v>3</v>
      </c>
      <c r="C4382"/>
      <c r="D4382" t="s">
        <v>31</v>
      </c>
      <c r="E4382" t="s">
        <v>35</v>
      </c>
      <c r="F4382" t="s">
        <v>46</v>
      </c>
      <c r="G4382" s="118">
        <v>0.77372685185185175</v>
      </c>
      <c r="H4382" s="118">
        <v>1.8055555555555557E-3</v>
      </c>
      <c r="I4382" s="118">
        <v>3.4722222222222224E-4</v>
      </c>
      <c r="J4382"/>
      <c r="K4382"/>
    </row>
    <row r="4383" spans="1:11" x14ac:dyDescent="0.25">
      <c r="A4383">
        <v>3</v>
      </c>
      <c r="B4383">
        <v>16</v>
      </c>
      <c r="C4383"/>
      <c r="D4383" t="s">
        <v>31</v>
      </c>
      <c r="E4383" t="s">
        <v>35</v>
      </c>
      <c r="F4383" t="s">
        <v>52</v>
      </c>
      <c r="G4383" s="118">
        <v>0.77376157407407409</v>
      </c>
      <c r="H4383" s="118">
        <v>1.0416666666666667E-3</v>
      </c>
      <c r="I4383" s="118">
        <v>3.4722222222222224E-4</v>
      </c>
      <c r="J4383"/>
      <c r="K4383"/>
    </row>
    <row r="4384" spans="1:11" x14ac:dyDescent="0.25">
      <c r="A4384">
        <v>1</v>
      </c>
      <c r="B4384">
        <v>15</v>
      </c>
      <c r="C4384"/>
      <c r="D4384" t="s">
        <v>31</v>
      </c>
      <c r="E4384" t="s">
        <v>32</v>
      </c>
      <c r="F4384" t="s">
        <v>36</v>
      </c>
      <c r="G4384" s="118">
        <v>0.77396990740740745</v>
      </c>
      <c r="H4384" s="118">
        <v>3.4722222222222224E-4</v>
      </c>
      <c r="I4384" s="118">
        <v>1.0995370370370371E-3</v>
      </c>
      <c r="J4384" s="118">
        <v>5.0462962962962961E-3</v>
      </c>
      <c r="K4384" s="118">
        <v>5.0462962962962961E-3</v>
      </c>
    </row>
    <row r="4385" spans="1:11" x14ac:dyDescent="0.25">
      <c r="A4385">
        <v>9</v>
      </c>
      <c r="B4385">
        <v>3</v>
      </c>
      <c r="C4385"/>
      <c r="D4385" t="s">
        <v>31</v>
      </c>
      <c r="E4385" t="s">
        <v>32</v>
      </c>
      <c r="F4385" t="s">
        <v>46</v>
      </c>
      <c r="G4385" s="118">
        <v>0.77407407407407414</v>
      </c>
      <c r="H4385" s="118">
        <v>3.4722222222222224E-4</v>
      </c>
      <c r="I4385" s="118">
        <v>9.1435185185185185E-4</v>
      </c>
      <c r="J4385" s="118">
        <v>5.0462962962962961E-3</v>
      </c>
      <c r="K4385" s="118">
        <v>5.0462962962962961E-3</v>
      </c>
    </row>
    <row r="4386" spans="1:11" x14ac:dyDescent="0.25">
      <c r="A4386">
        <v>3</v>
      </c>
      <c r="B4386">
        <v>16</v>
      </c>
      <c r="C4386"/>
      <c r="D4386" t="s">
        <v>31</v>
      </c>
      <c r="E4386" t="s">
        <v>32</v>
      </c>
      <c r="F4386" t="s">
        <v>52</v>
      </c>
      <c r="G4386" s="118">
        <v>0.77410879629629636</v>
      </c>
      <c r="H4386" s="118">
        <v>3.4722222222222224E-4</v>
      </c>
      <c r="I4386" s="118">
        <v>1.0532407407407407E-3</v>
      </c>
      <c r="J4386" s="118">
        <v>5.0462962962962961E-3</v>
      </c>
      <c r="K4386" s="118">
        <v>5.0462962962962961E-3</v>
      </c>
    </row>
    <row r="4387" spans="1:11" x14ac:dyDescent="0.25">
      <c r="A4387">
        <v>2</v>
      </c>
      <c r="B4387">
        <v>16</v>
      </c>
      <c r="C4387"/>
      <c r="D4387" t="s">
        <v>31</v>
      </c>
      <c r="E4387" t="s">
        <v>35</v>
      </c>
      <c r="F4387" t="s">
        <v>44</v>
      </c>
      <c r="G4387" s="118">
        <v>0.77421296296296294</v>
      </c>
      <c r="H4387" s="118">
        <v>1.0069444444444444E-3</v>
      </c>
      <c r="I4387" s="118">
        <v>3.4722222222222224E-4</v>
      </c>
      <c r="J4387"/>
      <c r="K4387"/>
    </row>
    <row r="4388" spans="1:11" x14ac:dyDescent="0.25">
      <c r="A4388">
        <v>5</v>
      </c>
      <c r="B4388">
        <v>16</v>
      </c>
      <c r="C4388"/>
      <c r="D4388" t="s">
        <v>31</v>
      </c>
      <c r="E4388" t="s">
        <v>35</v>
      </c>
      <c r="F4388" t="s">
        <v>92</v>
      </c>
      <c r="G4388" s="118">
        <v>0.77429398148148154</v>
      </c>
      <c r="H4388" s="118">
        <v>6.5972222222222213E-4</v>
      </c>
      <c r="I4388" s="118">
        <v>5.2083333333333333E-4</v>
      </c>
      <c r="J4388"/>
      <c r="K4388"/>
    </row>
    <row r="4389" spans="1:11" x14ac:dyDescent="0.25">
      <c r="A4389">
        <v>8</v>
      </c>
      <c r="B4389">
        <v>3</v>
      </c>
      <c r="C4389"/>
      <c r="D4389" t="s">
        <v>31</v>
      </c>
      <c r="E4389" t="s">
        <v>35</v>
      </c>
      <c r="F4389" t="s">
        <v>37</v>
      </c>
      <c r="G4389" s="118">
        <v>0.77443287037037034</v>
      </c>
      <c r="H4389" s="118">
        <v>9.6064814814814808E-4</v>
      </c>
      <c r="I4389" s="118">
        <v>3.4722222222222224E-4</v>
      </c>
      <c r="J4389"/>
      <c r="K4389"/>
    </row>
    <row r="4390" spans="1:11" x14ac:dyDescent="0.25">
      <c r="A4390">
        <v>2</v>
      </c>
      <c r="B4390">
        <v>16</v>
      </c>
      <c r="C4390"/>
      <c r="D4390" t="s">
        <v>31</v>
      </c>
      <c r="E4390" t="s">
        <v>32</v>
      </c>
      <c r="F4390" t="s">
        <v>44</v>
      </c>
      <c r="G4390" s="118">
        <v>0.77456018518518521</v>
      </c>
      <c r="H4390" s="118">
        <v>3.4722222222222224E-4</v>
      </c>
      <c r="I4390" s="118">
        <v>9.2592592592592585E-4</v>
      </c>
      <c r="J4390" s="118">
        <v>5.0462962962962961E-3</v>
      </c>
      <c r="K4390" s="118">
        <v>5.0462962962962961E-3</v>
      </c>
    </row>
    <row r="4391" spans="1:11" x14ac:dyDescent="0.25">
      <c r="A4391">
        <v>4</v>
      </c>
      <c r="B4391">
        <v>16</v>
      </c>
      <c r="C4391"/>
      <c r="D4391" t="s">
        <v>31</v>
      </c>
      <c r="E4391" t="s">
        <v>35</v>
      </c>
      <c r="F4391" t="s">
        <v>34</v>
      </c>
      <c r="G4391" s="118">
        <v>0.77457175925925925</v>
      </c>
      <c r="H4391" s="118">
        <v>8.449074074074075E-4</v>
      </c>
      <c r="I4391" s="118">
        <v>3.4722222222222224E-4</v>
      </c>
      <c r="J4391"/>
      <c r="K4391"/>
    </row>
    <row r="4392" spans="1:11" x14ac:dyDescent="0.25">
      <c r="A4392">
        <v>8</v>
      </c>
      <c r="B4392">
        <v>3</v>
      </c>
      <c r="C4392"/>
      <c r="D4392" t="s">
        <v>31</v>
      </c>
      <c r="E4392" t="s">
        <v>32</v>
      </c>
      <c r="F4392" t="s">
        <v>37</v>
      </c>
      <c r="G4392" s="118">
        <v>0.77478009259259262</v>
      </c>
      <c r="H4392" s="118">
        <v>3.4722222222222224E-4</v>
      </c>
      <c r="I4392" s="118">
        <v>9.0277777777777784E-4</v>
      </c>
      <c r="J4392" s="118">
        <v>5.0462962962962961E-3</v>
      </c>
      <c r="K4392" s="118">
        <v>5.0462962962962961E-3</v>
      </c>
    </row>
    <row r="4393" spans="1:11" x14ac:dyDescent="0.25">
      <c r="A4393">
        <v>5</v>
      </c>
      <c r="B4393">
        <v>17</v>
      </c>
      <c r="C4393"/>
      <c r="D4393" t="s">
        <v>31</v>
      </c>
      <c r="E4393" t="s">
        <v>32</v>
      </c>
      <c r="F4393" t="s">
        <v>92</v>
      </c>
      <c r="G4393" s="118">
        <v>0.77481481481481485</v>
      </c>
      <c r="H4393" s="118">
        <v>5.2083333333333333E-4</v>
      </c>
      <c r="I4393" s="118">
        <v>1.0069444444444444E-3</v>
      </c>
      <c r="J4393" s="118">
        <v>5.0462962962962961E-3</v>
      </c>
      <c r="K4393" s="118">
        <v>5.0462962962962961E-3</v>
      </c>
    </row>
    <row r="4394" spans="1:11" x14ac:dyDescent="0.25">
      <c r="A4394">
        <v>4</v>
      </c>
      <c r="B4394">
        <v>16</v>
      </c>
      <c r="C4394"/>
      <c r="D4394" t="s">
        <v>31</v>
      </c>
      <c r="E4394" t="s">
        <v>32</v>
      </c>
      <c r="F4394" t="s">
        <v>34</v>
      </c>
      <c r="G4394" s="118">
        <v>0.77491898148148142</v>
      </c>
      <c r="H4394" s="118">
        <v>3.4722222222222224E-4</v>
      </c>
      <c r="I4394" s="118">
        <v>9.1435185185185185E-4</v>
      </c>
      <c r="J4394" s="118">
        <v>5.0462962962962961E-3</v>
      </c>
      <c r="K4394" s="118">
        <v>5.0462962962962961E-3</v>
      </c>
    </row>
    <row r="4395" spans="1:11" x14ac:dyDescent="0.25">
      <c r="A4395">
        <v>9</v>
      </c>
      <c r="B4395">
        <v>3</v>
      </c>
      <c r="C4395"/>
      <c r="D4395" t="s">
        <v>31</v>
      </c>
      <c r="E4395" t="s">
        <v>35</v>
      </c>
      <c r="F4395" t="s">
        <v>51</v>
      </c>
      <c r="G4395" s="118">
        <v>0.77498842592592598</v>
      </c>
      <c r="H4395" s="118">
        <v>9.1435185185185185E-4</v>
      </c>
      <c r="I4395" s="118">
        <v>3.4722222222222224E-4</v>
      </c>
      <c r="J4395"/>
      <c r="K4395"/>
    </row>
    <row r="4396" spans="1:11" x14ac:dyDescent="0.25">
      <c r="A4396">
        <v>1</v>
      </c>
      <c r="B4396">
        <v>15</v>
      </c>
      <c r="C4396"/>
      <c r="D4396" t="s">
        <v>31</v>
      </c>
      <c r="E4396" t="s">
        <v>35</v>
      </c>
      <c r="F4396" t="s">
        <v>43</v>
      </c>
      <c r="G4396" s="118">
        <v>0.77506944444444448</v>
      </c>
      <c r="H4396" s="118">
        <v>1.0995370370370371E-3</v>
      </c>
      <c r="I4396" s="118">
        <v>3.4722222222222224E-4</v>
      </c>
      <c r="J4396"/>
      <c r="K4396"/>
    </row>
    <row r="4397" spans="1:11" x14ac:dyDescent="0.25">
      <c r="A4397">
        <v>3</v>
      </c>
      <c r="B4397">
        <v>16</v>
      </c>
      <c r="C4397"/>
      <c r="D4397" t="s">
        <v>31</v>
      </c>
      <c r="E4397" t="s">
        <v>35</v>
      </c>
      <c r="F4397" t="s">
        <v>57</v>
      </c>
      <c r="G4397" s="118">
        <v>0.77516203703703701</v>
      </c>
      <c r="H4397" s="118">
        <v>1.0532407407407407E-3</v>
      </c>
      <c r="I4397" s="118">
        <v>3.4722222222222224E-4</v>
      </c>
      <c r="J4397"/>
      <c r="K4397"/>
    </row>
    <row r="4398" spans="1:11" x14ac:dyDescent="0.25">
      <c r="A4398">
        <v>9</v>
      </c>
      <c r="B4398">
        <v>3</v>
      </c>
      <c r="C4398"/>
      <c r="D4398" t="s">
        <v>31</v>
      </c>
      <c r="E4398" t="s">
        <v>32</v>
      </c>
      <c r="F4398" t="s">
        <v>51</v>
      </c>
      <c r="G4398" s="118">
        <v>0.77533564814814815</v>
      </c>
      <c r="H4398" s="118">
        <v>3.4722222222222224E-4</v>
      </c>
      <c r="I4398" s="118">
        <v>1.0069444444444444E-3</v>
      </c>
      <c r="J4398" s="118">
        <v>5.0462962962962961E-3</v>
      </c>
      <c r="K4398" s="118">
        <v>5.0462962962962961E-3</v>
      </c>
    </row>
    <row r="4399" spans="1:11" x14ac:dyDescent="0.25">
      <c r="A4399">
        <v>1</v>
      </c>
      <c r="B4399">
        <v>15</v>
      </c>
      <c r="C4399"/>
      <c r="D4399" t="s">
        <v>31</v>
      </c>
      <c r="E4399" t="s">
        <v>32</v>
      </c>
      <c r="F4399" t="s">
        <v>43</v>
      </c>
      <c r="G4399" s="118">
        <v>0.77541666666666664</v>
      </c>
      <c r="H4399" s="118">
        <v>3.4722222222222224E-4</v>
      </c>
      <c r="I4399" s="118">
        <v>1.1458333333333333E-3</v>
      </c>
      <c r="J4399" s="118">
        <v>5.0462962962962961E-3</v>
      </c>
      <c r="K4399" s="118">
        <v>5.0462962962962961E-3</v>
      </c>
    </row>
    <row r="4400" spans="1:11" x14ac:dyDescent="0.25">
      <c r="A4400">
        <v>2</v>
      </c>
      <c r="B4400">
        <v>16</v>
      </c>
      <c r="C4400"/>
      <c r="D4400" t="s">
        <v>31</v>
      </c>
      <c r="E4400" t="s">
        <v>35</v>
      </c>
      <c r="F4400" t="s">
        <v>49</v>
      </c>
      <c r="G4400" s="118">
        <v>0.77548611111111121</v>
      </c>
      <c r="H4400" s="118">
        <v>9.2592592592592585E-4</v>
      </c>
      <c r="I4400" s="118">
        <v>3.4722222222222224E-4</v>
      </c>
      <c r="J4400"/>
      <c r="K4400"/>
    </row>
    <row r="4401" spans="1:11" x14ac:dyDescent="0.25">
      <c r="A4401">
        <v>3</v>
      </c>
      <c r="B4401">
        <v>16</v>
      </c>
      <c r="C4401"/>
      <c r="D4401" t="s">
        <v>31</v>
      </c>
      <c r="E4401" t="s">
        <v>32</v>
      </c>
      <c r="F4401" t="s">
        <v>57</v>
      </c>
      <c r="G4401" s="118">
        <v>0.77550925925925929</v>
      </c>
      <c r="H4401" s="118">
        <v>3.4722222222222224E-4</v>
      </c>
      <c r="I4401" s="118">
        <v>9.3750000000000007E-4</v>
      </c>
      <c r="J4401" s="118">
        <v>5.0462962962962961E-3</v>
      </c>
      <c r="K4401" s="118">
        <v>5.0462962962962961E-3</v>
      </c>
    </row>
    <row r="4402" spans="1:11" x14ac:dyDescent="0.25">
      <c r="A4402">
        <v>8</v>
      </c>
      <c r="B4402">
        <v>3</v>
      </c>
      <c r="C4402"/>
      <c r="D4402" t="s">
        <v>31</v>
      </c>
      <c r="E4402" t="s">
        <v>35</v>
      </c>
      <c r="F4402" t="s">
        <v>42</v>
      </c>
      <c r="G4402" s="118">
        <v>0.77568287037037031</v>
      </c>
      <c r="H4402" s="118">
        <v>9.0277777777777784E-4</v>
      </c>
      <c r="I4402" s="118">
        <v>3.4722222222222224E-4</v>
      </c>
      <c r="J4402"/>
      <c r="K4402"/>
    </row>
    <row r="4403" spans="1:11" x14ac:dyDescent="0.25">
      <c r="A4403">
        <v>5</v>
      </c>
      <c r="B4403">
        <v>17</v>
      </c>
      <c r="C4403"/>
      <c r="D4403" t="s">
        <v>31</v>
      </c>
      <c r="E4403" t="s">
        <v>35</v>
      </c>
      <c r="F4403" t="s">
        <v>41</v>
      </c>
      <c r="G4403" s="118">
        <v>0.77582175925925922</v>
      </c>
      <c r="H4403" s="118">
        <v>1.0069444444444444E-3</v>
      </c>
      <c r="I4403" s="118">
        <v>3.4722222222222224E-4</v>
      </c>
      <c r="J4403"/>
      <c r="K4403"/>
    </row>
    <row r="4404" spans="1:11" x14ac:dyDescent="0.25">
      <c r="A4404">
        <v>2</v>
      </c>
      <c r="B4404">
        <v>16</v>
      </c>
      <c r="C4404"/>
      <c r="D4404" t="s">
        <v>31</v>
      </c>
      <c r="E4404" t="s">
        <v>32</v>
      </c>
      <c r="F4404" t="s">
        <v>49</v>
      </c>
      <c r="G4404" s="118">
        <v>0.77583333333333337</v>
      </c>
      <c r="H4404" s="118">
        <v>3.4722222222222224E-4</v>
      </c>
      <c r="I4404" s="118">
        <v>1.3541666666666667E-3</v>
      </c>
      <c r="J4404" s="118">
        <v>5.0462962962962961E-3</v>
      </c>
      <c r="K4404" s="118">
        <v>5.0462962962962961E-3</v>
      </c>
    </row>
    <row r="4405" spans="1:11" x14ac:dyDescent="0.25">
      <c r="A4405">
        <v>4</v>
      </c>
      <c r="B4405">
        <v>16</v>
      </c>
      <c r="C4405"/>
      <c r="D4405" t="s">
        <v>31</v>
      </c>
      <c r="E4405" t="s">
        <v>35</v>
      </c>
      <c r="F4405" t="s">
        <v>38</v>
      </c>
      <c r="G4405" s="118">
        <v>0.77583333333333337</v>
      </c>
      <c r="H4405" s="118">
        <v>9.1435185185185185E-4</v>
      </c>
      <c r="I4405" s="118">
        <v>3.4722222222222224E-4</v>
      </c>
      <c r="J4405"/>
      <c r="K4405"/>
    </row>
    <row r="4406" spans="1:11" x14ac:dyDescent="0.25">
      <c r="A4406">
        <v>8</v>
      </c>
      <c r="B4406">
        <v>3</v>
      </c>
      <c r="C4406"/>
      <c r="D4406" t="s">
        <v>31</v>
      </c>
      <c r="E4406" t="s">
        <v>32</v>
      </c>
      <c r="F4406" t="s">
        <v>42</v>
      </c>
      <c r="G4406" s="118">
        <v>0.77603009259259259</v>
      </c>
      <c r="H4406" s="118">
        <v>3.4722222222222224E-4</v>
      </c>
      <c r="I4406" s="118">
        <v>9.1435185185185185E-4</v>
      </c>
      <c r="J4406" s="118">
        <v>5.0462962962962961E-3</v>
      </c>
      <c r="K4406" s="118">
        <v>5.0462962962962961E-3</v>
      </c>
    </row>
    <row r="4407" spans="1:11" x14ac:dyDescent="0.25">
      <c r="A4407">
        <v>5</v>
      </c>
      <c r="B4407">
        <v>17</v>
      </c>
      <c r="C4407"/>
      <c r="D4407" t="s">
        <v>31</v>
      </c>
      <c r="E4407" t="s">
        <v>32</v>
      </c>
      <c r="F4407" t="s">
        <v>41</v>
      </c>
      <c r="G4407" s="118">
        <v>0.7761689814814815</v>
      </c>
      <c r="H4407" s="118">
        <v>3.4722222222222224E-4</v>
      </c>
      <c r="I4407" s="118">
        <v>8.564814814814815E-4</v>
      </c>
      <c r="J4407" s="118">
        <v>5.0462962962962961E-3</v>
      </c>
      <c r="K4407" s="118">
        <v>5.0462962962962961E-3</v>
      </c>
    </row>
    <row r="4408" spans="1:11" x14ac:dyDescent="0.25">
      <c r="A4408">
        <v>4</v>
      </c>
      <c r="B4408">
        <v>16</v>
      </c>
      <c r="C4408"/>
      <c r="D4408" t="s">
        <v>31</v>
      </c>
      <c r="E4408" t="s">
        <v>32</v>
      </c>
      <c r="F4408" t="s">
        <v>38</v>
      </c>
      <c r="G4408" s="118">
        <v>0.77618055555555554</v>
      </c>
      <c r="H4408" s="118">
        <v>3.4722222222222224E-4</v>
      </c>
      <c r="I4408" s="118">
        <v>1.2384259259259258E-3</v>
      </c>
      <c r="J4408" s="118">
        <v>5.0462962962962961E-3</v>
      </c>
      <c r="K4408" s="118">
        <v>5.0462962962962961E-3</v>
      </c>
    </row>
    <row r="4409" spans="1:11" x14ac:dyDescent="0.25">
      <c r="A4409">
        <v>9</v>
      </c>
      <c r="B4409">
        <v>3</v>
      </c>
      <c r="C4409"/>
      <c r="D4409" t="s">
        <v>31</v>
      </c>
      <c r="E4409" t="s">
        <v>35</v>
      </c>
      <c r="F4409" t="s">
        <v>55</v>
      </c>
      <c r="G4409" s="118">
        <v>0.77634259259259253</v>
      </c>
      <c r="H4409" s="118">
        <v>1.0069444444444444E-3</v>
      </c>
      <c r="I4409" s="118">
        <v>4.6296296296296293E-4</v>
      </c>
      <c r="J4409"/>
      <c r="K4409"/>
    </row>
    <row r="4410" spans="1:11" x14ac:dyDescent="0.25">
      <c r="A4410">
        <v>3</v>
      </c>
      <c r="B4410">
        <v>16</v>
      </c>
      <c r="C4410"/>
      <c r="D4410" t="s">
        <v>31</v>
      </c>
      <c r="E4410" t="s">
        <v>35</v>
      </c>
      <c r="F4410" t="s">
        <v>39</v>
      </c>
      <c r="G4410" s="118">
        <v>0.77644675925925932</v>
      </c>
      <c r="H4410" s="118">
        <v>9.3750000000000007E-4</v>
      </c>
      <c r="I4410" s="118">
        <v>5.2083333333333333E-4</v>
      </c>
      <c r="J4410"/>
      <c r="K4410"/>
    </row>
    <row r="4411" spans="1:11" x14ac:dyDescent="0.25">
      <c r="A4411">
        <v>1</v>
      </c>
      <c r="B4411">
        <v>15</v>
      </c>
      <c r="C4411"/>
      <c r="D4411" t="s">
        <v>31</v>
      </c>
      <c r="E4411" t="s">
        <v>35</v>
      </c>
      <c r="F4411" t="s">
        <v>50</v>
      </c>
      <c r="G4411" s="118">
        <v>0.77656249999999993</v>
      </c>
      <c r="H4411" s="118">
        <v>1.1458333333333333E-3</v>
      </c>
      <c r="I4411" s="118">
        <v>3.4722222222222224E-4</v>
      </c>
      <c r="J4411"/>
      <c r="K4411"/>
    </row>
    <row r="4412" spans="1:11" x14ac:dyDescent="0.25">
      <c r="A4412">
        <v>9</v>
      </c>
      <c r="B4412">
        <v>3</v>
      </c>
      <c r="C4412"/>
      <c r="D4412" t="s">
        <v>31</v>
      </c>
      <c r="E4412" t="s">
        <v>32</v>
      </c>
      <c r="F4412" t="s">
        <v>55</v>
      </c>
      <c r="G4412" s="118">
        <v>0.77680555555555564</v>
      </c>
      <c r="H4412" s="118">
        <v>4.6296296296296293E-4</v>
      </c>
      <c r="I4412" s="118">
        <v>4.3981481481481481E-4</v>
      </c>
      <c r="J4412" s="118">
        <v>5.0462962962962961E-3</v>
      </c>
      <c r="K4412" s="118">
        <v>5.0462962962962961E-3</v>
      </c>
    </row>
    <row r="4413" spans="1:11" x14ac:dyDescent="0.25">
      <c r="A4413">
        <v>1</v>
      </c>
      <c r="B4413">
        <v>15</v>
      </c>
      <c r="C4413"/>
      <c r="D4413" t="s">
        <v>31</v>
      </c>
      <c r="E4413" t="s">
        <v>32</v>
      </c>
      <c r="F4413" t="s">
        <v>50</v>
      </c>
      <c r="G4413" s="118">
        <v>0.77690972222222221</v>
      </c>
      <c r="H4413" s="118">
        <v>3.4722222222222224E-4</v>
      </c>
      <c r="I4413" s="118">
        <v>1.261574074074074E-3</v>
      </c>
      <c r="J4413" s="118">
        <v>5.0462962962962961E-3</v>
      </c>
      <c r="K4413" s="118">
        <v>5.0462962962962961E-3</v>
      </c>
    </row>
    <row r="4414" spans="1:11" x14ac:dyDescent="0.25">
      <c r="A4414">
        <v>8</v>
      </c>
      <c r="B4414">
        <v>3</v>
      </c>
      <c r="C4414"/>
      <c r="D4414" t="s">
        <v>31</v>
      </c>
      <c r="E4414" t="s">
        <v>35</v>
      </c>
      <c r="F4414" t="s">
        <v>48</v>
      </c>
      <c r="G4414" s="118">
        <v>0.77694444444444455</v>
      </c>
      <c r="H4414" s="118">
        <v>9.1435185185185185E-4</v>
      </c>
      <c r="I4414" s="118">
        <v>5.2083333333333333E-4</v>
      </c>
      <c r="J4414"/>
      <c r="K4414"/>
    </row>
    <row r="4415" spans="1:11" x14ac:dyDescent="0.25">
      <c r="A4415">
        <v>3</v>
      </c>
      <c r="B4415">
        <v>16</v>
      </c>
      <c r="C4415"/>
      <c r="D4415" t="s">
        <v>31</v>
      </c>
      <c r="E4415" t="s">
        <v>32</v>
      </c>
      <c r="F4415" t="s">
        <v>39</v>
      </c>
      <c r="G4415" s="118">
        <v>0.77696759259259263</v>
      </c>
      <c r="H4415" s="118">
        <v>5.2083333333333333E-4</v>
      </c>
      <c r="I4415" s="118">
        <v>1.8055555555555557E-3</v>
      </c>
      <c r="J4415" s="118">
        <v>5.0462962962962961E-3</v>
      </c>
      <c r="K4415" s="118">
        <v>5.0462962962962961E-3</v>
      </c>
    </row>
    <row r="4416" spans="1:11" x14ac:dyDescent="0.25">
      <c r="A4416">
        <v>5</v>
      </c>
      <c r="B4416">
        <v>17</v>
      </c>
      <c r="C4416"/>
      <c r="D4416" t="s">
        <v>31</v>
      </c>
      <c r="E4416" t="s">
        <v>35</v>
      </c>
      <c r="F4416" t="s">
        <v>47</v>
      </c>
      <c r="G4416" s="118">
        <v>0.77702546296296304</v>
      </c>
      <c r="H4416" s="118">
        <v>8.564814814814815E-4</v>
      </c>
      <c r="I4416" s="118">
        <v>5.2083333333333333E-4</v>
      </c>
      <c r="J4416"/>
      <c r="K4416"/>
    </row>
    <row r="4417" spans="1:11" x14ac:dyDescent="0.25">
      <c r="A4417">
        <v>2</v>
      </c>
      <c r="B4417">
        <v>16</v>
      </c>
      <c r="C4417"/>
      <c r="D4417" t="s">
        <v>31</v>
      </c>
      <c r="E4417" t="s">
        <v>35</v>
      </c>
      <c r="F4417" t="s">
        <v>33</v>
      </c>
      <c r="G4417" s="118">
        <v>0.77718750000000003</v>
      </c>
      <c r="H4417" s="118">
        <v>1.3541666666666667E-3</v>
      </c>
      <c r="I4417" s="118">
        <v>5.2083333333333333E-4</v>
      </c>
      <c r="J4417"/>
      <c r="K4417"/>
    </row>
    <row r="4418" spans="1:11" x14ac:dyDescent="0.25">
      <c r="A4418">
        <v>9</v>
      </c>
      <c r="B4418">
        <v>3</v>
      </c>
      <c r="C4418"/>
      <c r="D4418" t="s">
        <v>31</v>
      </c>
      <c r="E4418" t="s">
        <v>35</v>
      </c>
      <c r="F4418" t="s">
        <v>58</v>
      </c>
      <c r="G4418" s="118">
        <v>0.77724537037037045</v>
      </c>
      <c r="H4418" s="118">
        <v>4.3981481481481481E-4</v>
      </c>
      <c r="I4418" s="118">
        <v>5.7870370370370366E-5</v>
      </c>
      <c r="J4418"/>
      <c r="K4418"/>
    </row>
    <row r="4419" spans="1:11" x14ac:dyDescent="0.25">
      <c r="A4419">
        <v>9</v>
      </c>
      <c r="B4419">
        <v>3</v>
      </c>
      <c r="C4419"/>
      <c r="D4419" t="s">
        <v>31</v>
      </c>
      <c r="E4419" t="s">
        <v>32</v>
      </c>
      <c r="F4419" t="s">
        <v>58</v>
      </c>
      <c r="G4419" s="118">
        <v>0.77730324074074064</v>
      </c>
      <c r="H4419" s="118">
        <v>5.7870370370370366E-5</v>
      </c>
      <c r="I4419" s="118">
        <v>4.8611111111111104E-4</v>
      </c>
      <c r="J4419" s="118">
        <v>5.0462962962962961E-3</v>
      </c>
      <c r="K4419" s="118">
        <v>5.0462962962962961E-3</v>
      </c>
    </row>
    <row r="4420" spans="1:11" x14ac:dyDescent="0.25">
      <c r="A4420">
        <v>4</v>
      </c>
      <c r="B4420">
        <v>16</v>
      </c>
      <c r="C4420"/>
      <c r="D4420" t="s">
        <v>31</v>
      </c>
      <c r="E4420" t="s">
        <v>35</v>
      </c>
      <c r="F4420" t="s">
        <v>45</v>
      </c>
      <c r="G4420" s="118">
        <v>0.77741898148148147</v>
      </c>
      <c r="H4420" s="118">
        <v>1.2384259259259258E-3</v>
      </c>
      <c r="I4420" s="118">
        <v>3.4722222222222224E-4</v>
      </c>
      <c r="J4420"/>
      <c r="K4420"/>
    </row>
    <row r="4421" spans="1:11" x14ac:dyDescent="0.25">
      <c r="A4421">
        <v>8</v>
      </c>
      <c r="B4421">
        <v>3</v>
      </c>
      <c r="C4421"/>
      <c r="D4421" t="s">
        <v>31</v>
      </c>
      <c r="E4421" t="s">
        <v>32</v>
      </c>
      <c r="F4421" t="s">
        <v>48</v>
      </c>
      <c r="G4421" s="118">
        <v>0.77746527777777785</v>
      </c>
      <c r="H4421" s="118">
        <v>5.2083333333333333E-4</v>
      </c>
      <c r="I4421" s="118">
        <v>8.6805555555555551E-4</v>
      </c>
      <c r="J4421" s="118">
        <v>5.0462962962962961E-3</v>
      </c>
      <c r="K4421" s="118">
        <v>5.0462962962962961E-3</v>
      </c>
    </row>
    <row r="4422" spans="1:11" x14ac:dyDescent="0.25">
      <c r="A4422">
        <v>5</v>
      </c>
      <c r="B4422">
        <v>17</v>
      </c>
      <c r="C4422"/>
      <c r="D4422" t="s">
        <v>31</v>
      </c>
      <c r="E4422" t="s">
        <v>32</v>
      </c>
      <c r="F4422" t="s">
        <v>47</v>
      </c>
      <c r="G4422" s="118">
        <v>0.77754629629629635</v>
      </c>
      <c r="H4422" s="118">
        <v>5.2083333333333333E-4</v>
      </c>
      <c r="I4422" s="118">
        <v>8.7962962962962962E-4</v>
      </c>
      <c r="J4422" s="118">
        <v>5.0462962962962961E-3</v>
      </c>
      <c r="K4422" s="118">
        <v>5.0462962962962961E-3</v>
      </c>
    </row>
    <row r="4423" spans="1:11" x14ac:dyDescent="0.25">
      <c r="A4423">
        <v>2</v>
      </c>
      <c r="B4423">
        <v>16</v>
      </c>
      <c r="C4423"/>
      <c r="D4423" t="s">
        <v>31</v>
      </c>
      <c r="E4423" t="s">
        <v>32</v>
      </c>
      <c r="F4423" t="s">
        <v>33</v>
      </c>
      <c r="G4423" s="118">
        <v>0.77770833333333333</v>
      </c>
      <c r="H4423" s="118">
        <v>5.2083333333333333E-4</v>
      </c>
      <c r="I4423" s="118">
        <v>9.6064814814814808E-4</v>
      </c>
      <c r="J4423" s="118">
        <v>5.0462962962962961E-3</v>
      </c>
      <c r="K4423" s="118">
        <v>5.0462962962962961E-3</v>
      </c>
    </row>
    <row r="4424" spans="1:11" x14ac:dyDescent="0.25">
      <c r="A4424">
        <v>4</v>
      </c>
      <c r="B4424">
        <v>16</v>
      </c>
      <c r="C4424"/>
      <c r="D4424" t="s">
        <v>31</v>
      </c>
      <c r="E4424" t="s">
        <v>32</v>
      </c>
      <c r="F4424" t="s">
        <v>45</v>
      </c>
      <c r="G4424" s="118">
        <v>0.77776620370370375</v>
      </c>
      <c r="H4424" s="118">
        <v>3.4722222222222224E-4</v>
      </c>
      <c r="I4424" s="118">
        <v>1.0416666666666667E-3</v>
      </c>
      <c r="J4424" s="118">
        <v>5.0462962962962961E-3</v>
      </c>
      <c r="K4424" s="118">
        <v>5.0462962962962961E-3</v>
      </c>
    </row>
    <row r="4425" spans="1:11" x14ac:dyDescent="0.25">
      <c r="A4425">
        <v>9</v>
      </c>
      <c r="B4425">
        <v>3</v>
      </c>
      <c r="C4425"/>
      <c r="D4425" t="s">
        <v>31</v>
      </c>
      <c r="E4425" t="s">
        <v>35</v>
      </c>
      <c r="F4425" t="s">
        <v>40</v>
      </c>
      <c r="G4425" s="118">
        <v>0.77778935185185183</v>
      </c>
      <c r="H4425" s="118">
        <v>4.8611111111111104E-4</v>
      </c>
      <c r="I4425" s="118">
        <v>4.6296296296296293E-4</v>
      </c>
      <c r="J4425"/>
      <c r="K4425"/>
    </row>
    <row r="4426" spans="1:11" x14ac:dyDescent="0.25">
      <c r="A4426">
        <v>1</v>
      </c>
      <c r="B4426">
        <v>15</v>
      </c>
      <c r="C4426"/>
      <c r="D4426" t="s">
        <v>31</v>
      </c>
      <c r="E4426" t="s">
        <v>35</v>
      </c>
      <c r="F4426" t="s">
        <v>56</v>
      </c>
      <c r="G4426" s="118">
        <v>0.77817129629629633</v>
      </c>
      <c r="H4426" s="118">
        <v>1.261574074074074E-3</v>
      </c>
      <c r="I4426" s="118">
        <v>3.4722222222222224E-4</v>
      </c>
      <c r="J4426"/>
      <c r="K4426"/>
    </row>
    <row r="4427" spans="1:11" x14ac:dyDescent="0.25">
      <c r="A4427">
        <v>9</v>
      </c>
      <c r="B4427">
        <v>3</v>
      </c>
      <c r="C4427"/>
      <c r="D4427" t="s">
        <v>31</v>
      </c>
      <c r="E4427" t="s">
        <v>32</v>
      </c>
      <c r="F4427" t="s">
        <v>40</v>
      </c>
      <c r="G4427" s="118">
        <v>0.77825231481481483</v>
      </c>
      <c r="H4427" s="118">
        <v>4.6296296296296293E-4</v>
      </c>
      <c r="I4427" s="118">
        <v>1.0069444444444444E-3</v>
      </c>
      <c r="J4427" s="118">
        <v>5.0462962962962961E-3</v>
      </c>
      <c r="K4427" s="118">
        <v>5.0462962962962961E-3</v>
      </c>
    </row>
    <row r="4428" spans="1:11" x14ac:dyDescent="0.25">
      <c r="A4428">
        <v>8</v>
      </c>
      <c r="B4428">
        <v>3</v>
      </c>
      <c r="C4428"/>
      <c r="D4428" t="s">
        <v>31</v>
      </c>
      <c r="E4428" t="s">
        <v>35</v>
      </c>
      <c r="F4428" t="s">
        <v>54</v>
      </c>
      <c r="G4428" s="118">
        <v>0.77833333333333332</v>
      </c>
      <c r="H4428" s="118">
        <v>8.6805555555555551E-4</v>
      </c>
      <c r="I4428" s="118">
        <v>3.4722222222222224E-4</v>
      </c>
      <c r="J4428"/>
      <c r="K4428"/>
    </row>
    <row r="4429" spans="1:11" x14ac:dyDescent="0.25">
      <c r="A4429">
        <v>5</v>
      </c>
      <c r="B4429">
        <v>17</v>
      </c>
      <c r="C4429"/>
      <c r="D4429" t="s">
        <v>31</v>
      </c>
      <c r="E4429" t="s">
        <v>35</v>
      </c>
      <c r="F4429" t="s">
        <v>53</v>
      </c>
      <c r="G4429" s="118">
        <v>0.77842592592592597</v>
      </c>
      <c r="H4429" s="118">
        <v>8.7962962962962962E-4</v>
      </c>
      <c r="I4429" s="118">
        <v>3.4722222222222224E-4</v>
      </c>
      <c r="J4429"/>
      <c r="K4429"/>
    </row>
    <row r="4430" spans="1:11" x14ac:dyDescent="0.25">
      <c r="A4430">
        <v>1</v>
      </c>
      <c r="B4430">
        <v>15</v>
      </c>
      <c r="C4430"/>
      <c r="D4430" t="s">
        <v>31</v>
      </c>
      <c r="E4430" t="s">
        <v>32</v>
      </c>
      <c r="F4430" t="s">
        <v>56</v>
      </c>
      <c r="G4430" s="118">
        <v>0.7785185185185185</v>
      </c>
      <c r="H4430" s="118">
        <v>3.4722222222222224E-4</v>
      </c>
      <c r="I4430" s="118">
        <v>9.6064814814814808E-4</v>
      </c>
      <c r="J4430" s="118">
        <v>5.0462962962962961E-3</v>
      </c>
      <c r="K4430" s="118">
        <v>5.0462962962962961E-3</v>
      </c>
    </row>
    <row r="4431" spans="1:11" x14ac:dyDescent="0.25">
      <c r="A4431">
        <v>2</v>
      </c>
      <c r="B4431">
        <v>16</v>
      </c>
      <c r="C4431"/>
      <c r="D4431" t="s">
        <v>31</v>
      </c>
      <c r="E4431" t="s">
        <v>35</v>
      </c>
      <c r="F4431" t="s">
        <v>36</v>
      </c>
      <c r="G4431" s="118">
        <v>0.77866898148148145</v>
      </c>
      <c r="H4431" s="118">
        <v>9.6064814814814808E-4</v>
      </c>
      <c r="I4431" s="118">
        <v>3.4722222222222224E-4</v>
      </c>
      <c r="J4431"/>
      <c r="K4431"/>
    </row>
    <row r="4432" spans="1:11" x14ac:dyDescent="0.25">
      <c r="A4432">
        <v>8</v>
      </c>
      <c r="B4432">
        <v>3</v>
      </c>
      <c r="C4432"/>
      <c r="D4432" t="s">
        <v>31</v>
      </c>
      <c r="E4432" t="s">
        <v>32</v>
      </c>
      <c r="F4432" t="s">
        <v>54</v>
      </c>
      <c r="G4432" s="118">
        <v>0.77868055555555549</v>
      </c>
      <c r="H4432" s="118">
        <v>3.4722222222222224E-4</v>
      </c>
      <c r="I4432" s="118">
        <v>6.5972222222222213E-4</v>
      </c>
      <c r="J4432" s="118">
        <v>5.0462962962962961E-3</v>
      </c>
      <c r="K4432" s="118">
        <v>5.0462962962962961E-3</v>
      </c>
    </row>
    <row r="4433" spans="1:11" x14ac:dyDescent="0.25">
      <c r="A4433">
        <v>3</v>
      </c>
      <c r="B4433">
        <v>16</v>
      </c>
      <c r="C4433"/>
      <c r="D4433" t="s">
        <v>31</v>
      </c>
      <c r="E4433" t="s">
        <v>35</v>
      </c>
      <c r="F4433" t="s">
        <v>46</v>
      </c>
      <c r="G4433" s="118">
        <v>0.77877314814814813</v>
      </c>
      <c r="H4433" s="118">
        <v>1.8055555555555557E-3</v>
      </c>
      <c r="I4433" s="118">
        <v>3.4722222222222224E-4</v>
      </c>
      <c r="J4433"/>
      <c r="K4433"/>
    </row>
    <row r="4434" spans="1:11" x14ac:dyDescent="0.25">
      <c r="A4434">
        <v>5</v>
      </c>
      <c r="B4434">
        <v>17</v>
      </c>
      <c r="C4434"/>
      <c r="D4434" t="s">
        <v>31</v>
      </c>
      <c r="E4434" t="s">
        <v>32</v>
      </c>
      <c r="F4434" t="s">
        <v>53</v>
      </c>
      <c r="G4434" s="118">
        <v>0.77877314814814813</v>
      </c>
      <c r="H4434" s="118">
        <v>3.4722222222222224E-4</v>
      </c>
      <c r="I4434" s="118">
        <v>8.449074074074075E-4</v>
      </c>
      <c r="J4434" s="118">
        <v>5.0462962962962961E-3</v>
      </c>
      <c r="K4434" s="118">
        <v>5.0462962962962961E-3</v>
      </c>
    </row>
    <row r="4435" spans="1:11" x14ac:dyDescent="0.25">
      <c r="A4435">
        <v>4</v>
      </c>
      <c r="B4435">
        <v>16</v>
      </c>
      <c r="C4435"/>
      <c r="D4435" t="s">
        <v>31</v>
      </c>
      <c r="E4435" t="s">
        <v>35</v>
      </c>
      <c r="F4435" t="s">
        <v>52</v>
      </c>
      <c r="G4435" s="118">
        <v>0.77880787037037036</v>
      </c>
      <c r="H4435" s="118">
        <v>1.0416666666666667E-3</v>
      </c>
      <c r="I4435" s="118">
        <v>3.4722222222222224E-4</v>
      </c>
      <c r="J4435"/>
      <c r="K4435"/>
    </row>
    <row r="4436" spans="1:11" x14ac:dyDescent="0.25">
      <c r="A4436">
        <v>2</v>
      </c>
      <c r="B4436">
        <v>16</v>
      </c>
      <c r="C4436"/>
      <c r="D4436" t="s">
        <v>31</v>
      </c>
      <c r="E4436" t="s">
        <v>32</v>
      </c>
      <c r="F4436" t="s">
        <v>36</v>
      </c>
      <c r="G4436" s="118">
        <v>0.77901620370370372</v>
      </c>
      <c r="H4436" s="118">
        <v>3.4722222222222224E-4</v>
      </c>
      <c r="I4436" s="118">
        <v>1.0995370370370371E-3</v>
      </c>
      <c r="J4436" s="118">
        <v>5.0462962962962961E-3</v>
      </c>
      <c r="K4436" s="118">
        <v>5.0462962962962961E-3</v>
      </c>
    </row>
    <row r="4437" spans="1:11" x14ac:dyDescent="0.25">
      <c r="A4437">
        <v>3</v>
      </c>
      <c r="B4437">
        <v>16</v>
      </c>
      <c r="C4437"/>
      <c r="D4437" t="s">
        <v>31</v>
      </c>
      <c r="E4437" t="s">
        <v>32</v>
      </c>
      <c r="F4437" t="s">
        <v>46</v>
      </c>
      <c r="G4437" s="118">
        <v>0.7791203703703703</v>
      </c>
      <c r="H4437" s="118">
        <v>3.4722222222222224E-4</v>
      </c>
      <c r="I4437" s="118">
        <v>9.1435185185185185E-4</v>
      </c>
      <c r="J4437" s="118">
        <v>5.0462962962962961E-3</v>
      </c>
      <c r="K4437" s="118">
        <v>5.0462962962962961E-3</v>
      </c>
    </row>
    <row r="4438" spans="1:11" x14ac:dyDescent="0.25">
      <c r="A4438">
        <v>4</v>
      </c>
      <c r="B4438">
        <v>16</v>
      </c>
      <c r="C4438"/>
      <c r="D4438" t="s">
        <v>31</v>
      </c>
      <c r="E4438" t="s">
        <v>32</v>
      </c>
      <c r="F4438" t="s">
        <v>52</v>
      </c>
      <c r="G4438" s="118">
        <v>0.77915509259259252</v>
      </c>
      <c r="H4438" s="118">
        <v>3.4722222222222224E-4</v>
      </c>
      <c r="I4438" s="118">
        <v>1.0532407407407407E-3</v>
      </c>
      <c r="J4438" s="118">
        <v>5.0462962962962961E-3</v>
      </c>
      <c r="K4438" s="118">
        <v>5.0462962962962961E-3</v>
      </c>
    </row>
    <row r="4439" spans="1:11" x14ac:dyDescent="0.25">
      <c r="A4439">
        <v>9</v>
      </c>
      <c r="B4439">
        <v>3</v>
      </c>
      <c r="C4439"/>
      <c r="D4439" t="s">
        <v>31</v>
      </c>
      <c r="E4439" t="s">
        <v>35</v>
      </c>
      <c r="F4439" t="s">
        <v>44</v>
      </c>
      <c r="G4439" s="118">
        <v>0.77925925925925921</v>
      </c>
      <c r="H4439" s="118">
        <v>1.0069444444444444E-3</v>
      </c>
      <c r="I4439" s="118">
        <v>3.4722222222222224E-4</v>
      </c>
      <c r="J4439"/>
      <c r="K4439"/>
    </row>
    <row r="4440" spans="1:11" x14ac:dyDescent="0.25">
      <c r="A4440">
        <v>8</v>
      </c>
      <c r="B4440">
        <v>3</v>
      </c>
      <c r="C4440"/>
      <c r="D4440" t="s">
        <v>31</v>
      </c>
      <c r="E4440" t="s">
        <v>35</v>
      </c>
      <c r="F4440" t="s">
        <v>92</v>
      </c>
      <c r="G4440" s="118">
        <v>0.7793402777777777</v>
      </c>
      <c r="H4440" s="118">
        <v>6.5972222222222213E-4</v>
      </c>
      <c r="I4440" s="118">
        <v>5.2083333333333333E-4</v>
      </c>
      <c r="J4440"/>
      <c r="K4440"/>
    </row>
    <row r="4441" spans="1:11" x14ac:dyDescent="0.25">
      <c r="A4441">
        <v>1</v>
      </c>
      <c r="B4441">
        <v>15</v>
      </c>
      <c r="C4441"/>
      <c r="D4441" t="s">
        <v>31</v>
      </c>
      <c r="E4441" t="s">
        <v>35</v>
      </c>
      <c r="F4441" t="s">
        <v>37</v>
      </c>
      <c r="G4441" s="118">
        <v>0.77947916666666661</v>
      </c>
      <c r="H4441" s="118">
        <v>9.6064814814814808E-4</v>
      </c>
      <c r="I4441" s="118">
        <v>3.4722222222222224E-4</v>
      </c>
      <c r="J4441"/>
      <c r="K4441"/>
    </row>
    <row r="4442" spans="1:11" x14ac:dyDescent="0.25">
      <c r="A4442">
        <v>9</v>
      </c>
      <c r="B4442">
        <v>3</v>
      </c>
      <c r="C4442"/>
      <c r="D4442" t="s">
        <v>31</v>
      </c>
      <c r="E4442" t="s">
        <v>32</v>
      </c>
      <c r="F4442" t="s">
        <v>44</v>
      </c>
      <c r="G4442" s="118">
        <v>0.77960648148148148</v>
      </c>
      <c r="H4442" s="118">
        <v>3.4722222222222224E-4</v>
      </c>
      <c r="I4442" s="118">
        <v>9.2592592592592585E-4</v>
      </c>
      <c r="J4442" s="118">
        <v>5.0462962962962961E-3</v>
      </c>
      <c r="K4442" s="118">
        <v>5.0462962962962961E-3</v>
      </c>
    </row>
    <row r="4443" spans="1:11" x14ac:dyDescent="0.25">
      <c r="A4443">
        <v>5</v>
      </c>
      <c r="B4443">
        <v>17</v>
      </c>
      <c r="C4443"/>
      <c r="D4443" t="s">
        <v>31</v>
      </c>
      <c r="E4443" t="s">
        <v>35</v>
      </c>
      <c r="F4443" t="s">
        <v>34</v>
      </c>
      <c r="G4443" s="118">
        <v>0.77961805555555552</v>
      </c>
      <c r="H4443" s="118">
        <v>8.449074074074075E-4</v>
      </c>
      <c r="I4443" s="118">
        <v>3.4722222222222224E-4</v>
      </c>
      <c r="J4443"/>
      <c r="K4443"/>
    </row>
    <row r="4444" spans="1:11" x14ac:dyDescent="0.25">
      <c r="A4444">
        <v>1</v>
      </c>
      <c r="B4444">
        <v>15</v>
      </c>
      <c r="C4444"/>
      <c r="D4444" t="s">
        <v>31</v>
      </c>
      <c r="E4444" t="s">
        <v>32</v>
      </c>
      <c r="F4444" t="s">
        <v>37</v>
      </c>
      <c r="G4444" s="118">
        <v>0.77982638888888889</v>
      </c>
      <c r="H4444" s="118">
        <v>3.4722222222222224E-4</v>
      </c>
      <c r="I4444" s="118">
        <v>9.0277777777777784E-4</v>
      </c>
      <c r="J4444" s="118">
        <v>5.0462962962962961E-3</v>
      </c>
      <c r="K4444" s="118">
        <v>5.0462962962962961E-3</v>
      </c>
    </row>
    <row r="4445" spans="1:11" x14ac:dyDescent="0.25">
      <c r="A4445">
        <v>8</v>
      </c>
      <c r="B4445">
        <v>4</v>
      </c>
      <c r="C4445"/>
      <c r="D4445" t="s">
        <v>31</v>
      </c>
      <c r="E4445" t="s">
        <v>32</v>
      </c>
      <c r="F4445" t="s">
        <v>92</v>
      </c>
      <c r="G4445" s="118">
        <v>0.77986111111111101</v>
      </c>
      <c r="H4445" s="118">
        <v>5.2083333333333333E-4</v>
      </c>
      <c r="I4445" s="118">
        <v>1.0069444444444444E-3</v>
      </c>
      <c r="J4445" s="118">
        <v>5.0462962962962961E-3</v>
      </c>
      <c r="K4445" s="118">
        <v>5.0462962962962961E-3</v>
      </c>
    </row>
    <row r="4446" spans="1:11" x14ac:dyDescent="0.25">
      <c r="A4446">
        <v>5</v>
      </c>
      <c r="B4446">
        <v>17</v>
      </c>
      <c r="C4446"/>
      <c r="D4446" t="s">
        <v>31</v>
      </c>
      <c r="E4446" t="s">
        <v>32</v>
      </c>
      <c r="F4446" t="s">
        <v>34</v>
      </c>
      <c r="G4446" s="118">
        <v>0.7799652777777778</v>
      </c>
      <c r="H4446" s="118">
        <v>3.4722222222222224E-4</v>
      </c>
      <c r="I4446" s="118">
        <v>9.1435185185185185E-4</v>
      </c>
      <c r="J4446" s="118">
        <v>5.0462962962962961E-3</v>
      </c>
      <c r="K4446" s="118">
        <v>5.0462962962962961E-3</v>
      </c>
    </row>
    <row r="4447" spans="1:11" x14ac:dyDescent="0.25">
      <c r="A4447">
        <v>3</v>
      </c>
      <c r="B4447">
        <v>16</v>
      </c>
      <c r="C4447"/>
      <c r="D4447" t="s">
        <v>31</v>
      </c>
      <c r="E4447" t="s">
        <v>35</v>
      </c>
      <c r="F4447" t="s">
        <v>51</v>
      </c>
      <c r="G4447" s="118">
        <v>0.78003472222222225</v>
      </c>
      <c r="H4447" s="118">
        <v>9.1435185185185185E-4</v>
      </c>
      <c r="I4447" s="118">
        <v>3.4722222222222224E-4</v>
      </c>
      <c r="J4447"/>
      <c r="K4447"/>
    </row>
    <row r="4448" spans="1:11" x14ac:dyDescent="0.25">
      <c r="A4448">
        <v>2</v>
      </c>
      <c r="B4448">
        <v>16</v>
      </c>
      <c r="C4448"/>
      <c r="D4448" t="s">
        <v>31</v>
      </c>
      <c r="E4448" t="s">
        <v>35</v>
      </c>
      <c r="F4448" t="s">
        <v>43</v>
      </c>
      <c r="G4448" s="118">
        <v>0.78011574074074075</v>
      </c>
      <c r="H4448" s="118">
        <v>1.0995370370370371E-3</v>
      </c>
      <c r="I4448" s="118">
        <v>3.4722222222222224E-4</v>
      </c>
      <c r="J4448"/>
      <c r="K4448"/>
    </row>
    <row r="4449" spans="1:11" x14ac:dyDescent="0.25">
      <c r="A4449">
        <v>4</v>
      </c>
      <c r="B4449">
        <v>16</v>
      </c>
      <c r="C4449"/>
      <c r="D4449" t="s">
        <v>31</v>
      </c>
      <c r="E4449" t="s">
        <v>35</v>
      </c>
      <c r="F4449" t="s">
        <v>57</v>
      </c>
      <c r="G4449" s="118">
        <v>0.78020833333333339</v>
      </c>
      <c r="H4449" s="118">
        <v>1.0532407407407407E-3</v>
      </c>
      <c r="I4449" s="118">
        <v>3.4722222222222224E-4</v>
      </c>
      <c r="J4449"/>
      <c r="K4449"/>
    </row>
    <row r="4450" spans="1:11" x14ac:dyDescent="0.25">
      <c r="A4450">
        <v>3</v>
      </c>
      <c r="B4450">
        <v>16</v>
      </c>
      <c r="C4450"/>
      <c r="D4450" t="s">
        <v>31</v>
      </c>
      <c r="E4450" t="s">
        <v>32</v>
      </c>
      <c r="F4450" t="s">
        <v>51</v>
      </c>
      <c r="G4450" s="118">
        <v>0.78038194444444453</v>
      </c>
      <c r="H4450" s="118">
        <v>3.4722222222222224E-4</v>
      </c>
      <c r="I4450" s="118">
        <v>1.0069444444444444E-3</v>
      </c>
      <c r="J4450" s="118">
        <v>5.0462962962962961E-3</v>
      </c>
      <c r="K4450" s="118">
        <v>5.0462962962962961E-3</v>
      </c>
    </row>
    <row r="4451" spans="1:11" x14ac:dyDescent="0.25">
      <c r="A4451">
        <v>2</v>
      </c>
      <c r="B4451">
        <v>16</v>
      </c>
      <c r="C4451"/>
      <c r="D4451" t="s">
        <v>31</v>
      </c>
      <c r="E4451" t="s">
        <v>32</v>
      </c>
      <c r="F4451" t="s">
        <v>43</v>
      </c>
      <c r="G4451" s="118">
        <v>0.78046296296296302</v>
      </c>
      <c r="H4451" s="118">
        <v>3.4722222222222224E-4</v>
      </c>
      <c r="I4451" s="118">
        <v>1.1458333333333333E-3</v>
      </c>
      <c r="J4451" s="118">
        <v>5.0462962962962961E-3</v>
      </c>
      <c r="K4451" s="118">
        <v>5.0462962962962961E-3</v>
      </c>
    </row>
    <row r="4452" spans="1:11" x14ac:dyDescent="0.25">
      <c r="A4452">
        <v>9</v>
      </c>
      <c r="B4452">
        <v>3</v>
      </c>
      <c r="C4452"/>
      <c r="D4452" t="s">
        <v>31</v>
      </c>
      <c r="E4452" t="s">
        <v>35</v>
      </c>
      <c r="F4452" t="s">
        <v>49</v>
      </c>
      <c r="G4452" s="118">
        <v>0.78053240740740737</v>
      </c>
      <c r="H4452" s="118">
        <v>9.2592592592592585E-4</v>
      </c>
      <c r="I4452" s="118">
        <v>3.4722222222222224E-4</v>
      </c>
      <c r="J4452"/>
      <c r="K4452"/>
    </row>
    <row r="4453" spans="1:11" x14ac:dyDescent="0.25">
      <c r="A4453">
        <v>4</v>
      </c>
      <c r="B4453">
        <v>16</v>
      </c>
      <c r="C4453"/>
      <c r="D4453" t="s">
        <v>31</v>
      </c>
      <c r="E4453" t="s">
        <v>32</v>
      </c>
      <c r="F4453" t="s">
        <v>57</v>
      </c>
      <c r="G4453" s="118">
        <v>0.78055555555555556</v>
      </c>
      <c r="H4453" s="118">
        <v>3.4722222222222224E-4</v>
      </c>
      <c r="I4453" s="118">
        <v>9.3750000000000007E-4</v>
      </c>
      <c r="J4453" s="118">
        <v>5.0462962962962961E-3</v>
      </c>
      <c r="K4453" s="118">
        <v>5.0462962962962961E-3</v>
      </c>
    </row>
    <row r="4454" spans="1:11" x14ac:dyDescent="0.25">
      <c r="A4454">
        <v>1</v>
      </c>
      <c r="B4454">
        <v>15</v>
      </c>
      <c r="C4454"/>
      <c r="D4454" t="s">
        <v>31</v>
      </c>
      <c r="E4454" t="s">
        <v>35</v>
      </c>
      <c r="F4454" t="s">
        <v>42</v>
      </c>
      <c r="G4454" s="118">
        <v>0.7807291666666667</v>
      </c>
      <c r="H4454" s="118">
        <v>9.0277777777777784E-4</v>
      </c>
      <c r="I4454" s="118">
        <v>3.4722222222222224E-4</v>
      </c>
      <c r="J4454"/>
      <c r="K4454"/>
    </row>
    <row r="4455" spans="1:11" x14ac:dyDescent="0.25">
      <c r="A4455">
        <v>8</v>
      </c>
      <c r="B4455">
        <v>4</v>
      </c>
      <c r="C4455"/>
      <c r="D4455" t="s">
        <v>31</v>
      </c>
      <c r="E4455" t="s">
        <v>35</v>
      </c>
      <c r="F4455" t="s">
        <v>41</v>
      </c>
      <c r="G4455" s="118">
        <v>0.78086805555555561</v>
      </c>
      <c r="H4455" s="118">
        <v>1.0069444444444444E-3</v>
      </c>
      <c r="I4455" s="118">
        <v>3.4722222222222224E-4</v>
      </c>
      <c r="J4455"/>
      <c r="K4455"/>
    </row>
    <row r="4456" spans="1:11" x14ac:dyDescent="0.25">
      <c r="A4456">
        <v>5</v>
      </c>
      <c r="B4456">
        <v>17</v>
      </c>
      <c r="C4456"/>
      <c r="D4456" t="s">
        <v>31</v>
      </c>
      <c r="E4456" t="s">
        <v>35</v>
      </c>
      <c r="F4456" t="s">
        <v>38</v>
      </c>
      <c r="G4456" s="118">
        <v>0.78087962962962953</v>
      </c>
      <c r="H4456" s="118">
        <v>9.1435185185185185E-4</v>
      </c>
      <c r="I4456" s="118">
        <v>3.4722222222222224E-4</v>
      </c>
      <c r="J4456"/>
      <c r="K4456"/>
    </row>
    <row r="4457" spans="1:11" x14ac:dyDescent="0.25">
      <c r="A4457">
        <v>9</v>
      </c>
      <c r="B4457">
        <v>3</v>
      </c>
      <c r="C4457"/>
      <c r="D4457" t="s">
        <v>31</v>
      </c>
      <c r="E4457" t="s">
        <v>32</v>
      </c>
      <c r="F4457" t="s">
        <v>49</v>
      </c>
      <c r="G4457" s="118">
        <v>0.78087962962962953</v>
      </c>
      <c r="H4457" s="118">
        <v>3.4722222222222224E-4</v>
      </c>
      <c r="I4457" s="118">
        <v>1.3541666666666667E-3</v>
      </c>
      <c r="J4457" s="118">
        <v>5.0462962962962961E-3</v>
      </c>
      <c r="K4457" s="118">
        <v>5.0462962962962961E-3</v>
      </c>
    </row>
    <row r="4458" spans="1:11" x14ac:dyDescent="0.25">
      <c r="A4458">
        <v>1</v>
      </c>
      <c r="B4458">
        <v>15</v>
      </c>
      <c r="C4458"/>
      <c r="D4458" t="s">
        <v>31</v>
      </c>
      <c r="E4458" t="s">
        <v>32</v>
      </c>
      <c r="F4458" t="s">
        <v>42</v>
      </c>
      <c r="G4458" s="118">
        <v>0.78107638888888886</v>
      </c>
      <c r="H4458" s="118">
        <v>3.4722222222222224E-4</v>
      </c>
      <c r="I4458" s="118">
        <v>9.1435185185185185E-4</v>
      </c>
      <c r="J4458" s="118">
        <v>5.0462962962962961E-3</v>
      </c>
      <c r="K4458" s="118">
        <v>5.0462962962962961E-3</v>
      </c>
    </row>
    <row r="4459" spans="1:11" x14ac:dyDescent="0.25">
      <c r="A4459">
        <v>8</v>
      </c>
      <c r="B4459">
        <v>4</v>
      </c>
      <c r="C4459"/>
      <c r="D4459" t="s">
        <v>31</v>
      </c>
      <c r="E4459" t="s">
        <v>32</v>
      </c>
      <c r="F4459" t="s">
        <v>41</v>
      </c>
      <c r="G4459" s="118">
        <v>0.78121527777777777</v>
      </c>
      <c r="H4459" s="118">
        <v>3.4722222222222224E-4</v>
      </c>
      <c r="I4459" s="118">
        <v>8.564814814814815E-4</v>
      </c>
      <c r="J4459" s="118">
        <v>5.0462962962962961E-3</v>
      </c>
      <c r="K4459" s="118">
        <v>5.0462962962962961E-3</v>
      </c>
    </row>
    <row r="4460" spans="1:11" x14ac:dyDescent="0.25">
      <c r="A4460">
        <v>5</v>
      </c>
      <c r="B4460">
        <v>17</v>
      </c>
      <c r="C4460"/>
      <c r="D4460" t="s">
        <v>31</v>
      </c>
      <c r="E4460" t="s">
        <v>32</v>
      </c>
      <c r="F4460" t="s">
        <v>38</v>
      </c>
      <c r="G4460" s="118">
        <v>0.78122685185185192</v>
      </c>
      <c r="H4460" s="118">
        <v>3.4722222222222224E-4</v>
      </c>
      <c r="I4460" s="118">
        <v>1.2384259259259258E-3</v>
      </c>
      <c r="J4460" s="118">
        <v>5.0462962962962961E-3</v>
      </c>
      <c r="K4460" s="118">
        <v>5.0462962962962961E-3</v>
      </c>
    </row>
    <row r="4461" spans="1:11" x14ac:dyDescent="0.25">
      <c r="A4461">
        <v>3</v>
      </c>
      <c r="B4461">
        <v>16</v>
      </c>
      <c r="C4461"/>
      <c r="D4461" t="s">
        <v>31</v>
      </c>
      <c r="E4461" t="s">
        <v>35</v>
      </c>
      <c r="F4461" t="s">
        <v>55</v>
      </c>
      <c r="G4461" s="118">
        <v>0.78138888888888891</v>
      </c>
      <c r="H4461" s="118">
        <v>1.0069444444444444E-3</v>
      </c>
      <c r="I4461" s="118">
        <v>4.6296296296296293E-4</v>
      </c>
      <c r="J4461"/>
      <c r="K4461"/>
    </row>
    <row r="4462" spans="1:11" x14ac:dyDescent="0.25">
      <c r="A4462">
        <v>4</v>
      </c>
      <c r="B4462">
        <v>16</v>
      </c>
      <c r="C4462"/>
      <c r="D4462" t="s">
        <v>31</v>
      </c>
      <c r="E4462" t="s">
        <v>35</v>
      </c>
      <c r="F4462" t="s">
        <v>39</v>
      </c>
      <c r="G4462" s="118">
        <v>0.78149305555555559</v>
      </c>
      <c r="H4462" s="118">
        <v>9.3750000000000007E-4</v>
      </c>
      <c r="I4462" s="118">
        <v>5.2083333333333333E-4</v>
      </c>
      <c r="J4462"/>
      <c r="K4462"/>
    </row>
    <row r="4463" spans="1:11" x14ac:dyDescent="0.25">
      <c r="A4463">
        <v>2</v>
      </c>
      <c r="B4463">
        <v>16</v>
      </c>
      <c r="C4463"/>
      <c r="D4463" t="s">
        <v>31</v>
      </c>
      <c r="E4463" t="s">
        <v>35</v>
      </c>
      <c r="F4463" t="s">
        <v>50</v>
      </c>
      <c r="G4463" s="118">
        <v>0.78160879629629632</v>
      </c>
      <c r="H4463" s="118">
        <v>1.1458333333333333E-3</v>
      </c>
      <c r="I4463" s="118">
        <v>3.4722222222222224E-4</v>
      </c>
      <c r="J4463"/>
      <c r="K4463"/>
    </row>
    <row r="4464" spans="1:11" x14ac:dyDescent="0.25">
      <c r="A4464">
        <v>3</v>
      </c>
      <c r="B4464">
        <v>16</v>
      </c>
      <c r="C4464"/>
      <c r="D4464" t="s">
        <v>31</v>
      </c>
      <c r="E4464" t="s">
        <v>32</v>
      </c>
      <c r="F4464" t="s">
        <v>55</v>
      </c>
      <c r="G4464" s="118">
        <v>0.7818518518518518</v>
      </c>
      <c r="H4464" s="118">
        <v>4.6296296296296293E-4</v>
      </c>
      <c r="I4464" s="118">
        <v>4.3981481481481481E-4</v>
      </c>
      <c r="J4464" s="118">
        <v>5.0462962962962961E-3</v>
      </c>
      <c r="K4464" s="118">
        <v>5.0462962962962961E-3</v>
      </c>
    </row>
    <row r="4465" spans="1:11" x14ac:dyDescent="0.25">
      <c r="A4465">
        <v>2</v>
      </c>
      <c r="B4465">
        <v>16</v>
      </c>
      <c r="C4465"/>
      <c r="D4465" t="s">
        <v>31</v>
      </c>
      <c r="E4465" t="s">
        <v>32</v>
      </c>
      <c r="F4465" t="s">
        <v>50</v>
      </c>
      <c r="G4465" s="118">
        <v>0.78195601851851848</v>
      </c>
      <c r="H4465" s="118">
        <v>3.4722222222222224E-4</v>
      </c>
      <c r="I4465" s="118">
        <v>1.261574074074074E-3</v>
      </c>
      <c r="J4465" s="118">
        <v>5.0462962962962961E-3</v>
      </c>
      <c r="K4465" s="118">
        <v>5.0462962962962961E-3</v>
      </c>
    </row>
    <row r="4466" spans="1:11" x14ac:dyDescent="0.25">
      <c r="A4466">
        <v>1</v>
      </c>
      <c r="B4466">
        <v>15</v>
      </c>
      <c r="C4466"/>
      <c r="D4466" t="s">
        <v>31</v>
      </c>
      <c r="E4466" t="s">
        <v>35</v>
      </c>
      <c r="F4466" t="s">
        <v>48</v>
      </c>
      <c r="G4466" s="118">
        <v>0.78199074074074071</v>
      </c>
      <c r="H4466" s="118">
        <v>9.1435185185185185E-4</v>
      </c>
      <c r="I4466" s="118">
        <v>5.2083333333333333E-4</v>
      </c>
      <c r="J4466"/>
      <c r="K4466"/>
    </row>
    <row r="4467" spans="1:11" x14ac:dyDescent="0.25">
      <c r="A4467">
        <v>4</v>
      </c>
      <c r="B4467">
        <v>16</v>
      </c>
      <c r="C4467"/>
      <c r="D4467" t="s">
        <v>31</v>
      </c>
      <c r="E4467" t="s">
        <v>32</v>
      </c>
      <c r="F4467" t="s">
        <v>39</v>
      </c>
      <c r="G4467" s="118">
        <v>0.7820138888888889</v>
      </c>
      <c r="H4467" s="118">
        <v>5.2083333333333333E-4</v>
      </c>
      <c r="I4467" s="118">
        <v>1.8055555555555557E-3</v>
      </c>
      <c r="J4467" s="118">
        <v>5.0462962962962961E-3</v>
      </c>
      <c r="K4467" s="118">
        <v>5.0462962962962961E-3</v>
      </c>
    </row>
    <row r="4468" spans="1:11" x14ac:dyDescent="0.25">
      <c r="A4468">
        <v>8</v>
      </c>
      <c r="B4468">
        <v>4</v>
      </c>
      <c r="C4468"/>
      <c r="D4468" t="s">
        <v>31</v>
      </c>
      <c r="E4468" t="s">
        <v>35</v>
      </c>
      <c r="F4468" t="s">
        <v>47</v>
      </c>
      <c r="G4468" s="118">
        <v>0.7820717592592592</v>
      </c>
      <c r="H4468" s="118">
        <v>8.564814814814815E-4</v>
      </c>
      <c r="I4468" s="118">
        <v>5.2083333333333333E-4</v>
      </c>
      <c r="J4468"/>
      <c r="K4468"/>
    </row>
    <row r="4469" spans="1:11" x14ac:dyDescent="0.25">
      <c r="A4469">
        <v>9</v>
      </c>
      <c r="B4469">
        <v>3</v>
      </c>
      <c r="C4469"/>
      <c r="D4469" t="s">
        <v>31</v>
      </c>
      <c r="E4469" t="s">
        <v>35</v>
      </c>
      <c r="F4469" t="s">
        <v>33</v>
      </c>
      <c r="G4469" s="118">
        <v>0.7822337962962963</v>
      </c>
      <c r="H4469" s="118">
        <v>1.3541666666666667E-3</v>
      </c>
      <c r="I4469" s="118">
        <v>5.2083333333333333E-4</v>
      </c>
      <c r="J4469"/>
      <c r="K4469"/>
    </row>
    <row r="4470" spans="1:11" x14ac:dyDescent="0.25">
      <c r="A4470">
        <v>3</v>
      </c>
      <c r="B4470">
        <v>16</v>
      </c>
      <c r="C4470"/>
      <c r="D4470" t="s">
        <v>31</v>
      </c>
      <c r="E4470" t="s">
        <v>35</v>
      </c>
      <c r="F4470" t="s">
        <v>58</v>
      </c>
      <c r="G4470" s="118">
        <v>0.78229166666666661</v>
      </c>
      <c r="H4470" s="118">
        <v>4.3981481481481481E-4</v>
      </c>
      <c r="I4470" s="118">
        <v>5.7870370370370366E-5</v>
      </c>
      <c r="J4470"/>
      <c r="K4470"/>
    </row>
    <row r="4471" spans="1:11" x14ac:dyDescent="0.25">
      <c r="A4471">
        <v>3</v>
      </c>
      <c r="B4471">
        <v>16</v>
      </c>
      <c r="C4471"/>
      <c r="D4471" t="s">
        <v>31</v>
      </c>
      <c r="E4471" t="s">
        <v>32</v>
      </c>
      <c r="F4471" t="s">
        <v>58</v>
      </c>
      <c r="G4471" s="118">
        <v>0.78234953703703702</v>
      </c>
      <c r="H4471" s="118">
        <v>5.7870370370370366E-5</v>
      </c>
      <c r="I4471" s="118">
        <v>4.8611111111111104E-4</v>
      </c>
      <c r="J4471" s="118">
        <v>5.0462962962962961E-3</v>
      </c>
      <c r="K4471" s="118">
        <v>5.0462962962962961E-3</v>
      </c>
    </row>
    <row r="4472" spans="1:11" x14ac:dyDescent="0.25">
      <c r="A4472">
        <v>5</v>
      </c>
      <c r="B4472">
        <v>17</v>
      </c>
      <c r="C4472"/>
      <c r="D4472" t="s">
        <v>31</v>
      </c>
      <c r="E4472" t="s">
        <v>35</v>
      </c>
      <c r="F4472" t="s">
        <v>45</v>
      </c>
      <c r="G4472" s="118">
        <v>0.78246527777777775</v>
      </c>
      <c r="H4472" s="118">
        <v>1.2384259259259258E-3</v>
      </c>
      <c r="I4472" s="118">
        <v>3.4722222222222224E-4</v>
      </c>
      <c r="J4472"/>
      <c r="K4472"/>
    </row>
    <row r="4473" spans="1:11" x14ac:dyDescent="0.25">
      <c r="A4473">
        <v>1</v>
      </c>
      <c r="B4473">
        <v>15</v>
      </c>
      <c r="C4473"/>
      <c r="D4473" t="s">
        <v>31</v>
      </c>
      <c r="E4473" t="s">
        <v>32</v>
      </c>
      <c r="F4473" t="s">
        <v>48</v>
      </c>
      <c r="G4473" s="118">
        <v>0.78251157407407401</v>
      </c>
      <c r="H4473" s="118">
        <v>5.2083333333333333E-4</v>
      </c>
      <c r="I4473" s="118">
        <v>8.6805555555555551E-4</v>
      </c>
      <c r="J4473" s="118">
        <v>5.0462962962962961E-3</v>
      </c>
      <c r="K4473" s="118">
        <v>5.0462962962962961E-3</v>
      </c>
    </row>
    <row r="4474" spans="1:11" x14ac:dyDescent="0.25">
      <c r="A4474">
        <v>8</v>
      </c>
      <c r="B4474">
        <v>4</v>
      </c>
      <c r="C4474"/>
      <c r="D4474" t="s">
        <v>31</v>
      </c>
      <c r="E4474" t="s">
        <v>32</v>
      </c>
      <c r="F4474" t="s">
        <v>47</v>
      </c>
      <c r="G4474" s="118">
        <v>0.78259259259259262</v>
      </c>
      <c r="H4474" s="118">
        <v>5.2083333333333333E-4</v>
      </c>
      <c r="I4474" s="118">
        <v>8.7962962962962962E-4</v>
      </c>
      <c r="J4474" s="118">
        <v>5.0462962962962961E-3</v>
      </c>
      <c r="K4474" s="118">
        <v>5.0462962962962961E-3</v>
      </c>
    </row>
    <row r="4475" spans="1:11" x14ac:dyDescent="0.25">
      <c r="A4475">
        <v>9</v>
      </c>
      <c r="B4475">
        <v>3</v>
      </c>
      <c r="C4475"/>
      <c r="D4475" t="s">
        <v>31</v>
      </c>
      <c r="E4475" t="s">
        <v>32</v>
      </c>
      <c r="F4475" t="s">
        <v>33</v>
      </c>
      <c r="G4475" s="118">
        <v>0.78275462962962961</v>
      </c>
      <c r="H4475" s="118">
        <v>5.2083333333333333E-4</v>
      </c>
      <c r="I4475" s="118">
        <v>9.6064814814814808E-4</v>
      </c>
      <c r="J4475" s="118">
        <v>5.0462962962962961E-3</v>
      </c>
      <c r="K4475" s="118">
        <v>5.0462962962962961E-3</v>
      </c>
    </row>
    <row r="4476" spans="1:11" x14ac:dyDescent="0.25">
      <c r="A4476">
        <v>5</v>
      </c>
      <c r="B4476">
        <v>17</v>
      </c>
      <c r="C4476"/>
      <c r="D4476" t="s">
        <v>31</v>
      </c>
      <c r="E4476" t="s">
        <v>32</v>
      </c>
      <c r="F4476" t="s">
        <v>45</v>
      </c>
      <c r="G4476" s="118">
        <v>0.78281250000000002</v>
      </c>
      <c r="H4476" s="118">
        <v>3.4722222222222224E-4</v>
      </c>
      <c r="I4476" s="118">
        <v>1.0416666666666667E-3</v>
      </c>
      <c r="J4476" s="118">
        <v>5.0462962962962961E-3</v>
      </c>
      <c r="K4476" s="118">
        <v>5.0462962962962961E-3</v>
      </c>
    </row>
    <row r="4477" spans="1:11" x14ac:dyDescent="0.25">
      <c r="A4477">
        <v>3</v>
      </c>
      <c r="B4477">
        <v>16</v>
      </c>
      <c r="C4477"/>
      <c r="D4477" t="s">
        <v>31</v>
      </c>
      <c r="E4477" t="s">
        <v>35</v>
      </c>
      <c r="F4477" t="s">
        <v>40</v>
      </c>
      <c r="G4477" s="118">
        <v>0.7828356481481481</v>
      </c>
      <c r="H4477" s="118">
        <v>4.8611111111111104E-4</v>
      </c>
      <c r="I4477" s="118">
        <v>4.6296296296296293E-4</v>
      </c>
      <c r="J4477"/>
      <c r="K4477"/>
    </row>
    <row r="4478" spans="1:11" x14ac:dyDescent="0.25">
      <c r="A4478">
        <v>2</v>
      </c>
      <c r="B4478">
        <v>16</v>
      </c>
      <c r="C4478"/>
      <c r="D4478" t="s">
        <v>31</v>
      </c>
      <c r="E4478" t="s">
        <v>35</v>
      </c>
      <c r="F4478" t="s">
        <v>56</v>
      </c>
      <c r="G4478" s="118">
        <v>0.78321759259259249</v>
      </c>
      <c r="H4478" s="118">
        <v>1.261574074074074E-3</v>
      </c>
      <c r="I4478" s="118">
        <v>3.4722222222222224E-4</v>
      </c>
      <c r="J4478"/>
      <c r="K4478"/>
    </row>
    <row r="4479" spans="1:11" x14ac:dyDescent="0.25">
      <c r="A4479">
        <v>3</v>
      </c>
      <c r="B4479">
        <v>16</v>
      </c>
      <c r="C4479"/>
      <c r="D4479" t="s">
        <v>31</v>
      </c>
      <c r="E4479" t="s">
        <v>32</v>
      </c>
      <c r="F4479" t="s">
        <v>40</v>
      </c>
      <c r="G4479" s="118">
        <v>0.78329861111111121</v>
      </c>
      <c r="H4479" s="118">
        <v>4.6296296296296293E-4</v>
      </c>
      <c r="I4479" s="118">
        <v>1.0069444444444444E-3</v>
      </c>
      <c r="J4479" s="118">
        <v>5.0462962962962961E-3</v>
      </c>
      <c r="K4479" s="118">
        <v>5.0462962962962961E-3</v>
      </c>
    </row>
    <row r="4480" spans="1:11" x14ac:dyDescent="0.25">
      <c r="A4480">
        <v>1</v>
      </c>
      <c r="B4480">
        <v>15</v>
      </c>
      <c r="C4480"/>
      <c r="D4480" t="s">
        <v>31</v>
      </c>
      <c r="E4480" t="s">
        <v>35</v>
      </c>
      <c r="F4480" t="s">
        <v>54</v>
      </c>
      <c r="G4480" s="118">
        <v>0.7833796296296297</v>
      </c>
      <c r="H4480" s="118">
        <v>8.6805555555555551E-4</v>
      </c>
      <c r="I4480" s="118">
        <v>3.4722222222222224E-4</v>
      </c>
      <c r="J4480"/>
      <c r="K4480"/>
    </row>
    <row r="4481" spans="1:11" x14ac:dyDescent="0.25">
      <c r="A4481">
        <v>8</v>
      </c>
      <c r="B4481">
        <v>4</v>
      </c>
      <c r="C4481"/>
      <c r="D4481" t="s">
        <v>31</v>
      </c>
      <c r="E4481" t="s">
        <v>35</v>
      </c>
      <c r="F4481" t="s">
        <v>53</v>
      </c>
      <c r="G4481" s="118">
        <v>0.78347222222222224</v>
      </c>
      <c r="H4481" s="118">
        <v>8.7962962962962962E-4</v>
      </c>
      <c r="I4481" s="118">
        <v>3.4722222222222224E-4</v>
      </c>
      <c r="J4481"/>
      <c r="K4481"/>
    </row>
    <row r="4482" spans="1:11" x14ac:dyDescent="0.25">
      <c r="A4482">
        <v>2</v>
      </c>
      <c r="B4482">
        <v>16</v>
      </c>
      <c r="C4482"/>
      <c r="D4482" t="s">
        <v>31</v>
      </c>
      <c r="E4482" t="s">
        <v>32</v>
      </c>
      <c r="F4482" t="s">
        <v>56</v>
      </c>
      <c r="G4482" s="118">
        <v>0.78356481481481488</v>
      </c>
      <c r="H4482" s="118">
        <v>3.4722222222222224E-4</v>
      </c>
      <c r="I4482" s="118">
        <v>9.6064814814814808E-4</v>
      </c>
      <c r="J4482" s="118">
        <v>5.0462962962962961E-3</v>
      </c>
      <c r="K4482" s="118">
        <v>5.0462962962962961E-3</v>
      </c>
    </row>
    <row r="4483" spans="1:11" x14ac:dyDescent="0.25">
      <c r="A4483">
        <v>9</v>
      </c>
      <c r="B4483">
        <v>3</v>
      </c>
      <c r="C4483"/>
      <c r="D4483" t="s">
        <v>31</v>
      </c>
      <c r="E4483" t="s">
        <v>35</v>
      </c>
      <c r="F4483" t="s">
        <v>36</v>
      </c>
      <c r="G4483" s="118">
        <v>0.78371527777777772</v>
      </c>
      <c r="H4483" s="118">
        <v>9.6064814814814808E-4</v>
      </c>
      <c r="I4483" s="118">
        <v>3.4722222222222224E-4</v>
      </c>
      <c r="J4483"/>
      <c r="K4483"/>
    </row>
    <row r="4484" spans="1:11" x14ac:dyDescent="0.25">
      <c r="A4484">
        <v>1</v>
      </c>
      <c r="B4484">
        <v>15</v>
      </c>
      <c r="C4484"/>
      <c r="D4484" t="s">
        <v>31</v>
      </c>
      <c r="E4484" t="s">
        <v>32</v>
      </c>
      <c r="F4484" t="s">
        <v>54</v>
      </c>
      <c r="G4484" s="118">
        <v>0.78372685185185187</v>
      </c>
      <c r="H4484" s="118">
        <v>3.4722222222222224E-4</v>
      </c>
      <c r="I4484" s="118">
        <v>6.5972222222222213E-4</v>
      </c>
      <c r="J4484" s="118">
        <v>5.0462962962962961E-3</v>
      </c>
      <c r="K4484" s="118">
        <v>5.0462962962962961E-3</v>
      </c>
    </row>
    <row r="4485" spans="1:11" x14ac:dyDescent="0.25">
      <c r="A4485">
        <v>4</v>
      </c>
      <c r="B4485">
        <v>16</v>
      </c>
      <c r="C4485"/>
      <c r="D4485" t="s">
        <v>31</v>
      </c>
      <c r="E4485" t="s">
        <v>35</v>
      </c>
      <c r="F4485" t="s">
        <v>46</v>
      </c>
      <c r="G4485" s="118">
        <v>0.78381944444444451</v>
      </c>
      <c r="H4485" s="118">
        <v>1.8055555555555557E-3</v>
      </c>
      <c r="I4485" s="118">
        <v>3.4722222222222224E-4</v>
      </c>
      <c r="J4485"/>
      <c r="K4485"/>
    </row>
    <row r="4486" spans="1:11" x14ac:dyDescent="0.25">
      <c r="A4486">
        <v>8</v>
      </c>
      <c r="B4486">
        <v>4</v>
      </c>
      <c r="C4486"/>
      <c r="D4486" t="s">
        <v>31</v>
      </c>
      <c r="E4486" t="s">
        <v>32</v>
      </c>
      <c r="F4486" t="s">
        <v>53</v>
      </c>
      <c r="G4486" s="118">
        <v>0.78381944444444451</v>
      </c>
      <c r="H4486" s="118">
        <v>3.4722222222222224E-4</v>
      </c>
      <c r="I4486" s="118">
        <v>8.449074074074075E-4</v>
      </c>
      <c r="J4486" s="118">
        <v>5.0462962962962961E-3</v>
      </c>
      <c r="K4486" s="118">
        <v>5.0462962962962961E-3</v>
      </c>
    </row>
    <row r="4487" spans="1:11" x14ac:dyDescent="0.25">
      <c r="A4487">
        <v>5</v>
      </c>
      <c r="B4487">
        <v>17</v>
      </c>
      <c r="C4487"/>
      <c r="D4487" t="s">
        <v>31</v>
      </c>
      <c r="E4487" t="s">
        <v>35</v>
      </c>
      <c r="F4487" t="s">
        <v>52</v>
      </c>
      <c r="G4487" s="118">
        <v>0.78385416666666663</v>
      </c>
      <c r="H4487" s="118">
        <v>1.0416666666666667E-3</v>
      </c>
      <c r="I4487" s="118">
        <v>3.4722222222222224E-4</v>
      </c>
      <c r="J4487"/>
      <c r="K4487"/>
    </row>
    <row r="4488" spans="1:11" x14ac:dyDescent="0.25">
      <c r="A4488">
        <v>9</v>
      </c>
      <c r="B4488">
        <v>3</v>
      </c>
      <c r="C4488"/>
      <c r="D4488" t="s">
        <v>31</v>
      </c>
      <c r="E4488" t="s">
        <v>32</v>
      </c>
      <c r="F4488" t="s">
        <v>36</v>
      </c>
      <c r="G4488" s="118">
        <v>0.7840625</v>
      </c>
      <c r="H4488" s="118">
        <v>3.4722222222222224E-4</v>
      </c>
      <c r="I4488" s="118">
        <v>1.0995370370370371E-3</v>
      </c>
      <c r="J4488" s="118">
        <v>5.0462962962962961E-3</v>
      </c>
      <c r="K4488" s="118">
        <v>5.0462962962962961E-3</v>
      </c>
    </row>
    <row r="4489" spans="1:11" x14ac:dyDescent="0.25">
      <c r="A4489">
        <v>4</v>
      </c>
      <c r="B4489">
        <v>16</v>
      </c>
      <c r="C4489"/>
      <c r="D4489" t="s">
        <v>31</v>
      </c>
      <c r="E4489" t="s">
        <v>32</v>
      </c>
      <c r="F4489" t="s">
        <v>46</v>
      </c>
      <c r="G4489" s="118">
        <v>0.78416666666666668</v>
      </c>
      <c r="H4489" s="118">
        <v>3.4722222222222224E-4</v>
      </c>
      <c r="I4489" s="118">
        <v>9.1435185185185185E-4</v>
      </c>
      <c r="J4489" s="118">
        <v>5.0462962962962961E-3</v>
      </c>
      <c r="K4489" s="118">
        <v>5.0462962962962961E-3</v>
      </c>
    </row>
    <row r="4490" spans="1:11" x14ac:dyDescent="0.25">
      <c r="A4490">
        <v>5</v>
      </c>
      <c r="B4490">
        <v>17</v>
      </c>
      <c r="C4490"/>
      <c r="D4490" t="s">
        <v>31</v>
      </c>
      <c r="E4490" t="s">
        <v>32</v>
      </c>
      <c r="F4490" t="s">
        <v>52</v>
      </c>
      <c r="G4490" s="118">
        <v>0.78420138888888891</v>
      </c>
      <c r="H4490" s="118">
        <v>3.4722222222222224E-4</v>
      </c>
      <c r="I4490" s="118">
        <v>1.0532407407407407E-3</v>
      </c>
      <c r="J4490" s="118">
        <v>5.0462962962962961E-3</v>
      </c>
      <c r="K4490" s="118">
        <v>5.0462962962962961E-3</v>
      </c>
    </row>
    <row r="4491" spans="1:11" x14ac:dyDescent="0.25">
      <c r="A4491">
        <v>3</v>
      </c>
      <c r="B4491">
        <v>16</v>
      </c>
      <c r="C4491"/>
      <c r="D4491" t="s">
        <v>31</v>
      </c>
      <c r="E4491" t="s">
        <v>35</v>
      </c>
      <c r="F4491" t="s">
        <v>44</v>
      </c>
      <c r="G4491" s="118">
        <v>0.78430555555555559</v>
      </c>
      <c r="H4491" s="118">
        <v>1.0069444444444444E-3</v>
      </c>
      <c r="I4491" s="118">
        <v>3.4722222222222224E-4</v>
      </c>
      <c r="J4491"/>
      <c r="K4491"/>
    </row>
    <row r="4492" spans="1:11" x14ac:dyDescent="0.25">
      <c r="A4492">
        <v>1</v>
      </c>
      <c r="B4492">
        <v>15</v>
      </c>
      <c r="C4492"/>
      <c r="D4492" t="s">
        <v>31</v>
      </c>
      <c r="E4492" t="s">
        <v>35</v>
      </c>
      <c r="F4492" t="s">
        <v>92</v>
      </c>
      <c r="G4492" s="118">
        <v>0.78438657407407408</v>
      </c>
      <c r="H4492" s="118">
        <v>6.5972222222222213E-4</v>
      </c>
      <c r="I4492" s="118">
        <v>5.2083333333333333E-4</v>
      </c>
      <c r="J4492"/>
      <c r="K4492"/>
    </row>
    <row r="4493" spans="1:11" x14ac:dyDescent="0.25">
      <c r="A4493">
        <v>2</v>
      </c>
      <c r="B4493">
        <v>16</v>
      </c>
      <c r="C4493"/>
      <c r="D4493" t="s">
        <v>31</v>
      </c>
      <c r="E4493" t="s">
        <v>35</v>
      </c>
      <c r="F4493" t="s">
        <v>37</v>
      </c>
      <c r="G4493" s="118">
        <v>0.78452546296296299</v>
      </c>
      <c r="H4493" s="118">
        <v>9.6064814814814808E-4</v>
      </c>
      <c r="I4493" s="118">
        <v>3.4722222222222224E-4</v>
      </c>
      <c r="J4493"/>
      <c r="K4493"/>
    </row>
    <row r="4494" spans="1:11" x14ac:dyDescent="0.25">
      <c r="A4494">
        <v>3</v>
      </c>
      <c r="B4494">
        <v>16</v>
      </c>
      <c r="C4494"/>
      <c r="D4494" t="s">
        <v>31</v>
      </c>
      <c r="E4494" t="s">
        <v>32</v>
      </c>
      <c r="F4494" t="s">
        <v>44</v>
      </c>
      <c r="G4494" s="118">
        <v>0.78465277777777775</v>
      </c>
      <c r="H4494" s="118">
        <v>3.4722222222222224E-4</v>
      </c>
      <c r="I4494" s="118">
        <v>9.2592592592592585E-4</v>
      </c>
      <c r="J4494" s="118">
        <v>5.0462962962962961E-3</v>
      </c>
      <c r="K4494" s="118">
        <v>5.0462962962962961E-3</v>
      </c>
    </row>
    <row r="4495" spans="1:11" x14ac:dyDescent="0.25">
      <c r="A4495">
        <v>8</v>
      </c>
      <c r="B4495">
        <v>4</v>
      </c>
      <c r="C4495"/>
      <c r="D4495" t="s">
        <v>31</v>
      </c>
      <c r="E4495" t="s">
        <v>35</v>
      </c>
      <c r="F4495" t="s">
        <v>34</v>
      </c>
      <c r="G4495" s="118">
        <v>0.7846643518518519</v>
      </c>
      <c r="H4495" s="118">
        <v>8.449074074074075E-4</v>
      </c>
      <c r="I4495" s="118">
        <v>3.4722222222222224E-4</v>
      </c>
      <c r="J4495"/>
      <c r="K4495"/>
    </row>
    <row r="4496" spans="1:11" x14ac:dyDescent="0.25">
      <c r="A4496">
        <v>2</v>
      </c>
      <c r="B4496">
        <v>16</v>
      </c>
      <c r="C4496"/>
      <c r="D4496" t="s">
        <v>31</v>
      </c>
      <c r="E4496" t="s">
        <v>32</v>
      </c>
      <c r="F4496" t="s">
        <v>37</v>
      </c>
      <c r="G4496" s="118">
        <v>0.78487268518518516</v>
      </c>
      <c r="H4496" s="118">
        <v>3.4722222222222224E-4</v>
      </c>
      <c r="I4496" s="118">
        <v>9.0277777777777784E-4</v>
      </c>
      <c r="J4496" s="118">
        <v>5.0462962962962961E-3</v>
      </c>
      <c r="K4496" s="118">
        <v>5.0462962962962961E-3</v>
      </c>
    </row>
    <row r="4497" spans="1:11" x14ac:dyDescent="0.25">
      <c r="A4497">
        <v>1</v>
      </c>
      <c r="B4497">
        <v>16</v>
      </c>
      <c r="C4497"/>
      <c r="D4497" t="s">
        <v>31</v>
      </c>
      <c r="E4497" t="s">
        <v>32</v>
      </c>
      <c r="F4497" t="s">
        <v>92</v>
      </c>
      <c r="G4497" s="118">
        <v>0.78490740740740739</v>
      </c>
      <c r="H4497" s="118">
        <v>5.2083333333333333E-4</v>
      </c>
      <c r="I4497" s="118">
        <v>1.0069444444444444E-3</v>
      </c>
      <c r="J4497" s="118">
        <v>5.0462962962962961E-3</v>
      </c>
      <c r="K4497" s="118">
        <v>5.0462962962962961E-3</v>
      </c>
    </row>
    <row r="4498" spans="1:11" x14ac:dyDescent="0.25">
      <c r="A4498">
        <v>8</v>
      </c>
      <c r="B4498">
        <v>4</v>
      </c>
      <c r="C4498"/>
      <c r="D4498" t="s">
        <v>31</v>
      </c>
      <c r="E4498" t="s">
        <v>32</v>
      </c>
      <c r="F4498" t="s">
        <v>34</v>
      </c>
      <c r="G4498" s="118">
        <v>0.78501157407407407</v>
      </c>
      <c r="H4498" s="118">
        <v>3.4722222222222224E-4</v>
      </c>
      <c r="I4498" s="118">
        <v>9.1435185185185185E-4</v>
      </c>
      <c r="J4498" s="118">
        <v>5.0462962962962961E-3</v>
      </c>
      <c r="K4498" s="118">
        <v>5.0462962962962961E-3</v>
      </c>
    </row>
    <row r="4499" spans="1:11" x14ac:dyDescent="0.25">
      <c r="A4499">
        <v>4</v>
      </c>
      <c r="B4499">
        <v>16</v>
      </c>
      <c r="C4499"/>
      <c r="D4499" t="s">
        <v>31</v>
      </c>
      <c r="E4499" t="s">
        <v>35</v>
      </c>
      <c r="F4499" t="s">
        <v>51</v>
      </c>
      <c r="G4499" s="118">
        <v>0.78508101851851853</v>
      </c>
      <c r="H4499" s="118">
        <v>9.1435185185185185E-4</v>
      </c>
      <c r="I4499" s="118">
        <v>3.4722222222222224E-4</v>
      </c>
      <c r="J4499"/>
      <c r="K4499"/>
    </row>
    <row r="4500" spans="1:11" x14ac:dyDescent="0.25">
      <c r="A4500">
        <v>9</v>
      </c>
      <c r="B4500">
        <v>3</v>
      </c>
      <c r="C4500"/>
      <c r="D4500" t="s">
        <v>31</v>
      </c>
      <c r="E4500" t="s">
        <v>35</v>
      </c>
      <c r="F4500" t="s">
        <v>43</v>
      </c>
      <c r="G4500" s="118">
        <v>0.78516203703703702</v>
      </c>
      <c r="H4500" s="118">
        <v>1.0995370370370371E-3</v>
      </c>
      <c r="I4500" s="118">
        <v>3.4722222222222224E-4</v>
      </c>
      <c r="J4500"/>
      <c r="K4500"/>
    </row>
    <row r="4501" spans="1:11" x14ac:dyDescent="0.25">
      <c r="A4501">
        <v>5</v>
      </c>
      <c r="B4501">
        <v>17</v>
      </c>
      <c r="C4501"/>
      <c r="D4501" t="s">
        <v>31</v>
      </c>
      <c r="E4501" t="s">
        <v>35</v>
      </c>
      <c r="F4501" t="s">
        <v>57</v>
      </c>
      <c r="G4501" s="118">
        <v>0.78525462962962955</v>
      </c>
      <c r="H4501" s="118">
        <v>1.0532407407407407E-3</v>
      </c>
      <c r="I4501" s="118">
        <v>3.4722222222222224E-4</v>
      </c>
      <c r="J4501"/>
      <c r="K4501"/>
    </row>
    <row r="4502" spans="1:11" x14ac:dyDescent="0.25">
      <c r="A4502">
        <v>4</v>
      </c>
      <c r="B4502">
        <v>16</v>
      </c>
      <c r="C4502"/>
      <c r="D4502" t="s">
        <v>31</v>
      </c>
      <c r="E4502" t="s">
        <v>32</v>
      </c>
      <c r="F4502" t="s">
        <v>51</v>
      </c>
      <c r="G4502" s="118">
        <v>0.78542824074074069</v>
      </c>
      <c r="H4502" s="118">
        <v>3.4722222222222224E-4</v>
      </c>
      <c r="I4502" s="118">
        <v>1.0069444444444444E-3</v>
      </c>
      <c r="J4502" s="118">
        <v>5.0462962962962961E-3</v>
      </c>
      <c r="K4502" s="118">
        <v>5.0462962962962961E-3</v>
      </c>
    </row>
    <row r="4503" spans="1:11" x14ac:dyDescent="0.25">
      <c r="A4503">
        <v>9</v>
      </c>
      <c r="B4503">
        <v>3</v>
      </c>
      <c r="C4503"/>
      <c r="D4503" t="s">
        <v>31</v>
      </c>
      <c r="E4503" t="s">
        <v>32</v>
      </c>
      <c r="F4503" t="s">
        <v>43</v>
      </c>
      <c r="G4503" s="118">
        <v>0.7855092592592593</v>
      </c>
      <c r="H4503" s="118">
        <v>3.4722222222222224E-4</v>
      </c>
      <c r="I4503" s="118">
        <v>1.1458333333333333E-3</v>
      </c>
      <c r="J4503" s="118">
        <v>5.0462962962962961E-3</v>
      </c>
      <c r="K4503" s="118">
        <v>5.0462962962962961E-3</v>
      </c>
    </row>
    <row r="4504" spans="1:11" x14ac:dyDescent="0.25">
      <c r="A4504">
        <v>3</v>
      </c>
      <c r="B4504">
        <v>16</v>
      </c>
      <c r="C4504"/>
      <c r="D4504" t="s">
        <v>31</v>
      </c>
      <c r="E4504" t="s">
        <v>35</v>
      </c>
      <c r="F4504" t="s">
        <v>49</v>
      </c>
      <c r="G4504" s="118">
        <v>0.78557870370370375</v>
      </c>
      <c r="H4504" s="118">
        <v>9.2592592592592585E-4</v>
      </c>
      <c r="I4504" s="118">
        <v>3.4722222222222224E-4</v>
      </c>
      <c r="J4504"/>
      <c r="K4504"/>
    </row>
    <row r="4505" spans="1:11" x14ac:dyDescent="0.25">
      <c r="A4505">
        <v>5</v>
      </c>
      <c r="B4505">
        <v>17</v>
      </c>
      <c r="C4505"/>
      <c r="D4505" t="s">
        <v>31</v>
      </c>
      <c r="E4505" t="s">
        <v>32</v>
      </c>
      <c r="F4505" t="s">
        <v>57</v>
      </c>
      <c r="G4505" s="118">
        <v>0.78560185185185183</v>
      </c>
      <c r="H4505" s="118">
        <v>3.4722222222222224E-4</v>
      </c>
      <c r="I4505" s="118">
        <v>9.3750000000000007E-4</v>
      </c>
      <c r="J4505" s="118">
        <v>5.0462962962962961E-3</v>
      </c>
      <c r="K4505" s="118">
        <v>5.0462962962962961E-3</v>
      </c>
    </row>
    <row r="4506" spans="1:11" x14ac:dyDescent="0.25">
      <c r="A4506">
        <v>2</v>
      </c>
      <c r="B4506">
        <v>16</v>
      </c>
      <c r="C4506"/>
      <c r="D4506" t="s">
        <v>31</v>
      </c>
      <c r="E4506" t="s">
        <v>35</v>
      </c>
      <c r="F4506" t="s">
        <v>42</v>
      </c>
      <c r="G4506" s="118">
        <v>0.78577546296296286</v>
      </c>
      <c r="H4506" s="118">
        <v>9.0277777777777784E-4</v>
      </c>
      <c r="I4506" s="118">
        <v>3.4722222222222224E-4</v>
      </c>
      <c r="J4506"/>
      <c r="K4506"/>
    </row>
    <row r="4507" spans="1:11" x14ac:dyDescent="0.25">
      <c r="A4507">
        <v>1</v>
      </c>
      <c r="B4507">
        <v>16</v>
      </c>
      <c r="C4507"/>
      <c r="D4507" t="s">
        <v>31</v>
      </c>
      <c r="E4507" t="s">
        <v>35</v>
      </c>
      <c r="F4507" t="s">
        <v>41</v>
      </c>
      <c r="G4507" s="118">
        <v>0.78591435185185177</v>
      </c>
      <c r="H4507" s="118">
        <v>1.0069444444444444E-3</v>
      </c>
      <c r="I4507" s="118">
        <v>3.4722222222222224E-4</v>
      </c>
      <c r="J4507"/>
      <c r="K4507"/>
    </row>
    <row r="4508" spans="1:11" x14ac:dyDescent="0.25">
      <c r="A4508">
        <v>3</v>
      </c>
      <c r="B4508">
        <v>16</v>
      </c>
      <c r="C4508"/>
      <c r="D4508" t="s">
        <v>31</v>
      </c>
      <c r="E4508" t="s">
        <v>32</v>
      </c>
      <c r="F4508" t="s">
        <v>49</v>
      </c>
      <c r="G4508" s="118">
        <v>0.78592592592592592</v>
      </c>
      <c r="H4508" s="118">
        <v>3.4722222222222224E-4</v>
      </c>
      <c r="I4508" s="118">
        <v>1.3541666666666667E-3</v>
      </c>
      <c r="J4508" s="118">
        <v>5.0462962962962961E-3</v>
      </c>
      <c r="K4508" s="118">
        <v>5.0462962962962961E-3</v>
      </c>
    </row>
    <row r="4509" spans="1:11" x14ac:dyDescent="0.25">
      <c r="A4509">
        <v>8</v>
      </c>
      <c r="B4509">
        <v>4</v>
      </c>
      <c r="C4509"/>
      <c r="D4509" t="s">
        <v>31</v>
      </c>
      <c r="E4509" t="s">
        <v>35</v>
      </c>
      <c r="F4509" t="s">
        <v>38</v>
      </c>
      <c r="G4509" s="118">
        <v>0.78592592592592592</v>
      </c>
      <c r="H4509" s="118">
        <v>9.1435185185185185E-4</v>
      </c>
      <c r="I4509" s="118">
        <v>3.4722222222222224E-4</v>
      </c>
      <c r="J4509"/>
      <c r="K4509"/>
    </row>
    <row r="4510" spans="1:11" x14ac:dyDescent="0.25">
      <c r="A4510">
        <v>2</v>
      </c>
      <c r="B4510">
        <v>16</v>
      </c>
      <c r="C4510"/>
      <c r="D4510" t="s">
        <v>31</v>
      </c>
      <c r="E4510" t="s">
        <v>32</v>
      </c>
      <c r="F4510" t="s">
        <v>42</v>
      </c>
      <c r="G4510" s="118">
        <v>0.78612268518518524</v>
      </c>
      <c r="H4510" s="118">
        <v>3.4722222222222224E-4</v>
      </c>
      <c r="I4510" s="118">
        <v>9.1435185185185185E-4</v>
      </c>
      <c r="J4510" s="118">
        <v>5.0462962962962961E-3</v>
      </c>
      <c r="K4510" s="118">
        <v>5.0462962962962961E-3</v>
      </c>
    </row>
    <row r="4511" spans="1:11" x14ac:dyDescent="0.25">
      <c r="A4511">
        <v>1</v>
      </c>
      <c r="B4511">
        <v>16</v>
      </c>
      <c r="C4511"/>
      <c r="D4511" t="s">
        <v>31</v>
      </c>
      <c r="E4511" t="s">
        <v>32</v>
      </c>
      <c r="F4511" t="s">
        <v>41</v>
      </c>
      <c r="G4511" s="118">
        <v>0.78626157407407404</v>
      </c>
      <c r="H4511" s="118">
        <v>3.4722222222222224E-4</v>
      </c>
      <c r="I4511" s="118">
        <v>8.564814814814815E-4</v>
      </c>
      <c r="J4511" s="118">
        <v>5.0462962962962961E-3</v>
      </c>
      <c r="K4511" s="118">
        <v>5.0462962962962961E-3</v>
      </c>
    </row>
    <row r="4512" spans="1:11" x14ac:dyDescent="0.25">
      <c r="A4512">
        <v>8</v>
      </c>
      <c r="B4512">
        <v>4</v>
      </c>
      <c r="C4512"/>
      <c r="D4512" t="s">
        <v>31</v>
      </c>
      <c r="E4512" t="s">
        <v>32</v>
      </c>
      <c r="F4512" t="s">
        <v>38</v>
      </c>
      <c r="G4512" s="118">
        <v>0.78627314814814808</v>
      </c>
      <c r="H4512" s="118">
        <v>3.4722222222222224E-4</v>
      </c>
      <c r="I4512" s="118">
        <v>1.2384259259259258E-3</v>
      </c>
      <c r="J4512" s="118">
        <v>5.0462962962962961E-3</v>
      </c>
      <c r="K4512" s="118">
        <v>5.0462962962962961E-3</v>
      </c>
    </row>
    <row r="4513" spans="1:11" x14ac:dyDescent="0.25">
      <c r="A4513">
        <v>4</v>
      </c>
      <c r="B4513">
        <v>16</v>
      </c>
      <c r="C4513"/>
      <c r="D4513" t="s">
        <v>31</v>
      </c>
      <c r="E4513" t="s">
        <v>35</v>
      </c>
      <c r="F4513" t="s">
        <v>55</v>
      </c>
      <c r="G4513" s="118">
        <v>0.78643518518518529</v>
      </c>
      <c r="H4513" s="118">
        <v>1.0069444444444444E-3</v>
      </c>
      <c r="I4513" s="118">
        <v>4.6296296296296293E-4</v>
      </c>
      <c r="J4513"/>
      <c r="K4513"/>
    </row>
    <row r="4514" spans="1:11" x14ac:dyDescent="0.25">
      <c r="A4514">
        <v>5</v>
      </c>
      <c r="B4514">
        <v>17</v>
      </c>
      <c r="C4514"/>
      <c r="D4514" t="s">
        <v>31</v>
      </c>
      <c r="E4514" t="s">
        <v>35</v>
      </c>
      <c r="F4514" t="s">
        <v>39</v>
      </c>
      <c r="G4514" s="118">
        <v>0.78653935185185186</v>
      </c>
      <c r="H4514" s="118">
        <v>9.3750000000000007E-4</v>
      </c>
      <c r="I4514" s="118">
        <v>5.2083333333333333E-4</v>
      </c>
      <c r="J4514"/>
      <c r="K4514"/>
    </row>
    <row r="4515" spans="1:11" x14ac:dyDescent="0.25">
      <c r="A4515">
        <v>9</v>
      </c>
      <c r="B4515">
        <v>3</v>
      </c>
      <c r="C4515"/>
      <c r="D4515" t="s">
        <v>31</v>
      </c>
      <c r="E4515" t="s">
        <v>35</v>
      </c>
      <c r="F4515" t="s">
        <v>50</v>
      </c>
      <c r="G4515" s="118">
        <v>0.7866550925925927</v>
      </c>
      <c r="H4515" s="118">
        <v>1.1458333333333333E-3</v>
      </c>
      <c r="I4515" s="118">
        <v>3.4722222222222224E-4</v>
      </c>
      <c r="J4515"/>
      <c r="K4515"/>
    </row>
    <row r="4516" spans="1:11" x14ac:dyDescent="0.25">
      <c r="A4516">
        <v>4</v>
      </c>
      <c r="B4516">
        <v>16</v>
      </c>
      <c r="C4516"/>
      <c r="D4516" t="s">
        <v>31</v>
      </c>
      <c r="E4516" t="s">
        <v>32</v>
      </c>
      <c r="F4516" t="s">
        <v>55</v>
      </c>
      <c r="G4516" s="118">
        <v>0.78689814814814818</v>
      </c>
      <c r="H4516" s="118">
        <v>4.6296296296296293E-4</v>
      </c>
      <c r="I4516" s="118">
        <v>4.3981481481481481E-4</v>
      </c>
      <c r="J4516" s="118">
        <v>5.0462962962962961E-3</v>
      </c>
      <c r="K4516" s="118">
        <v>5.0462962962962961E-3</v>
      </c>
    </row>
    <row r="4517" spans="1:11" x14ac:dyDescent="0.25">
      <c r="A4517">
        <v>9</v>
      </c>
      <c r="B4517">
        <v>3</v>
      </c>
      <c r="C4517"/>
      <c r="D4517" t="s">
        <v>31</v>
      </c>
      <c r="E4517" t="s">
        <v>32</v>
      </c>
      <c r="F4517" t="s">
        <v>50</v>
      </c>
      <c r="G4517" s="118">
        <v>0.78700231481481486</v>
      </c>
      <c r="H4517" s="118">
        <v>3.4722222222222224E-4</v>
      </c>
      <c r="I4517" s="118">
        <v>1.261574074074074E-3</v>
      </c>
      <c r="J4517" s="118">
        <v>5.0462962962962961E-3</v>
      </c>
      <c r="K4517" s="118">
        <v>5.0462962962962961E-3</v>
      </c>
    </row>
    <row r="4518" spans="1:11" x14ac:dyDescent="0.25">
      <c r="A4518">
        <v>2</v>
      </c>
      <c r="B4518">
        <v>16</v>
      </c>
      <c r="C4518"/>
      <c r="D4518" t="s">
        <v>31</v>
      </c>
      <c r="E4518" t="s">
        <v>35</v>
      </c>
      <c r="F4518" t="s">
        <v>48</v>
      </c>
      <c r="G4518" s="118">
        <v>0.78703703703703709</v>
      </c>
      <c r="H4518" s="118">
        <v>9.1435185185185185E-4</v>
      </c>
      <c r="I4518" s="118">
        <v>5.2083333333333333E-4</v>
      </c>
      <c r="J4518"/>
      <c r="K4518"/>
    </row>
    <row r="4519" spans="1:11" x14ac:dyDescent="0.25">
      <c r="A4519">
        <v>5</v>
      </c>
      <c r="B4519">
        <v>17</v>
      </c>
      <c r="C4519"/>
      <c r="D4519" t="s">
        <v>31</v>
      </c>
      <c r="E4519" t="s">
        <v>32</v>
      </c>
      <c r="F4519" t="s">
        <v>39</v>
      </c>
      <c r="G4519" s="118">
        <v>0.78706018518518517</v>
      </c>
      <c r="H4519" s="118">
        <v>5.2083333333333333E-4</v>
      </c>
      <c r="I4519" s="118">
        <v>1.8055555555555557E-3</v>
      </c>
      <c r="J4519" s="118">
        <v>5.0462962962962961E-3</v>
      </c>
      <c r="K4519" s="118">
        <v>5.0462962962962961E-3</v>
      </c>
    </row>
    <row r="4520" spans="1:11" x14ac:dyDescent="0.25">
      <c r="A4520">
        <v>1</v>
      </c>
      <c r="B4520">
        <v>16</v>
      </c>
      <c r="C4520"/>
      <c r="D4520" t="s">
        <v>31</v>
      </c>
      <c r="E4520" t="s">
        <v>35</v>
      </c>
      <c r="F4520" t="s">
        <v>47</v>
      </c>
      <c r="G4520" s="118">
        <v>0.78711805555555558</v>
      </c>
      <c r="H4520" s="118">
        <v>8.564814814814815E-4</v>
      </c>
      <c r="I4520" s="118">
        <v>5.2083333333333333E-4</v>
      </c>
      <c r="J4520"/>
      <c r="K4520"/>
    </row>
    <row r="4521" spans="1:11" x14ac:dyDescent="0.25">
      <c r="A4521">
        <v>3</v>
      </c>
      <c r="B4521">
        <v>16</v>
      </c>
      <c r="C4521"/>
      <c r="D4521" t="s">
        <v>31</v>
      </c>
      <c r="E4521" t="s">
        <v>35</v>
      </c>
      <c r="F4521" t="s">
        <v>33</v>
      </c>
      <c r="G4521" s="118">
        <v>0.78728009259259257</v>
      </c>
      <c r="H4521" s="118">
        <v>1.3541666666666667E-3</v>
      </c>
      <c r="I4521" s="118">
        <v>5.2083333333333333E-4</v>
      </c>
      <c r="J4521"/>
      <c r="K4521"/>
    </row>
    <row r="4522" spans="1:11" x14ac:dyDescent="0.25">
      <c r="A4522">
        <v>4</v>
      </c>
      <c r="B4522">
        <v>16</v>
      </c>
      <c r="C4522"/>
      <c r="D4522" t="s">
        <v>31</v>
      </c>
      <c r="E4522" t="s">
        <v>35</v>
      </c>
      <c r="F4522" t="s">
        <v>58</v>
      </c>
      <c r="G4522" s="118">
        <v>0.78733796296296299</v>
      </c>
      <c r="H4522" s="118">
        <v>4.3981481481481481E-4</v>
      </c>
      <c r="I4522" s="118">
        <v>5.7870370370370366E-5</v>
      </c>
      <c r="J4522"/>
      <c r="K4522"/>
    </row>
    <row r="4523" spans="1:11" x14ac:dyDescent="0.25">
      <c r="A4523">
        <v>4</v>
      </c>
      <c r="B4523">
        <v>16</v>
      </c>
      <c r="C4523"/>
      <c r="D4523" t="s">
        <v>31</v>
      </c>
      <c r="E4523" t="s">
        <v>32</v>
      </c>
      <c r="F4523" t="s">
        <v>58</v>
      </c>
      <c r="G4523" s="118">
        <v>0.78739583333333341</v>
      </c>
      <c r="H4523" s="118">
        <v>5.7870370370370366E-5</v>
      </c>
      <c r="I4523" s="118">
        <v>4.8611111111111104E-4</v>
      </c>
      <c r="J4523" s="118">
        <v>5.0462962962962961E-3</v>
      </c>
      <c r="K4523" s="118">
        <v>5.0462962962962961E-3</v>
      </c>
    </row>
    <row r="4524" spans="1:11" x14ac:dyDescent="0.25">
      <c r="A4524">
        <v>8</v>
      </c>
      <c r="B4524">
        <v>4</v>
      </c>
      <c r="C4524"/>
      <c r="D4524" t="s">
        <v>31</v>
      </c>
      <c r="E4524" t="s">
        <v>35</v>
      </c>
      <c r="F4524" t="s">
        <v>45</v>
      </c>
      <c r="G4524" s="118">
        <v>0.78751157407407402</v>
      </c>
      <c r="H4524" s="118">
        <v>1.2384259259259258E-3</v>
      </c>
      <c r="I4524" s="118">
        <v>3.4722222222222224E-4</v>
      </c>
      <c r="J4524"/>
      <c r="K4524"/>
    </row>
    <row r="4525" spans="1:11" x14ac:dyDescent="0.25">
      <c r="A4525">
        <v>2</v>
      </c>
      <c r="B4525">
        <v>16</v>
      </c>
      <c r="C4525"/>
      <c r="D4525" t="s">
        <v>31</v>
      </c>
      <c r="E4525" t="s">
        <v>32</v>
      </c>
      <c r="F4525" t="s">
        <v>48</v>
      </c>
      <c r="G4525" s="118">
        <v>0.78755787037037039</v>
      </c>
      <c r="H4525" s="118">
        <v>5.2083333333333333E-4</v>
      </c>
      <c r="I4525" s="118">
        <v>8.6805555555555551E-4</v>
      </c>
      <c r="J4525" s="118">
        <v>5.0462962962962961E-3</v>
      </c>
      <c r="K4525" s="118">
        <v>5.0462962962962961E-3</v>
      </c>
    </row>
    <row r="4526" spans="1:11" x14ac:dyDescent="0.25">
      <c r="A4526">
        <v>1</v>
      </c>
      <c r="B4526">
        <v>16</v>
      </c>
      <c r="C4526"/>
      <c r="D4526" t="s">
        <v>31</v>
      </c>
      <c r="E4526" t="s">
        <v>32</v>
      </c>
      <c r="F4526" t="s">
        <v>47</v>
      </c>
      <c r="G4526" s="118">
        <v>0.78763888888888889</v>
      </c>
      <c r="H4526" s="118">
        <v>5.2083333333333333E-4</v>
      </c>
      <c r="I4526" s="118">
        <v>8.7962962962962962E-4</v>
      </c>
      <c r="J4526" s="118">
        <v>5.0462962962962961E-3</v>
      </c>
      <c r="K4526" s="118">
        <v>5.0462962962962961E-3</v>
      </c>
    </row>
    <row r="4527" spans="1:11" x14ac:dyDescent="0.25">
      <c r="A4527">
        <v>3</v>
      </c>
      <c r="B4527">
        <v>16</v>
      </c>
      <c r="C4527"/>
      <c r="D4527" t="s">
        <v>31</v>
      </c>
      <c r="E4527" t="s">
        <v>32</v>
      </c>
      <c r="F4527" t="s">
        <v>33</v>
      </c>
      <c r="G4527" s="118">
        <v>0.78780092592592599</v>
      </c>
      <c r="H4527" s="118">
        <v>5.2083333333333333E-4</v>
      </c>
      <c r="I4527" s="118">
        <v>9.6064814814814808E-4</v>
      </c>
      <c r="J4527" s="118">
        <v>5.0462962962962961E-3</v>
      </c>
      <c r="K4527" s="118">
        <v>5.0462962962962961E-3</v>
      </c>
    </row>
    <row r="4528" spans="1:11" x14ac:dyDescent="0.25">
      <c r="A4528">
        <v>8</v>
      </c>
      <c r="B4528">
        <v>4</v>
      </c>
      <c r="C4528"/>
      <c r="D4528" t="s">
        <v>31</v>
      </c>
      <c r="E4528" t="s">
        <v>32</v>
      </c>
      <c r="F4528" t="s">
        <v>45</v>
      </c>
      <c r="G4528" s="118">
        <v>0.78785879629629629</v>
      </c>
      <c r="H4528" s="118">
        <v>3.4722222222222224E-4</v>
      </c>
      <c r="I4528" s="118">
        <v>1.0416666666666667E-3</v>
      </c>
      <c r="J4528" s="118">
        <v>5.0462962962962961E-3</v>
      </c>
      <c r="K4528" s="118">
        <v>5.0462962962962961E-3</v>
      </c>
    </row>
    <row r="4529" spans="1:11" x14ac:dyDescent="0.25">
      <c r="A4529">
        <v>4</v>
      </c>
      <c r="B4529">
        <v>16</v>
      </c>
      <c r="C4529"/>
      <c r="D4529" t="s">
        <v>31</v>
      </c>
      <c r="E4529" t="s">
        <v>35</v>
      </c>
      <c r="F4529" t="s">
        <v>40</v>
      </c>
      <c r="G4529" s="118">
        <v>0.78788194444444448</v>
      </c>
      <c r="H4529" s="118">
        <v>4.8611111111111104E-4</v>
      </c>
      <c r="I4529" s="118">
        <v>4.6296296296296293E-4</v>
      </c>
      <c r="J4529"/>
      <c r="K4529"/>
    </row>
    <row r="4530" spans="1:11" x14ac:dyDescent="0.25">
      <c r="A4530">
        <v>9</v>
      </c>
      <c r="B4530">
        <v>3</v>
      </c>
      <c r="C4530"/>
      <c r="D4530" t="s">
        <v>31</v>
      </c>
      <c r="E4530" t="s">
        <v>35</v>
      </c>
      <c r="F4530" t="s">
        <v>56</v>
      </c>
      <c r="G4530" s="118">
        <v>0.78826388888888888</v>
      </c>
      <c r="H4530" s="118">
        <v>1.261574074074074E-3</v>
      </c>
      <c r="I4530" s="118">
        <v>3.4722222222222224E-4</v>
      </c>
      <c r="J4530"/>
      <c r="K4530"/>
    </row>
    <row r="4531" spans="1:11" x14ac:dyDescent="0.25">
      <c r="A4531">
        <v>4</v>
      </c>
      <c r="B4531">
        <v>16</v>
      </c>
      <c r="C4531"/>
      <c r="D4531" t="s">
        <v>31</v>
      </c>
      <c r="E4531" t="s">
        <v>32</v>
      </c>
      <c r="F4531" t="s">
        <v>40</v>
      </c>
      <c r="G4531" s="118">
        <v>0.78834490740740737</v>
      </c>
      <c r="H4531" s="118">
        <v>4.6296296296296293E-4</v>
      </c>
      <c r="I4531" s="118">
        <v>1.0069444444444444E-3</v>
      </c>
      <c r="J4531" s="118">
        <v>5.0462962962962961E-3</v>
      </c>
      <c r="K4531" s="118">
        <v>5.0462962962962961E-3</v>
      </c>
    </row>
    <row r="4532" spans="1:11" x14ac:dyDescent="0.25">
      <c r="A4532">
        <v>2</v>
      </c>
      <c r="B4532">
        <v>16</v>
      </c>
      <c r="C4532"/>
      <c r="D4532" t="s">
        <v>31</v>
      </c>
      <c r="E4532" t="s">
        <v>35</v>
      </c>
      <c r="F4532" t="s">
        <v>54</v>
      </c>
      <c r="G4532" s="118">
        <v>0.78842592592592586</v>
      </c>
      <c r="H4532" s="118">
        <v>8.6805555555555551E-4</v>
      </c>
      <c r="I4532" s="118">
        <v>3.4722222222222224E-4</v>
      </c>
      <c r="J4532"/>
      <c r="K4532"/>
    </row>
    <row r="4533" spans="1:11" x14ac:dyDescent="0.25">
      <c r="A4533">
        <v>1</v>
      </c>
      <c r="B4533">
        <v>16</v>
      </c>
      <c r="C4533"/>
      <c r="D4533" t="s">
        <v>31</v>
      </c>
      <c r="E4533" t="s">
        <v>35</v>
      </c>
      <c r="F4533" t="s">
        <v>53</v>
      </c>
      <c r="G4533" s="118">
        <v>0.78851851851851851</v>
      </c>
      <c r="H4533" s="118">
        <v>8.7962962962962962E-4</v>
      </c>
      <c r="I4533" s="118">
        <v>3.4722222222222224E-4</v>
      </c>
      <c r="J4533"/>
      <c r="K4533"/>
    </row>
    <row r="4534" spans="1:11" x14ac:dyDescent="0.25">
      <c r="A4534">
        <v>9</v>
      </c>
      <c r="B4534">
        <v>3</v>
      </c>
      <c r="C4534"/>
      <c r="D4534" t="s">
        <v>31</v>
      </c>
      <c r="E4534" t="s">
        <v>32</v>
      </c>
      <c r="F4534" t="s">
        <v>56</v>
      </c>
      <c r="G4534" s="118">
        <v>0.78861111111111104</v>
      </c>
      <c r="H4534" s="118">
        <v>3.4722222222222224E-4</v>
      </c>
      <c r="I4534" s="118">
        <v>9.6064814814814808E-4</v>
      </c>
      <c r="J4534" s="118">
        <v>5.0462962962962961E-3</v>
      </c>
      <c r="K4534" s="118">
        <v>5.0462962962962961E-3</v>
      </c>
    </row>
    <row r="4535" spans="1:11" x14ac:dyDescent="0.25">
      <c r="A4535">
        <v>3</v>
      </c>
      <c r="B4535">
        <v>16</v>
      </c>
      <c r="C4535"/>
      <c r="D4535" t="s">
        <v>31</v>
      </c>
      <c r="E4535" t="s">
        <v>35</v>
      </c>
      <c r="F4535" t="s">
        <v>36</v>
      </c>
      <c r="G4535" s="118">
        <v>0.7887615740740741</v>
      </c>
      <c r="H4535" s="118">
        <v>9.6064814814814808E-4</v>
      </c>
      <c r="I4535" s="118">
        <v>3.4722222222222224E-4</v>
      </c>
      <c r="J4535"/>
      <c r="K4535"/>
    </row>
    <row r="4536" spans="1:11" x14ac:dyDescent="0.25">
      <c r="A4536">
        <v>2</v>
      </c>
      <c r="B4536">
        <v>16</v>
      </c>
      <c r="C4536"/>
      <c r="D4536" t="s">
        <v>31</v>
      </c>
      <c r="E4536" t="s">
        <v>32</v>
      </c>
      <c r="F4536" t="s">
        <v>54</v>
      </c>
      <c r="G4536" s="118">
        <v>0.78877314814814825</v>
      </c>
      <c r="H4536" s="118">
        <v>3.4722222222222224E-4</v>
      </c>
      <c r="I4536" s="118">
        <v>6.5972222222222213E-4</v>
      </c>
      <c r="J4536" s="118">
        <v>5.0462962962962961E-3</v>
      </c>
      <c r="K4536" s="118">
        <v>5.0462962962962961E-3</v>
      </c>
    </row>
    <row r="4537" spans="1:11" x14ac:dyDescent="0.25">
      <c r="A4537">
        <v>1</v>
      </c>
      <c r="B4537">
        <v>16</v>
      </c>
      <c r="C4537"/>
      <c r="D4537" t="s">
        <v>31</v>
      </c>
      <c r="E4537" t="s">
        <v>32</v>
      </c>
      <c r="F4537" t="s">
        <v>53</v>
      </c>
      <c r="G4537" s="118">
        <v>0.78886574074074067</v>
      </c>
      <c r="H4537" s="118">
        <v>3.4722222222222224E-4</v>
      </c>
      <c r="I4537" s="118">
        <v>8.449074074074075E-4</v>
      </c>
      <c r="J4537" s="118">
        <v>5.0462962962962961E-3</v>
      </c>
      <c r="K4537" s="118">
        <v>5.0462962962962961E-3</v>
      </c>
    </row>
    <row r="4538" spans="1:11" x14ac:dyDescent="0.25">
      <c r="A4538">
        <v>5</v>
      </c>
      <c r="B4538">
        <v>17</v>
      </c>
      <c r="C4538"/>
      <c r="D4538" t="s">
        <v>31</v>
      </c>
      <c r="E4538" t="s">
        <v>35</v>
      </c>
      <c r="F4538" t="s">
        <v>46</v>
      </c>
      <c r="G4538" s="118">
        <v>0.78886574074074067</v>
      </c>
      <c r="H4538" s="118">
        <v>1.8055555555555557E-3</v>
      </c>
      <c r="I4538" s="118">
        <v>3.4722222222222224E-4</v>
      </c>
      <c r="J4538"/>
      <c r="K4538"/>
    </row>
    <row r="4539" spans="1:11" x14ac:dyDescent="0.25">
      <c r="A4539">
        <v>8</v>
      </c>
      <c r="B4539">
        <v>4</v>
      </c>
      <c r="C4539"/>
      <c r="D4539" t="s">
        <v>31</v>
      </c>
      <c r="E4539" t="s">
        <v>35</v>
      </c>
      <c r="F4539" t="s">
        <v>52</v>
      </c>
      <c r="G4539" s="118">
        <v>0.78890046296296301</v>
      </c>
      <c r="H4539" s="118">
        <v>1.0416666666666667E-3</v>
      </c>
      <c r="I4539" s="118">
        <v>3.4722222222222224E-4</v>
      </c>
      <c r="J4539"/>
      <c r="K4539"/>
    </row>
    <row r="4540" spans="1:11" x14ac:dyDescent="0.25">
      <c r="A4540">
        <v>3</v>
      </c>
      <c r="B4540">
        <v>16</v>
      </c>
      <c r="C4540"/>
      <c r="D4540" t="s">
        <v>31</v>
      </c>
      <c r="E4540" t="s">
        <v>32</v>
      </c>
      <c r="F4540" t="s">
        <v>36</v>
      </c>
      <c r="G4540" s="118">
        <v>0.78910879629629627</v>
      </c>
      <c r="H4540" s="118">
        <v>3.4722222222222224E-4</v>
      </c>
      <c r="I4540" s="118">
        <v>1.0995370370370371E-3</v>
      </c>
      <c r="J4540" s="118">
        <v>5.0462962962962961E-3</v>
      </c>
      <c r="K4540" s="118">
        <v>5.0462962962962961E-3</v>
      </c>
    </row>
    <row r="4541" spans="1:11" x14ac:dyDescent="0.25">
      <c r="A4541">
        <v>5</v>
      </c>
      <c r="B4541">
        <v>17</v>
      </c>
      <c r="C4541"/>
      <c r="D4541" t="s">
        <v>31</v>
      </c>
      <c r="E4541" t="s">
        <v>32</v>
      </c>
      <c r="F4541" t="s">
        <v>46</v>
      </c>
      <c r="G4541" s="118">
        <v>0.78921296296296306</v>
      </c>
      <c r="H4541" s="118">
        <v>3.4722222222222224E-4</v>
      </c>
      <c r="I4541" s="118">
        <v>9.1435185185185185E-4</v>
      </c>
      <c r="J4541" s="118">
        <v>5.0462962962962961E-3</v>
      </c>
      <c r="K4541" s="118">
        <v>5.0462962962962961E-3</v>
      </c>
    </row>
    <row r="4542" spans="1:11" x14ac:dyDescent="0.25">
      <c r="A4542">
        <v>8</v>
      </c>
      <c r="B4542">
        <v>4</v>
      </c>
      <c r="C4542"/>
      <c r="D4542" t="s">
        <v>31</v>
      </c>
      <c r="E4542" t="s">
        <v>32</v>
      </c>
      <c r="F4542" t="s">
        <v>52</v>
      </c>
      <c r="G4542" s="118">
        <v>0.78924768518518518</v>
      </c>
      <c r="H4542" s="118">
        <v>3.4722222222222224E-4</v>
      </c>
      <c r="I4542" s="118">
        <v>1.0532407407407407E-3</v>
      </c>
      <c r="J4542" s="118">
        <v>5.0462962962962961E-3</v>
      </c>
      <c r="K4542" s="118">
        <v>5.0462962962962961E-3</v>
      </c>
    </row>
    <row r="4543" spans="1:11" x14ac:dyDescent="0.25">
      <c r="A4543">
        <v>4</v>
      </c>
      <c r="B4543">
        <v>16</v>
      </c>
      <c r="C4543"/>
      <c r="D4543" t="s">
        <v>31</v>
      </c>
      <c r="E4543" t="s">
        <v>35</v>
      </c>
      <c r="F4543" t="s">
        <v>44</v>
      </c>
      <c r="G4543" s="118">
        <v>0.78935185185185175</v>
      </c>
      <c r="H4543" s="118">
        <v>1.0069444444444444E-3</v>
      </c>
      <c r="I4543" s="118">
        <v>3.4722222222222224E-4</v>
      </c>
      <c r="J4543"/>
      <c r="K4543"/>
    </row>
    <row r="4544" spans="1:11" x14ac:dyDescent="0.25">
      <c r="A4544">
        <v>2</v>
      </c>
      <c r="B4544">
        <v>16</v>
      </c>
      <c r="C4544"/>
      <c r="D4544" t="s">
        <v>31</v>
      </c>
      <c r="E4544" t="s">
        <v>35</v>
      </c>
      <c r="F4544" t="s">
        <v>92</v>
      </c>
      <c r="G4544" s="118">
        <v>0.78943287037037047</v>
      </c>
      <c r="H4544" s="118">
        <v>6.5972222222222213E-4</v>
      </c>
      <c r="I4544" s="118">
        <v>5.2083333333333333E-4</v>
      </c>
      <c r="J4544"/>
      <c r="K4544"/>
    </row>
    <row r="4545" spans="1:11" x14ac:dyDescent="0.25">
      <c r="A4545">
        <v>9</v>
      </c>
      <c r="B4545">
        <v>3</v>
      </c>
      <c r="C4545"/>
      <c r="D4545" t="s">
        <v>31</v>
      </c>
      <c r="E4545" t="s">
        <v>35</v>
      </c>
      <c r="F4545" t="s">
        <v>37</v>
      </c>
      <c r="G4545" s="118">
        <v>0.78957175925925915</v>
      </c>
      <c r="H4545" s="118">
        <v>9.6064814814814808E-4</v>
      </c>
      <c r="I4545" s="118">
        <v>3.4722222222222224E-4</v>
      </c>
      <c r="J4545"/>
      <c r="K4545"/>
    </row>
    <row r="4546" spans="1:11" x14ac:dyDescent="0.25">
      <c r="A4546">
        <v>4</v>
      </c>
      <c r="B4546">
        <v>16</v>
      </c>
      <c r="C4546"/>
      <c r="D4546" t="s">
        <v>31</v>
      </c>
      <c r="E4546" t="s">
        <v>32</v>
      </c>
      <c r="F4546" t="s">
        <v>44</v>
      </c>
      <c r="G4546" s="118">
        <v>0.78969907407407414</v>
      </c>
      <c r="H4546" s="118">
        <v>3.4722222222222224E-4</v>
      </c>
      <c r="I4546" s="118">
        <v>9.2592592592592585E-4</v>
      </c>
      <c r="J4546" s="118">
        <v>5.0462962962962961E-3</v>
      </c>
      <c r="K4546" s="118">
        <v>5.0462962962962961E-3</v>
      </c>
    </row>
    <row r="4547" spans="1:11" x14ac:dyDescent="0.25">
      <c r="A4547">
        <v>1</v>
      </c>
      <c r="B4547">
        <v>16</v>
      </c>
      <c r="C4547"/>
      <c r="D4547" t="s">
        <v>31</v>
      </c>
      <c r="E4547" t="s">
        <v>35</v>
      </c>
      <c r="F4547" t="s">
        <v>34</v>
      </c>
      <c r="G4547" s="118">
        <v>0.78971064814814806</v>
      </c>
      <c r="H4547" s="118">
        <v>8.449074074074075E-4</v>
      </c>
      <c r="I4547" s="118">
        <v>3.4722222222222224E-4</v>
      </c>
      <c r="J4547"/>
      <c r="K4547"/>
    </row>
    <row r="4548" spans="1:11" x14ac:dyDescent="0.25">
      <c r="A4548">
        <v>9</v>
      </c>
      <c r="B4548">
        <v>3</v>
      </c>
      <c r="C4548"/>
      <c r="D4548" t="s">
        <v>31</v>
      </c>
      <c r="E4548" t="s">
        <v>32</v>
      </c>
      <c r="F4548" t="s">
        <v>37</v>
      </c>
      <c r="G4548" s="118">
        <v>0.78991898148148154</v>
      </c>
      <c r="H4548" s="118">
        <v>3.4722222222222224E-4</v>
      </c>
      <c r="I4548" s="118">
        <v>9.0277777777777784E-4</v>
      </c>
      <c r="J4548" s="118">
        <v>5.0462962962962961E-3</v>
      </c>
      <c r="K4548" s="118">
        <v>5.0462962962962961E-3</v>
      </c>
    </row>
    <row r="4549" spans="1:11" x14ac:dyDescent="0.25">
      <c r="A4549">
        <v>2</v>
      </c>
      <c r="B4549">
        <v>17</v>
      </c>
      <c r="C4549"/>
      <c r="D4549" t="s">
        <v>31</v>
      </c>
      <c r="E4549" t="s">
        <v>32</v>
      </c>
      <c r="F4549" t="s">
        <v>92</v>
      </c>
      <c r="G4549" s="118">
        <v>0.78995370370370377</v>
      </c>
      <c r="H4549" s="118">
        <v>5.2083333333333333E-4</v>
      </c>
      <c r="I4549" s="118">
        <v>1.0069444444444444E-3</v>
      </c>
      <c r="J4549" s="118">
        <v>5.0462962962962961E-3</v>
      </c>
      <c r="K4549" s="118">
        <v>5.0462962962962961E-3</v>
      </c>
    </row>
    <row r="4550" spans="1:11" x14ac:dyDescent="0.25">
      <c r="A4550">
        <v>1</v>
      </c>
      <c r="B4550">
        <v>16</v>
      </c>
      <c r="C4550"/>
      <c r="D4550" t="s">
        <v>31</v>
      </c>
      <c r="E4550" t="s">
        <v>32</v>
      </c>
      <c r="F4550" t="s">
        <v>34</v>
      </c>
      <c r="G4550" s="118">
        <v>0.79005787037037034</v>
      </c>
      <c r="H4550" s="118">
        <v>3.4722222222222224E-4</v>
      </c>
      <c r="I4550" s="118">
        <v>9.1435185185185185E-4</v>
      </c>
      <c r="J4550" s="118">
        <v>5.0462962962962961E-3</v>
      </c>
      <c r="K4550" s="118">
        <v>5.0462962962962961E-3</v>
      </c>
    </row>
    <row r="4551" spans="1:11" x14ac:dyDescent="0.25">
      <c r="A4551">
        <v>5</v>
      </c>
      <c r="B4551">
        <v>17</v>
      </c>
      <c r="C4551"/>
      <c r="D4551" t="s">
        <v>31</v>
      </c>
      <c r="E4551" t="s">
        <v>35</v>
      </c>
      <c r="F4551" t="s">
        <v>51</v>
      </c>
      <c r="G4551" s="118">
        <v>0.7901273148148148</v>
      </c>
      <c r="H4551" s="118">
        <v>9.1435185185185185E-4</v>
      </c>
      <c r="I4551" s="118">
        <v>3.4722222222222224E-4</v>
      </c>
      <c r="J4551"/>
      <c r="K4551"/>
    </row>
    <row r="4552" spans="1:11" x14ac:dyDescent="0.25">
      <c r="A4552">
        <v>3</v>
      </c>
      <c r="B4552">
        <v>16</v>
      </c>
      <c r="C4552"/>
      <c r="D4552" t="s">
        <v>31</v>
      </c>
      <c r="E4552" t="s">
        <v>35</v>
      </c>
      <c r="F4552" t="s">
        <v>43</v>
      </c>
      <c r="G4552" s="118">
        <v>0.79020833333333329</v>
      </c>
      <c r="H4552" s="118">
        <v>1.0995370370370371E-3</v>
      </c>
      <c r="I4552" s="118">
        <v>3.4722222222222224E-4</v>
      </c>
      <c r="J4552"/>
      <c r="K4552"/>
    </row>
    <row r="4553" spans="1:11" x14ac:dyDescent="0.25">
      <c r="A4553">
        <v>8</v>
      </c>
      <c r="B4553">
        <v>4</v>
      </c>
      <c r="C4553"/>
      <c r="D4553" t="s">
        <v>31</v>
      </c>
      <c r="E4553" t="s">
        <v>35</v>
      </c>
      <c r="F4553" t="s">
        <v>57</v>
      </c>
      <c r="G4553" s="118">
        <v>0.79030092592592593</v>
      </c>
      <c r="H4553" s="118">
        <v>1.0532407407407407E-3</v>
      </c>
      <c r="I4553" s="118">
        <v>3.4722222222222224E-4</v>
      </c>
      <c r="J4553"/>
      <c r="K4553"/>
    </row>
    <row r="4554" spans="1:11" x14ac:dyDescent="0.25">
      <c r="A4554">
        <v>5</v>
      </c>
      <c r="B4554">
        <v>17</v>
      </c>
      <c r="C4554"/>
      <c r="D4554" t="s">
        <v>31</v>
      </c>
      <c r="E4554" t="s">
        <v>32</v>
      </c>
      <c r="F4554" t="s">
        <v>51</v>
      </c>
      <c r="G4554" s="118">
        <v>0.79047453703703707</v>
      </c>
      <c r="H4554" s="118">
        <v>3.4722222222222224E-4</v>
      </c>
      <c r="I4554" s="118">
        <v>1.0069444444444444E-3</v>
      </c>
      <c r="J4554" s="118">
        <v>5.0462962962962961E-3</v>
      </c>
      <c r="K4554" s="118">
        <v>5.0462962962962961E-3</v>
      </c>
    </row>
    <row r="4555" spans="1:11" x14ac:dyDescent="0.25">
      <c r="A4555">
        <v>3</v>
      </c>
      <c r="B4555">
        <v>16</v>
      </c>
      <c r="C4555"/>
      <c r="D4555" t="s">
        <v>31</v>
      </c>
      <c r="E4555" t="s">
        <v>32</v>
      </c>
      <c r="F4555" t="s">
        <v>43</v>
      </c>
      <c r="G4555" s="118">
        <v>0.79055555555555557</v>
      </c>
      <c r="H4555" s="118">
        <v>3.4722222222222224E-4</v>
      </c>
      <c r="I4555" s="118">
        <v>1.1458333333333333E-3</v>
      </c>
      <c r="J4555" s="118">
        <v>5.0462962962962961E-3</v>
      </c>
      <c r="K4555" s="118">
        <v>5.0462962962962961E-3</v>
      </c>
    </row>
    <row r="4556" spans="1:11" x14ac:dyDescent="0.25">
      <c r="A4556">
        <v>4</v>
      </c>
      <c r="B4556">
        <v>16</v>
      </c>
      <c r="C4556"/>
      <c r="D4556" t="s">
        <v>31</v>
      </c>
      <c r="E4556" t="s">
        <v>35</v>
      </c>
      <c r="F4556" t="s">
        <v>49</v>
      </c>
      <c r="G4556" s="118">
        <v>0.79062500000000002</v>
      </c>
      <c r="H4556" s="118">
        <v>9.2592592592592585E-4</v>
      </c>
      <c r="I4556" s="118">
        <v>3.4722222222222224E-4</v>
      </c>
      <c r="J4556"/>
      <c r="K4556"/>
    </row>
    <row r="4557" spans="1:11" x14ac:dyDescent="0.25">
      <c r="A4557">
        <v>8</v>
      </c>
      <c r="B4557">
        <v>4</v>
      </c>
      <c r="C4557"/>
      <c r="D4557" t="s">
        <v>31</v>
      </c>
      <c r="E4557" t="s">
        <v>32</v>
      </c>
      <c r="F4557" t="s">
        <v>57</v>
      </c>
      <c r="G4557" s="118">
        <v>0.7906481481481481</v>
      </c>
      <c r="H4557" s="118">
        <v>3.4722222222222224E-4</v>
      </c>
      <c r="I4557" s="118">
        <v>9.3750000000000007E-4</v>
      </c>
      <c r="J4557" s="118">
        <v>5.0462962962962961E-3</v>
      </c>
      <c r="K4557" s="118">
        <v>5.0462962962962961E-3</v>
      </c>
    </row>
    <row r="4558" spans="1:11" x14ac:dyDescent="0.25">
      <c r="A4558">
        <v>9</v>
      </c>
      <c r="B4558">
        <v>3</v>
      </c>
      <c r="C4558"/>
      <c r="D4558" t="s">
        <v>31</v>
      </c>
      <c r="E4558" t="s">
        <v>35</v>
      </c>
      <c r="F4558" t="s">
        <v>42</v>
      </c>
      <c r="G4558" s="118">
        <v>0.79082175925925924</v>
      </c>
      <c r="H4558" s="118">
        <v>9.0277777777777784E-4</v>
      </c>
      <c r="I4558" s="118">
        <v>3.4722222222222224E-4</v>
      </c>
      <c r="J4558"/>
      <c r="K4558"/>
    </row>
    <row r="4559" spans="1:11" x14ac:dyDescent="0.25">
      <c r="A4559">
        <v>2</v>
      </c>
      <c r="B4559">
        <v>17</v>
      </c>
      <c r="C4559"/>
      <c r="D4559" t="s">
        <v>31</v>
      </c>
      <c r="E4559" t="s">
        <v>35</v>
      </c>
      <c r="F4559" t="s">
        <v>41</v>
      </c>
      <c r="G4559" s="118">
        <v>0.79096064814814815</v>
      </c>
      <c r="H4559" s="118">
        <v>1.0069444444444444E-3</v>
      </c>
      <c r="I4559" s="118">
        <v>3.4722222222222224E-4</v>
      </c>
      <c r="J4559"/>
      <c r="K4559"/>
    </row>
    <row r="4560" spans="1:11" x14ac:dyDescent="0.25">
      <c r="A4560">
        <v>1</v>
      </c>
      <c r="B4560">
        <v>16</v>
      </c>
      <c r="C4560"/>
      <c r="D4560" t="s">
        <v>31</v>
      </c>
      <c r="E4560" t="s">
        <v>35</v>
      </c>
      <c r="F4560" t="s">
        <v>38</v>
      </c>
      <c r="G4560" s="118">
        <v>0.7909722222222223</v>
      </c>
      <c r="H4560" s="118">
        <v>9.1435185185185185E-4</v>
      </c>
      <c r="I4560" s="118">
        <v>3.4722222222222224E-4</v>
      </c>
      <c r="J4560"/>
      <c r="K4560"/>
    </row>
    <row r="4561" spans="1:11" x14ac:dyDescent="0.25">
      <c r="A4561">
        <v>4</v>
      </c>
      <c r="B4561">
        <v>16</v>
      </c>
      <c r="C4561"/>
      <c r="D4561" t="s">
        <v>31</v>
      </c>
      <c r="E4561" t="s">
        <v>32</v>
      </c>
      <c r="F4561" t="s">
        <v>49</v>
      </c>
      <c r="G4561" s="118">
        <v>0.7909722222222223</v>
      </c>
      <c r="H4561" s="118">
        <v>3.4722222222222224E-4</v>
      </c>
      <c r="I4561" s="118">
        <v>1.3541666666666667E-3</v>
      </c>
      <c r="J4561" s="118">
        <v>5.0462962962962961E-3</v>
      </c>
      <c r="K4561" s="118">
        <v>5.0462962962962961E-3</v>
      </c>
    </row>
    <row r="4562" spans="1:11" x14ac:dyDescent="0.25">
      <c r="A4562">
        <v>9</v>
      </c>
      <c r="B4562">
        <v>3</v>
      </c>
      <c r="C4562"/>
      <c r="D4562" t="s">
        <v>31</v>
      </c>
      <c r="E4562" t="s">
        <v>32</v>
      </c>
      <c r="F4562" t="s">
        <v>42</v>
      </c>
      <c r="G4562" s="118">
        <v>0.7911689814814814</v>
      </c>
      <c r="H4562" s="118">
        <v>3.4722222222222224E-4</v>
      </c>
      <c r="I4562" s="118">
        <v>9.1435185185185185E-4</v>
      </c>
      <c r="J4562" s="118">
        <v>5.0462962962962961E-3</v>
      </c>
      <c r="K4562" s="118">
        <v>5.0462962962962961E-3</v>
      </c>
    </row>
    <row r="4563" spans="1:11" x14ac:dyDescent="0.25">
      <c r="A4563">
        <v>2</v>
      </c>
      <c r="B4563">
        <v>17</v>
      </c>
      <c r="C4563"/>
      <c r="D4563" t="s">
        <v>31</v>
      </c>
      <c r="E4563" t="s">
        <v>32</v>
      </c>
      <c r="F4563" t="s">
        <v>41</v>
      </c>
      <c r="G4563" s="118">
        <v>0.79130787037037031</v>
      </c>
      <c r="H4563" s="118">
        <v>3.4722222222222224E-4</v>
      </c>
      <c r="I4563" s="118">
        <v>8.564814814814815E-4</v>
      </c>
      <c r="J4563" s="118">
        <v>5.0462962962962961E-3</v>
      </c>
      <c r="K4563" s="118">
        <v>5.0462962962962961E-3</v>
      </c>
    </row>
    <row r="4564" spans="1:11" x14ac:dyDescent="0.25">
      <c r="A4564">
        <v>1</v>
      </c>
      <c r="B4564">
        <v>16</v>
      </c>
      <c r="C4564"/>
      <c r="D4564" t="s">
        <v>31</v>
      </c>
      <c r="E4564" t="s">
        <v>32</v>
      </c>
      <c r="F4564" t="s">
        <v>38</v>
      </c>
      <c r="G4564" s="118">
        <v>0.79131944444444446</v>
      </c>
      <c r="H4564" s="118">
        <v>3.4722222222222224E-4</v>
      </c>
      <c r="I4564" s="118">
        <v>1.2384259259259258E-3</v>
      </c>
      <c r="J4564" s="118">
        <v>5.0462962962962961E-3</v>
      </c>
      <c r="K4564" s="118">
        <v>5.0462962962962961E-3</v>
      </c>
    </row>
    <row r="4565" spans="1:11" x14ac:dyDescent="0.25">
      <c r="A4565">
        <v>5</v>
      </c>
      <c r="B4565">
        <v>17</v>
      </c>
      <c r="C4565"/>
      <c r="D4565" t="s">
        <v>31</v>
      </c>
      <c r="E4565" t="s">
        <v>35</v>
      </c>
      <c r="F4565" t="s">
        <v>55</v>
      </c>
      <c r="G4565" s="118">
        <v>0.79148148148148145</v>
      </c>
      <c r="H4565" s="118">
        <v>1.0069444444444444E-3</v>
      </c>
      <c r="I4565" s="118">
        <v>4.6296296296296293E-4</v>
      </c>
      <c r="J4565"/>
      <c r="K4565"/>
    </row>
    <row r="4566" spans="1:11" x14ac:dyDescent="0.25">
      <c r="A4566">
        <v>8</v>
      </c>
      <c r="B4566">
        <v>4</v>
      </c>
      <c r="C4566"/>
      <c r="D4566" t="s">
        <v>31</v>
      </c>
      <c r="E4566" t="s">
        <v>35</v>
      </c>
      <c r="F4566" t="s">
        <v>39</v>
      </c>
      <c r="G4566" s="118">
        <v>0.79158564814814814</v>
      </c>
      <c r="H4566" s="118">
        <v>9.3750000000000007E-4</v>
      </c>
      <c r="I4566" s="118">
        <v>5.2083333333333333E-4</v>
      </c>
      <c r="J4566"/>
      <c r="K4566"/>
    </row>
    <row r="4567" spans="1:11" x14ac:dyDescent="0.25">
      <c r="A4567">
        <v>3</v>
      </c>
      <c r="B4567">
        <v>16</v>
      </c>
      <c r="C4567"/>
      <c r="D4567" t="s">
        <v>31</v>
      </c>
      <c r="E4567" t="s">
        <v>35</v>
      </c>
      <c r="F4567" t="s">
        <v>50</v>
      </c>
      <c r="G4567" s="118">
        <v>0.79170138888888886</v>
      </c>
      <c r="H4567" s="118">
        <v>1.1458333333333333E-3</v>
      </c>
      <c r="I4567" s="118">
        <v>3.4722222222222224E-4</v>
      </c>
      <c r="J4567"/>
      <c r="K4567"/>
    </row>
    <row r="4568" spans="1:11" x14ac:dyDescent="0.25">
      <c r="A4568">
        <v>5</v>
      </c>
      <c r="B4568">
        <v>17</v>
      </c>
      <c r="C4568"/>
      <c r="D4568" t="s">
        <v>31</v>
      </c>
      <c r="E4568" t="s">
        <v>32</v>
      </c>
      <c r="F4568" t="s">
        <v>55</v>
      </c>
      <c r="G4568" s="118">
        <v>0.79194444444444445</v>
      </c>
      <c r="H4568" s="118">
        <v>4.6296296296296293E-4</v>
      </c>
      <c r="I4568" s="118">
        <v>4.3981481481481481E-4</v>
      </c>
      <c r="J4568" s="118">
        <v>5.0462962962962961E-3</v>
      </c>
      <c r="K4568" s="118">
        <v>5.0462962962962961E-3</v>
      </c>
    </row>
    <row r="4569" spans="1:11" x14ac:dyDescent="0.25">
      <c r="A4569">
        <v>3</v>
      </c>
      <c r="B4569">
        <v>16</v>
      </c>
      <c r="C4569"/>
      <c r="D4569" t="s">
        <v>31</v>
      </c>
      <c r="E4569" t="s">
        <v>32</v>
      </c>
      <c r="F4569" t="s">
        <v>50</v>
      </c>
      <c r="G4569" s="118">
        <v>0.79204861111111102</v>
      </c>
      <c r="H4569" s="118">
        <v>3.4722222222222224E-4</v>
      </c>
      <c r="I4569" s="118">
        <v>1.261574074074074E-3</v>
      </c>
      <c r="J4569" s="118">
        <v>5.0462962962962961E-3</v>
      </c>
      <c r="K4569" s="118">
        <v>5.0462962962962961E-3</v>
      </c>
    </row>
    <row r="4570" spans="1:11" x14ac:dyDescent="0.25">
      <c r="A4570">
        <v>9</v>
      </c>
      <c r="B4570">
        <v>3</v>
      </c>
      <c r="C4570"/>
      <c r="D4570" t="s">
        <v>31</v>
      </c>
      <c r="E4570" t="s">
        <v>35</v>
      </c>
      <c r="F4570" t="s">
        <v>48</v>
      </c>
      <c r="G4570" s="118">
        <v>0.79208333333333336</v>
      </c>
      <c r="H4570" s="118">
        <v>9.1435185185185185E-4</v>
      </c>
      <c r="I4570" s="118">
        <v>5.2083333333333333E-4</v>
      </c>
      <c r="J4570"/>
      <c r="K4570"/>
    </row>
    <row r="4571" spans="1:11" x14ac:dyDescent="0.25">
      <c r="A4571">
        <v>8</v>
      </c>
      <c r="B4571">
        <v>4</v>
      </c>
      <c r="C4571"/>
      <c r="D4571" t="s">
        <v>31</v>
      </c>
      <c r="E4571" t="s">
        <v>32</v>
      </c>
      <c r="F4571" t="s">
        <v>39</v>
      </c>
      <c r="G4571" s="118">
        <v>0.79210648148148144</v>
      </c>
      <c r="H4571" s="118">
        <v>5.2083333333333333E-4</v>
      </c>
      <c r="I4571" s="118">
        <v>1.8055555555555557E-3</v>
      </c>
      <c r="J4571" s="118">
        <v>5.0462962962962961E-3</v>
      </c>
      <c r="K4571" s="118">
        <v>5.0462962962962961E-3</v>
      </c>
    </row>
    <row r="4572" spans="1:11" x14ac:dyDescent="0.25">
      <c r="A4572">
        <v>2</v>
      </c>
      <c r="B4572">
        <v>17</v>
      </c>
      <c r="C4572"/>
      <c r="D4572" t="s">
        <v>31</v>
      </c>
      <c r="E4572" t="s">
        <v>35</v>
      </c>
      <c r="F4572" t="s">
        <v>47</v>
      </c>
      <c r="G4572" s="118">
        <v>0.79216435185185186</v>
      </c>
      <c r="H4572" s="118">
        <v>8.564814814814815E-4</v>
      </c>
      <c r="I4572" s="118">
        <v>5.2083333333333333E-4</v>
      </c>
      <c r="J4572"/>
      <c r="K4572"/>
    </row>
    <row r="4573" spans="1:11" x14ac:dyDescent="0.25">
      <c r="A4573">
        <v>4</v>
      </c>
      <c r="B4573">
        <v>16</v>
      </c>
      <c r="C4573"/>
      <c r="D4573" t="s">
        <v>31</v>
      </c>
      <c r="E4573" t="s">
        <v>35</v>
      </c>
      <c r="F4573" t="s">
        <v>33</v>
      </c>
      <c r="G4573" s="118">
        <v>0.79232638888888884</v>
      </c>
      <c r="H4573" s="118">
        <v>1.3541666666666667E-3</v>
      </c>
      <c r="I4573" s="118">
        <v>5.2083333333333333E-4</v>
      </c>
      <c r="J4573"/>
      <c r="K4573"/>
    </row>
    <row r="4574" spans="1:11" x14ac:dyDescent="0.25">
      <c r="A4574">
        <v>5</v>
      </c>
      <c r="B4574">
        <v>17</v>
      </c>
      <c r="C4574"/>
      <c r="D4574" t="s">
        <v>31</v>
      </c>
      <c r="E4574" t="s">
        <v>35</v>
      </c>
      <c r="F4574" t="s">
        <v>58</v>
      </c>
      <c r="G4574" s="118">
        <v>0.79238425925925926</v>
      </c>
      <c r="H4574" s="118">
        <v>4.3981481481481481E-4</v>
      </c>
      <c r="I4574" s="118">
        <v>5.7870370370370366E-5</v>
      </c>
      <c r="J4574"/>
      <c r="K4574"/>
    </row>
    <row r="4575" spans="1:11" x14ac:dyDescent="0.25">
      <c r="A4575">
        <v>5</v>
      </c>
      <c r="B4575">
        <v>17</v>
      </c>
      <c r="C4575"/>
      <c r="D4575" t="s">
        <v>31</v>
      </c>
      <c r="E4575" t="s">
        <v>32</v>
      </c>
      <c r="F4575" t="s">
        <v>58</v>
      </c>
      <c r="G4575" s="118">
        <v>0.79244212962962957</v>
      </c>
      <c r="H4575" s="118">
        <v>5.7870370370370366E-5</v>
      </c>
      <c r="I4575" s="118">
        <v>4.8611111111111104E-4</v>
      </c>
      <c r="J4575" s="118">
        <v>5.0462962962962961E-3</v>
      </c>
      <c r="K4575" s="118">
        <v>5.0462962962962961E-3</v>
      </c>
    </row>
    <row r="4576" spans="1:11" x14ac:dyDescent="0.25">
      <c r="A4576">
        <v>1</v>
      </c>
      <c r="B4576">
        <v>16</v>
      </c>
      <c r="C4576"/>
      <c r="D4576" t="s">
        <v>31</v>
      </c>
      <c r="E4576" t="s">
        <v>35</v>
      </c>
      <c r="F4576" t="s">
        <v>45</v>
      </c>
      <c r="G4576" s="118">
        <v>0.7925578703703704</v>
      </c>
      <c r="H4576" s="118">
        <v>1.2384259259259258E-3</v>
      </c>
      <c r="I4576" s="118">
        <v>3.4722222222222224E-4</v>
      </c>
      <c r="J4576"/>
      <c r="K4576"/>
    </row>
    <row r="4577" spans="1:11" x14ac:dyDescent="0.25">
      <c r="A4577">
        <v>9</v>
      </c>
      <c r="B4577">
        <v>3</v>
      </c>
      <c r="C4577"/>
      <c r="D4577" t="s">
        <v>31</v>
      </c>
      <c r="E4577" t="s">
        <v>32</v>
      </c>
      <c r="F4577" t="s">
        <v>48</v>
      </c>
      <c r="G4577" s="118">
        <v>0.79260416666666667</v>
      </c>
      <c r="H4577" s="118">
        <v>5.2083333333333333E-4</v>
      </c>
      <c r="I4577" s="118">
        <v>8.6805555555555551E-4</v>
      </c>
      <c r="J4577" s="118">
        <v>5.0462962962962961E-3</v>
      </c>
      <c r="K4577" s="118">
        <v>5.0462962962962961E-3</v>
      </c>
    </row>
    <row r="4578" spans="1:11" x14ac:dyDescent="0.25">
      <c r="A4578">
        <v>2</v>
      </c>
      <c r="B4578">
        <v>17</v>
      </c>
      <c r="C4578"/>
      <c r="D4578" t="s">
        <v>31</v>
      </c>
      <c r="E4578" t="s">
        <v>32</v>
      </c>
      <c r="F4578" t="s">
        <v>47</v>
      </c>
      <c r="G4578" s="118">
        <v>0.79268518518518516</v>
      </c>
      <c r="H4578" s="118">
        <v>5.2083333333333333E-4</v>
      </c>
      <c r="I4578" s="118">
        <v>8.7962962962962962E-4</v>
      </c>
      <c r="J4578" s="118">
        <v>5.0462962962962961E-3</v>
      </c>
      <c r="K4578" s="118">
        <v>5.0462962962962961E-3</v>
      </c>
    </row>
    <row r="4579" spans="1:11" x14ac:dyDescent="0.25">
      <c r="A4579">
        <v>4</v>
      </c>
      <c r="B4579">
        <v>16</v>
      </c>
      <c r="C4579"/>
      <c r="D4579" t="s">
        <v>31</v>
      </c>
      <c r="E4579" t="s">
        <v>32</v>
      </c>
      <c r="F4579" t="s">
        <v>33</v>
      </c>
      <c r="G4579" s="118">
        <v>0.79284722222222215</v>
      </c>
      <c r="H4579" s="118">
        <v>5.2083333333333333E-4</v>
      </c>
      <c r="I4579" s="118">
        <v>9.6064814814814808E-4</v>
      </c>
      <c r="J4579" s="118">
        <v>5.0462962962962961E-3</v>
      </c>
      <c r="K4579" s="118">
        <v>5.0462962962962961E-3</v>
      </c>
    </row>
    <row r="4580" spans="1:11" x14ac:dyDescent="0.25">
      <c r="A4580">
        <v>1</v>
      </c>
      <c r="B4580">
        <v>16</v>
      </c>
      <c r="C4580"/>
      <c r="D4580" t="s">
        <v>31</v>
      </c>
      <c r="E4580" t="s">
        <v>32</v>
      </c>
      <c r="F4580" t="s">
        <v>45</v>
      </c>
      <c r="G4580" s="118">
        <v>0.79290509259259256</v>
      </c>
      <c r="H4580" s="118">
        <v>3.4722222222222224E-4</v>
      </c>
      <c r="I4580" s="118">
        <v>1.0416666666666667E-3</v>
      </c>
      <c r="J4580" s="118">
        <v>5.0462962962962961E-3</v>
      </c>
      <c r="K4580" s="118">
        <v>5.0462962962962961E-3</v>
      </c>
    </row>
    <row r="4581" spans="1:11" x14ac:dyDescent="0.25">
      <c r="A4581">
        <v>5</v>
      </c>
      <c r="B4581">
        <v>17</v>
      </c>
      <c r="C4581"/>
      <c r="D4581" t="s">
        <v>31</v>
      </c>
      <c r="E4581" t="s">
        <v>35</v>
      </c>
      <c r="F4581" t="s">
        <v>40</v>
      </c>
      <c r="G4581" s="118">
        <v>0.79292824074074064</v>
      </c>
      <c r="H4581" s="118">
        <v>4.8611111111111104E-4</v>
      </c>
      <c r="I4581" s="118">
        <v>4.6296296296296293E-4</v>
      </c>
      <c r="J4581"/>
      <c r="K4581"/>
    </row>
    <row r="4582" spans="1:11" x14ac:dyDescent="0.25">
      <c r="A4582">
        <v>3</v>
      </c>
      <c r="B4582">
        <v>16</v>
      </c>
      <c r="C4582"/>
      <c r="D4582" t="s">
        <v>31</v>
      </c>
      <c r="E4582" t="s">
        <v>35</v>
      </c>
      <c r="F4582" t="s">
        <v>56</v>
      </c>
      <c r="G4582" s="118">
        <v>0.79331018518518526</v>
      </c>
      <c r="H4582" s="118">
        <v>1.261574074074074E-3</v>
      </c>
      <c r="I4582" s="118">
        <v>3.4722222222222224E-4</v>
      </c>
      <c r="J4582"/>
      <c r="K4582"/>
    </row>
    <row r="4583" spans="1:11" x14ac:dyDescent="0.25">
      <c r="A4583">
        <v>5</v>
      </c>
      <c r="B4583">
        <v>17</v>
      </c>
      <c r="C4583"/>
      <c r="D4583" t="s">
        <v>31</v>
      </c>
      <c r="E4583" t="s">
        <v>32</v>
      </c>
      <c r="F4583" t="s">
        <v>40</v>
      </c>
      <c r="G4583" s="118">
        <v>0.79339120370370375</v>
      </c>
      <c r="H4583" s="118">
        <v>4.6296296296296293E-4</v>
      </c>
      <c r="I4583" s="118">
        <v>1.0069444444444444E-3</v>
      </c>
      <c r="J4583" s="118">
        <v>5.0462962962962961E-3</v>
      </c>
      <c r="K4583" s="118">
        <v>5.0462962962962961E-3</v>
      </c>
    </row>
    <row r="4584" spans="1:11" x14ac:dyDescent="0.25">
      <c r="A4584">
        <v>9</v>
      </c>
      <c r="B4584">
        <v>3</v>
      </c>
      <c r="C4584"/>
      <c r="D4584" t="s">
        <v>31</v>
      </c>
      <c r="E4584" t="s">
        <v>35</v>
      </c>
      <c r="F4584" t="s">
        <v>54</v>
      </c>
      <c r="G4584" s="118">
        <v>0.79347222222222225</v>
      </c>
      <c r="H4584" s="118">
        <v>8.6805555555555551E-4</v>
      </c>
      <c r="I4584" s="118">
        <v>3.4722222222222224E-4</v>
      </c>
      <c r="J4584"/>
      <c r="K4584"/>
    </row>
    <row r="4585" spans="1:11" x14ac:dyDescent="0.25">
      <c r="A4585">
        <v>2</v>
      </c>
      <c r="B4585">
        <v>17</v>
      </c>
      <c r="C4585"/>
      <c r="D4585" t="s">
        <v>31</v>
      </c>
      <c r="E4585" t="s">
        <v>35</v>
      </c>
      <c r="F4585" t="s">
        <v>53</v>
      </c>
      <c r="G4585" s="118">
        <v>0.79356481481481478</v>
      </c>
      <c r="H4585" s="118">
        <v>8.7962962962962962E-4</v>
      </c>
      <c r="I4585" s="118">
        <v>3.4722222222222224E-4</v>
      </c>
      <c r="J4585"/>
      <c r="K4585"/>
    </row>
    <row r="4586" spans="1:11" x14ac:dyDescent="0.25">
      <c r="A4586">
        <v>3</v>
      </c>
      <c r="B4586">
        <v>16</v>
      </c>
      <c r="C4586"/>
      <c r="D4586" t="s">
        <v>31</v>
      </c>
      <c r="E4586" t="s">
        <v>32</v>
      </c>
      <c r="F4586" t="s">
        <v>56</v>
      </c>
      <c r="G4586" s="118">
        <v>0.79365740740740742</v>
      </c>
      <c r="H4586" s="118">
        <v>3.4722222222222224E-4</v>
      </c>
      <c r="I4586" s="118">
        <v>9.6064814814814808E-4</v>
      </c>
      <c r="J4586" s="118">
        <v>5.0462962962962961E-3</v>
      </c>
      <c r="K4586" s="118">
        <v>5.0462962962962961E-3</v>
      </c>
    </row>
    <row r="4587" spans="1:11" x14ac:dyDescent="0.25">
      <c r="A4587">
        <v>4</v>
      </c>
      <c r="B4587">
        <v>16</v>
      </c>
      <c r="C4587"/>
      <c r="D4587" t="s">
        <v>31</v>
      </c>
      <c r="E4587" t="s">
        <v>35</v>
      </c>
      <c r="F4587" t="s">
        <v>36</v>
      </c>
      <c r="G4587" s="118">
        <v>0.79380787037037026</v>
      </c>
      <c r="H4587" s="118">
        <v>9.6064814814814808E-4</v>
      </c>
      <c r="I4587" s="118">
        <v>3.4722222222222224E-4</v>
      </c>
      <c r="J4587"/>
      <c r="K4587"/>
    </row>
    <row r="4588" spans="1:11" x14ac:dyDescent="0.25">
      <c r="A4588">
        <v>9</v>
      </c>
      <c r="B4588">
        <v>3</v>
      </c>
      <c r="C4588"/>
      <c r="D4588" t="s">
        <v>31</v>
      </c>
      <c r="E4588" t="s">
        <v>32</v>
      </c>
      <c r="F4588" t="s">
        <v>54</v>
      </c>
      <c r="G4588" s="118">
        <v>0.79381944444444441</v>
      </c>
      <c r="H4588" s="118">
        <v>3.4722222222222224E-4</v>
      </c>
      <c r="I4588" s="118">
        <v>6.5972222222222213E-4</v>
      </c>
      <c r="J4588" s="118">
        <v>5.0462962962962961E-3</v>
      </c>
      <c r="K4588" s="118">
        <v>5.0462962962962961E-3</v>
      </c>
    </row>
    <row r="4589" spans="1:11" x14ac:dyDescent="0.25">
      <c r="A4589">
        <v>2</v>
      </c>
      <c r="B4589">
        <v>17</v>
      </c>
      <c r="C4589"/>
      <c r="D4589" t="s">
        <v>31</v>
      </c>
      <c r="E4589" t="s">
        <v>32</v>
      </c>
      <c r="F4589" t="s">
        <v>53</v>
      </c>
      <c r="G4589" s="118">
        <v>0.79391203703703705</v>
      </c>
      <c r="H4589" s="118">
        <v>3.4722222222222224E-4</v>
      </c>
      <c r="I4589" s="118">
        <v>8.449074074074075E-4</v>
      </c>
      <c r="J4589" s="118">
        <v>5.0462962962962961E-3</v>
      </c>
      <c r="K4589" s="118">
        <v>5.0462962962962961E-3</v>
      </c>
    </row>
    <row r="4590" spans="1:11" x14ac:dyDescent="0.25">
      <c r="A4590">
        <v>8</v>
      </c>
      <c r="B4590">
        <v>4</v>
      </c>
      <c r="C4590"/>
      <c r="D4590" t="s">
        <v>31</v>
      </c>
      <c r="E4590" t="s">
        <v>35</v>
      </c>
      <c r="F4590" t="s">
        <v>46</v>
      </c>
      <c r="G4590" s="118">
        <v>0.79391203703703705</v>
      </c>
      <c r="H4590" s="118">
        <v>1.8055555555555557E-3</v>
      </c>
      <c r="I4590" s="118">
        <v>3.4722222222222224E-4</v>
      </c>
      <c r="J4590"/>
      <c r="K4590"/>
    </row>
    <row r="4591" spans="1:11" x14ac:dyDescent="0.25">
      <c r="A4591">
        <v>1</v>
      </c>
      <c r="B4591">
        <v>16</v>
      </c>
      <c r="C4591"/>
      <c r="D4591" t="s">
        <v>31</v>
      </c>
      <c r="E4591" t="s">
        <v>35</v>
      </c>
      <c r="F4591" t="s">
        <v>52</v>
      </c>
      <c r="G4591" s="118">
        <v>0.79394675925925917</v>
      </c>
      <c r="H4591" s="118">
        <v>1.0416666666666667E-3</v>
      </c>
      <c r="I4591" s="118">
        <v>3.4722222222222224E-4</v>
      </c>
      <c r="J4591"/>
      <c r="K4591"/>
    </row>
    <row r="4592" spans="1:11" x14ac:dyDescent="0.25">
      <c r="A4592">
        <v>4</v>
      </c>
      <c r="B4592">
        <v>16</v>
      </c>
      <c r="C4592"/>
      <c r="D4592" t="s">
        <v>31</v>
      </c>
      <c r="E4592" t="s">
        <v>32</v>
      </c>
      <c r="F4592" t="s">
        <v>36</v>
      </c>
      <c r="G4592" s="118">
        <v>0.79415509259259265</v>
      </c>
      <c r="H4592" s="118">
        <v>3.4722222222222224E-4</v>
      </c>
      <c r="I4592" s="118">
        <v>1.0995370370370371E-3</v>
      </c>
      <c r="J4592" s="118">
        <v>5.0462962962962961E-3</v>
      </c>
      <c r="K4592" s="118">
        <v>5.0462962962962961E-3</v>
      </c>
    </row>
    <row r="4593" spans="1:11" x14ac:dyDescent="0.25">
      <c r="A4593">
        <v>8</v>
      </c>
      <c r="B4593">
        <v>4</v>
      </c>
      <c r="C4593"/>
      <c r="D4593" t="s">
        <v>31</v>
      </c>
      <c r="E4593" t="s">
        <v>32</v>
      </c>
      <c r="F4593" t="s">
        <v>46</v>
      </c>
      <c r="G4593" s="118">
        <v>0.79425925925925922</v>
      </c>
      <c r="H4593" s="118">
        <v>3.4722222222222224E-4</v>
      </c>
      <c r="I4593" s="118">
        <v>9.1435185185185185E-4</v>
      </c>
      <c r="J4593" s="118">
        <v>5.0462962962962961E-3</v>
      </c>
      <c r="K4593" s="118">
        <v>5.0462962962962961E-3</v>
      </c>
    </row>
    <row r="4594" spans="1:11" x14ac:dyDescent="0.25">
      <c r="A4594">
        <v>1</v>
      </c>
      <c r="B4594">
        <v>16</v>
      </c>
      <c r="C4594"/>
      <c r="D4594" t="s">
        <v>31</v>
      </c>
      <c r="E4594" t="s">
        <v>32</v>
      </c>
      <c r="F4594" t="s">
        <v>52</v>
      </c>
      <c r="G4594" s="118">
        <v>0.79429398148148145</v>
      </c>
      <c r="H4594" s="118">
        <v>3.4722222222222224E-4</v>
      </c>
      <c r="I4594" s="118">
        <v>1.0532407407407407E-3</v>
      </c>
      <c r="J4594" s="118">
        <v>5.0462962962962961E-3</v>
      </c>
      <c r="K4594" s="118">
        <v>5.0462962962962961E-3</v>
      </c>
    </row>
    <row r="4595" spans="1:11" x14ac:dyDescent="0.25">
      <c r="A4595">
        <v>5</v>
      </c>
      <c r="B4595">
        <v>17</v>
      </c>
      <c r="C4595"/>
      <c r="D4595" t="s">
        <v>31</v>
      </c>
      <c r="E4595" t="s">
        <v>35</v>
      </c>
      <c r="F4595" t="s">
        <v>44</v>
      </c>
      <c r="G4595" s="118">
        <v>0.79439814814814813</v>
      </c>
      <c r="H4595" s="118">
        <v>1.0069444444444444E-3</v>
      </c>
      <c r="I4595" s="118">
        <v>3.4722222222222224E-4</v>
      </c>
      <c r="J4595"/>
      <c r="K4595"/>
    </row>
    <row r="4596" spans="1:11" x14ac:dyDescent="0.25">
      <c r="A4596">
        <v>9</v>
      </c>
      <c r="B4596">
        <v>3</v>
      </c>
      <c r="C4596"/>
      <c r="D4596" t="s">
        <v>31</v>
      </c>
      <c r="E4596" t="s">
        <v>35</v>
      </c>
      <c r="F4596" t="s">
        <v>92</v>
      </c>
      <c r="G4596" s="118">
        <v>0.79447916666666663</v>
      </c>
      <c r="H4596" s="118">
        <v>6.5972222222222213E-4</v>
      </c>
      <c r="I4596" s="118">
        <v>5.2083333333333333E-4</v>
      </c>
      <c r="J4596"/>
      <c r="K4596"/>
    </row>
    <row r="4597" spans="1:11" x14ac:dyDescent="0.25">
      <c r="A4597">
        <v>3</v>
      </c>
      <c r="B4597">
        <v>16</v>
      </c>
      <c r="C4597"/>
      <c r="D4597" t="s">
        <v>31</v>
      </c>
      <c r="E4597" t="s">
        <v>35</v>
      </c>
      <c r="F4597" t="s">
        <v>37</v>
      </c>
      <c r="G4597" s="118">
        <v>0.79461805555555554</v>
      </c>
      <c r="H4597" s="118">
        <v>9.6064814814814808E-4</v>
      </c>
      <c r="I4597" s="118">
        <v>3.4722222222222224E-4</v>
      </c>
      <c r="J4597"/>
      <c r="K4597"/>
    </row>
    <row r="4598" spans="1:11" x14ac:dyDescent="0.25">
      <c r="A4598">
        <v>5</v>
      </c>
      <c r="B4598">
        <v>17</v>
      </c>
      <c r="C4598"/>
      <c r="D4598" t="s">
        <v>31</v>
      </c>
      <c r="E4598" t="s">
        <v>32</v>
      </c>
      <c r="F4598" t="s">
        <v>44</v>
      </c>
      <c r="G4598" s="118">
        <v>0.7947453703703703</v>
      </c>
      <c r="H4598" s="118">
        <v>3.4722222222222224E-4</v>
      </c>
      <c r="I4598" s="118">
        <v>9.2592592592592585E-4</v>
      </c>
      <c r="J4598" s="118">
        <v>5.0462962962962961E-3</v>
      </c>
      <c r="K4598" s="118">
        <v>5.0462962962962961E-3</v>
      </c>
    </row>
    <row r="4599" spans="1:11" x14ac:dyDescent="0.25">
      <c r="A4599">
        <v>2</v>
      </c>
      <c r="B4599">
        <v>17</v>
      </c>
      <c r="C4599"/>
      <c r="D4599" t="s">
        <v>31</v>
      </c>
      <c r="E4599" t="s">
        <v>35</v>
      </c>
      <c r="F4599" t="s">
        <v>34</v>
      </c>
      <c r="G4599" s="118">
        <v>0.79475694444444445</v>
      </c>
      <c r="H4599" s="118">
        <v>8.449074074074075E-4</v>
      </c>
      <c r="I4599" s="118">
        <v>3.4722222222222224E-4</v>
      </c>
      <c r="J4599"/>
      <c r="K4599"/>
    </row>
    <row r="4600" spans="1:11" x14ac:dyDescent="0.25">
      <c r="A4600">
        <v>3</v>
      </c>
      <c r="B4600">
        <v>16</v>
      </c>
      <c r="C4600"/>
      <c r="D4600" t="s">
        <v>31</v>
      </c>
      <c r="E4600" t="s">
        <v>32</v>
      </c>
      <c r="F4600" t="s">
        <v>37</v>
      </c>
      <c r="G4600" s="118">
        <v>0.7949652777777777</v>
      </c>
      <c r="H4600" s="118">
        <v>3.4722222222222224E-4</v>
      </c>
      <c r="I4600" s="118">
        <v>9.0277777777777784E-4</v>
      </c>
      <c r="J4600" s="118">
        <v>5.0462962962962961E-3</v>
      </c>
      <c r="K4600" s="118">
        <v>5.0462962962962961E-3</v>
      </c>
    </row>
    <row r="4601" spans="1:11" x14ac:dyDescent="0.25">
      <c r="A4601">
        <v>9</v>
      </c>
      <c r="B4601">
        <v>4</v>
      </c>
      <c r="C4601"/>
      <c r="D4601" t="s">
        <v>31</v>
      </c>
      <c r="E4601" t="s">
        <v>32</v>
      </c>
      <c r="F4601" t="s">
        <v>92</v>
      </c>
      <c r="G4601" s="118">
        <v>0.79499999999999993</v>
      </c>
      <c r="H4601" s="118">
        <v>5.2083333333333333E-4</v>
      </c>
      <c r="I4601" s="118">
        <v>1.0069444444444444E-3</v>
      </c>
      <c r="J4601" s="118">
        <v>5.0462962962962961E-3</v>
      </c>
      <c r="K4601" s="118">
        <v>5.0462962962962961E-3</v>
      </c>
    </row>
    <row r="4602" spans="1:11" x14ac:dyDescent="0.25">
      <c r="A4602">
        <v>2</v>
      </c>
      <c r="B4602">
        <v>17</v>
      </c>
      <c r="C4602"/>
      <c r="D4602" t="s">
        <v>31</v>
      </c>
      <c r="E4602" t="s">
        <v>32</v>
      </c>
      <c r="F4602" t="s">
        <v>34</v>
      </c>
      <c r="G4602" s="118">
        <v>0.79510416666666661</v>
      </c>
      <c r="H4602" s="118">
        <v>3.4722222222222224E-4</v>
      </c>
      <c r="I4602" s="118">
        <v>9.1435185185185185E-4</v>
      </c>
      <c r="J4602" s="118">
        <v>5.0462962962962961E-3</v>
      </c>
      <c r="K4602" s="118">
        <v>5.0462962962962961E-3</v>
      </c>
    </row>
    <row r="4603" spans="1:11" x14ac:dyDescent="0.25">
      <c r="A4603">
        <v>8</v>
      </c>
      <c r="B4603">
        <v>4</v>
      </c>
      <c r="C4603"/>
      <c r="D4603" t="s">
        <v>31</v>
      </c>
      <c r="E4603" t="s">
        <v>35</v>
      </c>
      <c r="F4603" t="s">
        <v>51</v>
      </c>
      <c r="G4603" s="118">
        <v>0.79517361111111118</v>
      </c>
      <c r="H4603" s="118">
        <v>9.1435185185185185E-4</v>
      </c>
      <c r="I4603" s="118">
        <v>3.4722222222222224E-4</v>
      </c>
      <c r="J4603"/>
      <c r="K4603"/>
    </row>
    <row r="4604" spans="1:11" x14ac:dyDescent="0.25">
      <c r="A4604">
        <v>4</v>
      </c>
      <c r="B4604">
        <v>16</v>
      </c>
      <c r="C4604"/>
      <c r="D4604" t="s">
        <v>31</v>
      </c>
      <c r="E4604" t="s">
        <v>35</v>
      </c>
      <c r="F4604" t="s">
        <v>43</v>
      </c>
      <c r="G4604" s="118">
        <v>0.79525462962962967</v>
      </c>
      <c r="H4604" s="118">
        <v>1.0995370370370371E-3</v>
      </c>
      <c r="I4604" s="118">
        <v>3.4722222222222224E-4</v>
      </c>
      <c r="J4604"/>
      <c r="K4604"/>
    </row>
    <row r="4605" spans="1:11" x14ac:dyDescent="0.25">
      <c r="A4605">
        <v>1</v>
      </c>
      <c r="B4605">
        <v>16</v>
      </c>
      <c r="C4605"/>
      <c r="D4605" t="s">
        <v>31</v>
      </c>
      <c r="E4605" t="s">
        <v>35</v>
      </c>
      <c r="F4605" t="s">
        <v>57</v>
      </c>
      <c r="G4605" s="118">
        <v>0.79534722222222232</v>
      </c>
      <c r="H4605" s="118">
        <v>1.0532407407407407E-3</v>
      </c>
      <c r="I4605" s="118">
        <v>3.4722222222222224E-4</v>
      </c>
      <c r="J4605"/>
      <c r="K4605"/>
    </row>
    <row r="4606" spans="1:11" x14ac:dyDescent="0.25">
      <c r="A4606">
        <v>8</v>
      </c>
      <c r="B4606">
        <v>4</v>
      </c>
      <c r="C4606"/>
      <c r="D4606" t="s">
        <v>31</v>
      </c>
      <c r="E4606" t="s">
        <v>32</v>
      </c>
      <c r="F4606" t="s">
        <v>51</v>
      </c>
      <c r="G4606" s="118">
        <v>0.79552083333333334</v>
      </c>
      <c r="H4606" s="118">
        <v>3.4722222222222224E-4</v>
      </c>
      <c r="I4606" s="118">
        <v>1.0069444444444444E-3</v>
      </c>
      <c r="J4606" s="118">
        <v>5.0462962962962961E-3</v>
      </c>
      <c r="K4606" s="118">
        <v>5.0462962962962961E-3</v>
      </c>
    </row>
    <row r="4607" spans="1:11" x14ac:dyDescent="0.25">
      <c r="A4607">
        <v>4</v>
      </c>
      <c r="B4607">
        <v>16</v>
      </c>
      <c r="C4607"/>
      <c r="D4607" t="s">
        <v>31</v>
      </c>
      <c r="E4607" t="s">
        <v>32</v>
      </c>
      <c r="F4607" t="s">
        <v>43</v>
      </c>
      <c r="G4607" s="118">
        <v>0.79560185185185184</v>
      </c>
      <c r="H4607" s="118">
        <v>3.4722222222222224E-4</v>
      </c>
      <c r="I4607" s="118">
        <v>1.1458333333333333E-3</v>
      </c>
      <c r="J4607" s="118">
        <v>5.0462962962962961E-3</v>
      </c>
      <c r="K4607" s="118">
        <v>5.0462962962962961E-3</v>
      </c>
    </row>
    <row r="4608" spans="1:11" x14ac:dyDescent="0.25">
      <c r="A4608">
        <v>5</v>
      </c>
      <c r="B4608">
        <v>17</v>
      </c>
      <c r="C4608"/>
      <c r="D4608" t="s">
        <v>31</v>
      </c>
      <c r="E4608" t="s">
        <v>35</v>
      </c>
      <c r="F4608" t="s">
        <v>49</v>
      </c>
      <c r="G4608" s="118">
        <v>0.79567129629629629</v>
      </c>
      <c r="H4608" s="118">
        <v>9.2592592592592585E-4</v>
      </c>
      <c r="I4608" s="118">
        <v>3.4722222222222224E-4</v>
      </c>
      <c r="J4608"/>
      <c r="K4608"/>
    </row>
    <row r="4609" spans="1:11" x14ac:dyDescent="0.25">
      <c r="A4609">
        <v>1</v>
      </c>
      <c r="B4609">
        <v>16</v>
      </c>
      <c r="C4609"/>
      <c r="D4609" t="s">
        <v>31</v>
      </c>
      <c r="E4609" t="s">
        <v>32</v>
      </c>
      <c r="F4609" t="s">
        <v>57</v>
      </c>
      <c r="G4609" s="118">
        <v>0.79569444444444448</v>
      </c>
      <c r="H4609" s="118">
        <v>3.4722222222222224E-4</v>
      </c>
      <c r="I4609" s="118">
        <v>9.3750000000000007E-4</v>
      </c>
      <c r="J4609" s="118">
        <v>5.0462962962962961E-3</v>
      </c>
      <c r="K4609" s="118">
        <v>5.0462962962962961E-3</v>
      </c>
    </row>
    <row r="4610" spans="1:11" x14ac:dyDescent="0.25">
      <c r="A4610">
        <v>3</v>
      </c>
      <c r="B4610">
        <v>16</v>
      </c>
      <c r="C4610"/>
      <c r="D4610" t="s">
        <v>31</v>
      </c>
      <c r="E4610" t="s">
        <v>35</v>
      </c>
      <c r="F4610" t="s">
        <v>42</v>
      </c>
      <c r="G4610" s="118">
        <v>0.79586805555555562</v>
      </c>
      <c r="H4610" s="118">
        <v>9.0277777777777784E-4</v>
      </c>
      <c r="I4610" s="118">
        <v>3.4722222222222224E-4</v>
      </c>
      <c r="J4610"/>
      <c r="K4610"/>
    </row>
    <row r="4611" spans="1:11" x14ac:dyDescent="0.25">
      <c r="A4611">
        <v>9</v>
      </c>
      <c r="B4611">
        <v>4</v>
      </c>
      <c r="C4611"/>
      <c r="D4611" t="s">
        <v>31</v>
      </c>
      <c r="E4611" t="s">
        <v>35</v>
      </c>
      <c r="F4611" t="s">
        <v>41</v>
      </c>
      <c r="G4611" s="118">
        <v>0.79600694444444453</v>
      </c>
      <c r="H4611" s="118">
        <v>1.0069444444444444E-3</v>
      </c>
      <c r="I4611" s="118">
        <v>3.4722222222222224E-4</v>
      </c>
      <c r="J4611"/>
      <c r="K4611"/>
    </row>
    <row r="4612" spans="1:11" x14ac:dyDescent="0.25">
      <c r="A4612">
        <v>2</v>
      </c>
      <c r="B4612">
        <v>17</v>
      </c>
      <c r="C4612"/>
      <c r="D4612" t="s">
        <v>31</v>
      </c>
      <c r="E4612" t="s">
        <v>35</v>
      </c>
      <c r="F4612" t="s">
        <v>38</v>
      </c>
      <c r="G4612" s="118">
        <v>0.79601851851851846</v>
      </c>
      <c r="H4612" s="118">
        <v>9.1435185185185185E-4</v>
      </c>
      <c r="I4612" s="118">
        <v>3.4722222222222224E-4</v>
      </c>
      <c r="J4612"/>
      <c r="K4612"/>
    </row>
    <row r="4613" spans="1:11" x14ac:dyDescent="0.25">
      <c r="A4613">
        <v>5</v>
      </c>
      <c r="B4613">
        <v>17</v>
      </c>
      <c r="C4613"/>
      <c r="D4613" t="s">
        <v>31</v>
      </c>
      <c r="E4613" t="s">
        <v>32</v>
      </c>
      <c r="F4613" t="s">
        <v>49</v>
      </c>
      <c r="G4613" s="118">
        <v>0.79601851851851846</v>
      </c>
      <c r="H4613" s="118">
        <v>3.4722222222222224E-4</v>
      </c>
      <c r="I4613" s="118">
        <v>1.3541666666666667E-3</v>
      </c>
      <c r="J4613" s="118">
        <v>5.0462962962962961E-3</v>
      </c>
      <c r="K4613" s="118">
        <v>5.0462962962962961E-3</v>
      </c>
    </row>
    <row r="4614" spans="1:11" x14ac:dyDescent="0.25">
      <c r="A4614">
        <v>3</v>
      </c>
      <c r="B4614">
        <v>16</v>
      </c>
      <c r="C4614"/>
      <c r="D4614" t="s">
        <v>31</v>
      </c>
      <c r="E4614" t="s">
        <v>32</v>
      </c>
      <c r="F4614" t="s">
        <v>42</v>
      </c>
      <c r="G4614" s="118">
        <v>0.79621527777777779</v>
      </c>
      <c r="H4614" s="118">
        <v>3.4722222222222224E-4</v>
      </c>
      <c r="I4614" s="118">
        <v>9.1435185185185185E-4</v>
      </c>
      <c r="J4614" s="118">
        <v>5.0462962962962961E-3</v>
      </c>
      <c r="K4614" s="118">
        <v>5.0462962962962961E-3</v>
      </c>
    </row>
    <row r="4615" spans="1:11" x14ac:dyDescent="0.25">
      <c r="A4615">
        <v>9</v>
      </c>
      <c r="B4615">
        <v>4</v>
      </c>
      <c r="C4615"/>
      <c r="D4615" t="s">
        <v>31</v>
      </c>
      <c r="E4615" t="s">
        <v>32</v>
      </c>
      <c r="F4615" t="s">
        <v>41</v>
      </c>
      <c r="G4615" s="118">
        <v>0.7963541666666667</v>
      </c>
      <c r="H4615" s="118">
        <v>3.4722222222222224E-4</v>
      </c>
      <c r="I4615" s="118">
        <v>8.564814814814815E-4</v>
      </c>
      <c r="J4615" s="118">
        <v>5.0462962962962961E-3</v>
      </c>
      <c r="K4615" s="118">
        <v>5.0462962962962961E-3</v>
      </c>
    </row>
    <row r="4616" spans="1:11" x14ac:dyDescent="0.25">
      <c r="A4616">
        <v>2</v>
      </c>
      <c r="B4616">
        <v>17</v>
      </c>
      <c r="C4616"/>
      <c r="D4616" t="s">
        <v>31</v>
      </c>
      <c r="E4616" t="s">
        <v>32</v>
      </c>
      <c r="F4616" t="s">
        <v>38</v>
      </c>
      <c r="G4616" s="118">
        <v>0.79636574074074085</v>
      </c>
      <c r="H4616" s="118">
        <v>3.4722222222222224E-4</v>
      </c>
      <c r="I4616" s="118">
        <v>1.2384259259259258E-3</v>
      </c>
      <c r="J4616" s="118">
        <v>5.0462962962962961E-3</v>
      </c>
      <c r="K4616" s="118">
        <v>5.0462962962962961E-3</v>
      </c>
    </row>
    <row r="4617" spans="1:11" x14ac:dyDescent="0.25">
      <c r="A4617">
        <v>8</v>
      </c>
      <c r="B4617">
        <v>4</v>
      </c>
      <c r="C4617"/>
      <c r="D4617" t="s">
        <v>31</v>
      </c>
      <c r="E4617" t="s">
        <v>35</v>
      </c>
      <c r="F4617" t="s">
        <v>55</v>
      </c>
      <c r="G4617" s="118">
        <v>0.79652777777777783</v>
      </c>
      <c r="H4617" s="118">
        <v>1.0069444444444444E-3</v>
      </c>
      <c r="I4617" s="118">
        <v>4.6296296296296293E-4</v>
      </c>
      <c r="J4617"/>
      <c r="K4617"/>
    </row>
    <row r="4618" spans="1:11" x14ac:dyDescent="0.25">
      <c r="A4618">
        <v>1</v>
      </c>
      <c r="B4618">
        <v>16</v>
      </c>
      <c r="C4618"/>
      <c r="D4618" t="s">
        <v>31</v>
      </c>
      <c r="E4618" t="s">
        <v>35</v>
      </c>
      <c r="F4618" t="s">
        <v>39</v>
      </c>
      <c r="G4618" s="118">
        <v>0.79663194444444452</v>
      </c>
      <c r="H4618" s="118">
        <v>9.3750000000000007E-4</v>
      </c>
      <c r="I4618" s="118">
        <v>5.2083333333333333E-4</v>
      </c>
      <c r="J4618"/>
      <c r="K4618"/>
    </row>
    <row r="4619" spans="1:11" x14ac:dyDescent="0.25">
      <c r="A4619">
        <v>4</v>
      </c>
      <c r="B4619">
        <v>16</v>
      </c>
      <c r="C4619"/>
      <c r="D4619" t="s">
        <v>31</v>
      </c>
      <c r="E4619" t="s">
        <v>35</v>
      </c>
      <c r="F4619" t="s">
        <v>50</v>
      </c>
      <c r="G4619" s="118">
        <v>0.79674768518518524</v>
      </c>
      <c r="H4619" s="118">
        <v>1.1458333333333333E-3</v>
      </c>
      <c r="I4619" s="118">
        <v>3.4722222222222224E-4</v>
      </c>
      <c r="J4619"/>
      <c r="K4619"/>
    </row>
    <row r="4620" spans="1:11" x14ac:dyDescent="0.25">
      <c r="A4620">
        <v>8</v>
      </c>
      <c r="B4620">
        <v>4</v>
      </c>
      <c r="C4620"/>
      <c r="D4620" t="s">
        <v>31</v>
      </c>
      <c r="E4620" t="s">
        <v>32</v>
      </c>
      <c r="F4620" t="s">
        <v>55</v>
      </c>
      <c r="G4620" s="118">
        <v>0.79699074074074072</v>
      </c>
      <c r="H4620" s="118">
        <v>4.6296296296296293E-4</v>
      </c>
      <c r="I4620" s="118">
        <v>4.3981481481481481E-4</v>
      </c>
      <c r="J4620" s="118">
        <v>5.0462962962962961E-3</v>
      </c>
      <c r="K4620" s="118">
        <v>5.0462962962962961E-3</v>
      </c>
    </row>
    <row r="4621" spans="1:11" x14ac:dyDescent="0.25">
      <c r="A4621">
        <v>4</v>
      </c>
      <c r="B4621">
        <v>16</v>
      </c>
      <c r="C4621"/>
      <c r="D4621" t="s">
        <v>31</v>
      </c>
      <c r="E4621" t="s">
        <v>32</v>
      </c>
      <c r="F4621" t="s">
        <v>50</v>
      </c>
      <c r="G4621" s="118">
        <v>0.7970949074074074</v>
      </c>
      <c r="H4621" s="118">
        <v>3.4722222222222224E-4</v>
      </c>
      <c r="I4621" s="118">
        <v>1.261574074074074E-3</v>
      </c>
      <c r="J4621" s="118">
        <v>5.0462962962962961E-3</v>
      </c>
      <c r="K4621" s="118">
        <v>5.0462962962962961E-3</v>
      </c>
    </row>
    <row r="4622" spans="1:11" x14ac:dyDescent="0.25">
      <c r="A4622">
        <v>3</v>
      </c>
      <c r="B4622">
        <v>16</v>
      </c>
      <c r="C4622"/>
      <c r="D4622" t="s">
        <v>31</v>
      </c>
      <c r="E4622" t="s">
        <v>35</v>
      </c>
      <c r="F4622" t="s">
        <v>48</v>
      </c>
      <c r="G4622" s="118">
        <v>0.79712962962962963</v>
      </c>
      <c r="H4622" s="118">
        <v>9.1435185185185185E-4</v>
      </c>
      <c r="I4622" s="118">
        <v>5.2083333333333333E-4</v>
      </c>
      <c r="J4622"/>
      <c r="K4622"/>
    </row>
    <row r="4623" spans="1:11" x14ac:dyDescent="0.25">
      <c r="A4623">
        <v>1</v>
      </c>
      <c r="B4623">
        <v>16</v>
      </c>
      <c r="C4623"/>
      <c r="D4623" t="s">
        <v>31</v>
      </c>
      <c r="E4623" t="s">
        <v>32</v>
      </c>
      <c r="F4623" t="s">
        <v>39</v>
      </c>
      <c r="G4623" s="118">
        <v>0.79715277777777782</v>
      </c>
      <c r="H4623" s="118">
        <v>5.2083333333333333E-4</v>
      </c>
      <c r="I4623" s="118">
        <v>1.8055555555555557E-3</v>
      </c>
      <c r="J4623" s="118">
        <v>5.0462962962962961E-3</v>
      </c>
      <c r="K4623" s="118">
        <v>5.0462962962962961E-3</v>
      </c>
    </row>
    <row r="4624" spans="1:11" x14ac:dyDescent="0.25">
      <c r="A4624">
        <v>9</v>
      </c>
      <c r="B4624">
        <v>4</v>
      </c>
      <c r="C4624"/>
      <c r="D4624" t="s">
        <v>31</v>
      </c>
      <c r="E4624" t="s">
        <v>35</v>
      </c>
      <c r="F4624" t="s">
        <v>47</v>
      </c>
      <c r="G4624" s="118">
        <v>0.79721064814814813</v>
      </c>
      <c r="H4624" s="118">
        <v>8.564814814814815E-4</v>
      </c>
      <c r="I4624" s="118">
        <v>5.2083333333333333E-4</v>
      </c>
      <c r="J4624"/>
      <c r="K4624"/>
    </row>
    <row r="4625" spans="1:11" x14ac:dyDescent="0.25">
      <c r="A4625">
        <v>5</v>
      </c>
      <c r="B4625">
        <v>17</v>
      </c>
      <c r="C4625"/>
      <c r="D4625" t="s">
        <v>31</v>
      </c>
      <c r="E4625" t="s">
        <v>35</v>
      </c>
      <c r="F4625" t="s">
        <v>33</v>
      </c>
      <c r="G4625" s="118">
        <v>0.79737268518518523</v>
      </c>
      <c r="H4625" s="118">
        <v>1.3541666666666667E-3</v>
      </c>
      <c r="I4625" s="118">
        <v>5.2083333333333333E-4</v>
      </c>
      <c r="J4625"/>
      <c r="K4625"/>
    </row>
    <row r="4626" spans="1:11" x14ac:dyDescent="0.25">
      <c r="A4626">
        <v>8</v>
      </c>
      <c r="B4626">
        <v>4</v>
      </c>
      <c r="C4626"/>
      <c r="D4626" t="s">
        <v>31</v>
      </c>
      <c r="E4626" t="s">
        <v>35</v>
      </c>
      <c r="F4626" t="s">
        <v>58</v>
      </c>
      <c r="G4626" s="118">
        <v>0.79743055555555553</v>
      </c>
      <c r="H4626" s="118">
        <v>4.3981481481481481E-4</v>
      </c>
      <c r="I4626" s="118">
        <v>5.7870370370370366E-5</v>
      </c>
      <c r="J4626"/>
      <c r="K4626"/>
    </row>
    <row r="4627" spans="1:11" x14ac:dyDescent="0.25">
      <c r="A4627">
        <v>8</v>
      </c>
      <c r="B4627">
        <v>4</v>
      </c>
      <c r="C4627"/>
      <c r="D4627" t="s">
        <v>31</v>
      </c>
      <c r="E4627" t="s">
        <v>32</v>
      </c>
      <c r="F4627" t="s">
        <v>58</v>
      </c>
      <c r="G4627" s="118">
        <v>0.79748842592592595</v>
      </c>
      <c r="H4627" s="118">
        <v>5.7870370370370366E-5</v>
      </c>
      <c r="I4627" s="118">
        <v>4.8611111111111104E-4</v>
      </c>
      <c r="J4627" s="118">
        <v>5.0462962962962961E-3</v>
      </c>
      <c r="K4627" s="118">
        <v>5.0462962962962961E-3</v>
      </c>
    </row>
    <row r="4628" spans="1:11" x14ac:dyDescent="0.25">
      <c r="A4628">
        <v>2</v>
      </c>
      <c r="B4628">
        <v>17</v>
      </c>
      <c r="C4628"/>
      <c r="D4628" t="s">
        <v>31</v>
      </c>
      <c r="E4628" t="s">
        <v>35</v>
      </c>
      <c r="F4628" t="s">
        <v>45</v>
      </c>
      <c r="G4628" s="118">
        <v>0.79760416666666656</v>
      </c>
      <c r="H4628" s="118">
        <v>1.2384259259259258E-3</v>
      </c>
      <c r="I4628" s="118">
        <v>3.4722222222222224E-4</v>
      </c>
      <c r="J4628"/>
      <c r="K4628"/>
    </row>
    <row r="4629" spans="1:11" x14ac:dyDescent="0.25">
      <c r="A4629">
        <v>3</v>
      </c>
      <c r="B4629">
        <v>16</v>
      </c>
      <c r="C4629"/>
      <c r="D4629" t="s">
        <v>31</v>
      </c>
      <c r="E4629" t="s">
        <v>32</v>
      </c>
      <c r="F4629" t="s">
        <v>48</v>
      </c>
      <c r="G4629" s="118">
        <v>0.79765046296296294</v>
      </c>
      <c r="H4629" s="118">
        <v>5.2083333333333333E-4</v>
      </c>
      <c r="I4629" s="118">
        <v>8.6805555555555551E-4</v>
      </c>
      <c r="J4629" s="118">
        <v>5.0462962962962961E-3</v>
      </c>
      <c r="K4629" s="118">
        <v>5.0462962962962961E-3</v>
      </c>
    </row>
    <row r="4630" spans="1:11" x14ac:dyDescent="0.25">
      <c r="A4630">
        <v>9</v>
      </c>
      <c r="B4630">
        <v>4</v>
      </c>
      <c r="C4630"/>
      <c r="D4630" t="s">
        <v>31</v>
      </c>
      <c r="E4630" t="s">
        <v>32</v>
      </c>
      <c r="F4630" t="s">
        <v>47</v>
      </c>
      <c r="G4630" s="118">
        <v>0.79773148148148154</v>
      </c>
      <c r="H4630" s="118">
        <v>5.2083333333333333E-4</v>
      </c>
      <c r="I4630" s="118">
        <v>8.7962962962962962E-4</v>
      </c>
      <c r="J4630" s="118">
        <v>5.0462962962962961E-3</v>
      </c>
      <c r="K4630" s="118">
        <v>5.0462962962962961E-3</v>
      </c>
    </row>
    <row r="4631" spans="1:11" x14ac:dyDescent="0.25">
      <c r="A4631">
        <v>5</v>
      </c>
      <c r="B4631">
        <v>17</v>
      </c>
      <c r="C4631"/>
      <c r="D4631" t="s">
        <v>31</v>
      </c>
      <c r="E4631" t="s">
        <v>32</v>
      </c>
      <c r="F4631" t="s">
        <v>33</v>
      </c>
      <c r="G4631" s="118">
        <v>0.79789351851851853</v>
      </c>
      <c r="H4631" s="118">
        <v>5.2083333333333333E-4</v>
      </c>
      <c r="I4631" s="118">
        <v>9.6064814814814808E-4</v>
      </c>
      <c r="J4631" s="118">
        <v>5.0462962962962961E-3</v>
      </c>
      <c r="K4631" s="118">
        <v>5.0462962962962961E-3</v>
      </c>
    </row>
    <row r="4632" spans="1:11" x14ac:dyDescent="0.25">
      <c r="A4632">
        <v>2</v>
      </c>
      <c r="B4632">
        <v>17</v>
      </c>
      <c r="C4632"/>
      <c r="D4632" t="s">
        <v>31</v>
      </c>
      <c r="E4632" t="s">
        <v>32</v>
      </c>
      <c r="F4632" t="s">
        <v>45</v>
      </c>
      <c r="G4632" s="118">
        <v>0.79795138888888895</v>
      </c>
      <c r="H4632" s="118">
        <v>3.4722222222222224E-4</v>
      </c>
      <c r="I4632" s="118">
        <v>1.0416666666666667E-3</v>
      </c>
      <c r="J4632" s="118">
        <v>5.0462962962962961E-3</v>
      </c>
      <c r="K4632" s="118">
        <v>5.0462962962962961E-3</v>
      </c>
    </row>
    <row r="4633" spans="1:11" x14ac:dyDescent="0.25">
      <c r="A4633">
        <v>8</v>
      </c>
      <c r="B4633">
        <v>4</v>
      </c>
      <c r="C4633"/>
      <c r="D4633" t="s">
        <v>31</v>
      </c>
      <c r="E4633" t="s">
        <v>35</v>
      </c>
      <c r="F4633" t="s">
        <v>40</v>
      </c>
      <c r="G4633" s="118">
        <v>0.79797453703703702</v>
      </c>
      <c r="H4633" s="118">
        <v>4.8611111111111104E-4</v>
      </c>
      <c r="I4633" s="118">
        <v>4.6296296296296293E-4</v>
      </c>
      <c r="J4633"/>
      <c r="K4633"/>
    </row>
    <row r="4634" spans="1:11" x14ac:dyDescent="0.25">
      <c r="A4634">
        <v>4</v>
      </c>
      <c r="B4634">
        <v>16</v>
      </c>
      <c r="C4634"/>
      <c r="D4634" t="s">
        <v>31</v>
      </c>
      <c r="E4634" t="s">
        <v>35</v>
      </c>
      <c r="F4634" t="s">
        <v>56</v>
      </c>
      <c r="G4634" s="118">
        <v>0.79835648148148142</v>
      </c>
      <c r="H4634" s="118">
        <v>1.261574074074074E-3</v>
      </c>
      <c r="I4634" s="118">
        <v>3.4722222222222224E-4</v>
      </c>
      <c r="J4634"/>
      <c r="K4634"/>
    </row>
    <row r="4635" spans="1:11" x14ac:dyDescent="0.25">
      <c r="A4635">
        <v>8</v>
      </c>
      <c r="B4635">
        <v>4</v>
      </c>
      <c r="C4635"/>
      <c r="D4635" t="s">
        <v>31</v>
      </c>
      <c r="E4635" t="s">
        <v>32</v>
      </c>
      <c r="F4635" t="s">
        <v>40</v>
      </c>
      <c r="G4635" s="118">
        <v>0.79843750000000002</v>
      </c>
      <c r="H4635" s="118">
        <v>4.6296296296296293E-4</v>
      </c>
      <c r="I4635" s="118">
        <v>1.0069444444444444E-3</v>
      </c>
      <c r="J4635" s="118">
        <v>5.0462962962962961E-3</v>
      </c>
      <c r="K4635" s="118">
        <v>5.0462962962962961E-3</v>
      </c>
    </row>
    <row r="4636" spans="1:11" x14ac:dyDescent="0.25">
      <c r="A4636">
        <v>3</v>
      </c>
      <c r="B4636">
        <v>16</v>
      </c>
      <c r="C4636"/>
      <c r="D4636" t="s">
        <v>31</v>
      </c>
      <c r="E4636" t="s">
        <v>35</v>
      </c>
      <c r="F4636" t="s">
        <v>54</v>
      </c>
      <c r="G4636" s="118">
        <v>0.79851851851851852</v>
      </c>
      <c r="H4636" s="118">
        <v>8.6805555555555551E-4</v>
      </c>
      <c r="I4636" s="118">
        <v>3.4722222222222224E-4</v>
      </c>
      <c r="J4636"/>
      <c r="K4636"/>
    </row>
    <row r="4637" spans="1:11" x14ac:dyDescent="0.25">
      <c r="A4637">
        <v>9</v>
      </c>
      <c r="B4637">
        <v>4</v>
      </c>
      <c r="C4637"/>
      <c r="D4637" t="s">
        <v>31</v>
      </c>
      <c r="E4637" t="s">
        <v>35</v>
      </c>
      <c r="F4637" t="s">
        <v>53</v>
      </c>
      <c r="G4637" s="118">
        <v>0.79861111111111116</v>
      </c>
      <c r="H4637" s="118">
        <v>8.7962962962962962E-4</v>
      </c>
      <c r="I4637" s="118">
        <v>3.4722222222222224E-4</v>
      </c>
      <c r="J4637"/>
      <c r="K4637"/>
    </row>
    <row r="4638" spans="1:11" x14ac:dyDescent="0.25">
      <c r="A4638">
        <v>4</v>
      </c>
      <c r="B4638">
        <v>16</v>
      </c>
      <c r="C4638"/>
      <c r="D4638" t="s">
        <v>31</v>
      </c>
      <c r="E4638" t="s">
        <v>32</v>
      </c>
      <c r="F4638" t="s">
        <v>56</v>
      </c>
      <c r="G4638" s="118">
        <v>0.7987037037037038</v>
      </c>
      <c r="H4638" s="118">
        <v>3.4722222222222224E-4</v>
      </c>
      <c r="I4638" s="118">
        <v>9.6064814814814808E-4</v>
      </c>
      <c r="J4638" s="118">
        <v>5.0462962962962961E-3</v>
      </c>
      <c r="K4638" s="118">
        <v>5.0462962962962961E-3</v>
      </c>
    </row>
    <row r="4639" spans="1:11" x14ac:dyDescent="0.25">
      <c r="A4639">
        <v>5</v>
      </c>
      <c r="B4639">
        <v>17</v>
      </c>
      <c r="C4639"/>
      <c r="D4639" t="s">
        <v>31</v>
      </c>
      <c r="E4639" t="s">
        <v>35</v>
      </c>
      <c r="F4639" t="s">
        <v>36</v>
      </c>
      <c r="G4639" s="118">
        <v>0.79885416666666664</v>
      </c>
      <c r="H4639" s="118">
        <v>9.6064814814814808E-4</v>
      </c>
      <c r="I4639" s="118">
        <v>3.4722222222222224E-4</v>
      </c>
      <c r="J4639"/>
      <c r="K4639"/>
    </row>
    <row r="4640" spans="1:11" x14ac:dyDescent="0.25">
      <c r="A4640">
        <v>3</v>
      </c>
      <c r="B4640">
        <v>16</v>
      </c>
      <c r="C4640"/>
      <c r="D4640" t="s">
        <v>31</v>
      </c>
      <c r="E4640" t="s">
        <v>32</v>
      </c>
      <c r="F4640" t="s">
        <v>54</v>
      </c>
      <c r="G4640" s="118">
        <v>0.79886574074074079</v>
      </c>
      <c r="H4640" s="118">
        <v>3.4722222222222224E-4</v>
      </c>
      <c r="I4640" s="118">
        <v>6.5972222222222213E-4</v>
      </c>
      <c r="J4640" s="118">
        <v>5.0462962962962961E-3</v>
      </c>
      <c r="K4640" s="118">
        <v>5.0462962962962961E-3</v>
      </c>
    </row>
    <row r="4641" spans="1:11" x14ac:dyDescent="0.25">
      <c r="A4641">
        <v>1</v>
      </c>
      <c r="B4641">
        <v>16</v>
      </c>
      <c r="C4641"/>
      <c r="D4641" t="s">
        <v>31</v>
      </c>
      <c r="E4641" t="s">
        <v>35</v>
      </c>
      <c r="F4641" t="s">
        <v>46</v>
      </c>
      <c r="G4641" s="118">
        <v>0.79895833333333333</v>
      </c>
      <c r="H4641" s="118">
        <v>1.8055555555555557E-3</v>
      </c>
      <c r="I4641" s="118">
        <v>3.4722222222222224E-4</v>
      </c>
      <c r="J4641"/>
      <c r="K4641"/>
    </row>
    <row r="4642" spans="1:11" x14ac:dyDescent="0.25">
      <c r="A4642">
        <v>9</v>
      </c>
      <c r="B4642">
        <v>4</v>
      </c>
      <c r="C4642"/>
      <c r="D4642" t="s">
        <v>31</v>
      </c>
      <c r="E4642" t="s">
        <v>32</v>
      </c>
      <c r="F4642" t="s">
        <v>53</v>
      </c>
      <c r="G4642" s="118">
        <v>0.79895833333333333</v>
      </c>
      <c r="H4642" s="118">
        <v>3.4722222222222224E-4</v>
      </c>
      <c r="I4642" s="118">
        <v>8.449074074074075E-4</v>
      </c>
      <c r="J4642" s="118">
        <v>5.0462962962962961E-3</v>
      </c>
      <c r="K4642" s="118">
        <v>5.0462962962962961E-3</v>
      </c>
    </row>
    <row r="4643" spans="1:11" x14ac:dyDescent="0.25">
      <c r="A4643">
        <v>2</v>
      </c>
      <c r="B4643">
        <v>17</v>
      </c>
      <c r="C4643"/>
      <c r="D4643" t="s">
        <v>31</v>
      </c>
      <c r="E4643" t="s">
        <v>35</v>
      </c>
      <c r="F4643" t="s">
        <v>52</v>
      </c>
      <c r="G4643" s="118">
        <v>0.79899305555555555</v>
      </c>
      <c r="H4643" s="118">
        <v>1.0416666666666667E-3</v>
      </c>
      <c r="I4643" s="118">
        <v>3.4722222222222224E-4</v>
      </c>
      <c r="J4643"/>
      <c r="K4643"/>
    </row>
    <row r="4644" spans="1:11" x14ac:dyDescent="0.25">
      <c r="A4644">
        <v>5</v>
      </c>
      <c r="B4644">
        <v>17</v>
      </c>
      <c r="C4644"/>
      <c r="D4644" t="s">
        <v>31</v>
      </c>
      <c r="E4644" t="s">
        <v>32</v>
      </c>
      <c r="F4644" t="s">
        <v>36</v>
      </c>
      <c r="G4644" s="118">
        <v>0.79920138888888881</v>
      </c>
      <c r="H4644" s="118">
        <v>3.4722222222222224E-4</v>
      </c>
      <c r="I4644" s="118">
        <v>1.0995370370370371E-3</v>
      </c>
      <c r="J4644" s="118">
        <v>5.0462962962962961E-3</v>
      </c>
      <c r="K4644" s="118">
        <v>5.0462962962962961E-3</v>
      </c>
    </row>
    <row r="4645" spans="1:11" x14ac:dyDescent="0.25">
      <c r="A4645">
        <v>1</v>
      </c>
      <c r="B4645">
        <v>16</v>
      </c>
      <c r="C4645"/>
      <c r="D4645" t="s">
        <v>31</v>
      </c>
      <c r="E4645" t="s">
        <v>32</v>
      </c>
      <c r="F4645" t="s">
        <v>46</v>
      </c>
      <c r="G4645" s="118">
        <v>0.7993055555555556</v>
      </c>
      <c r="H4645" s="118">
        <v>3.4722222222222224E-4</v>
      </c>
      <c r="I4645" s="118">
        <v>9.1435185185185185E-4</v>
      </c>
      <c r="J4645" s="118">
        <v>5.0462962962962961E-3</v>
      </c>
      <c r="K4645" s="118">
        <v>5.0462962962962961E-3</v>
      </c>
    </row>
    <row r="4646" spans="1:11" x14ac:dyDescent="0.25">
      <c r="A4646">
        <v>2</v>
      </c>
      <c r="B4646">
        <v>17</v>
      </c>
      <c r="C4646"/>
      <c r="D4646" t="s">
        <v>31</v>
      </c>
      <c r="E4646" t="s">
        <v>32</v>
      </c>
      <c r="F4646" t="s">
        <v>52</v>
      </c>
      <c r="G4646" s="118">
        <v>0.79934027777777772</v>
      </c>
      <c r="H4646" s="118">
        <v>3.4722222222222224E-4</v>
      </c>
      <c r="I4646" s="118">
        <v>1.0532407407407407E-3</v>
      </c>
      <c r="J4646" s="118">
        <v>5.0462962962962961E-3</v>
      </c>
      <c r="K4646" s="118">
        <v>5.0462962962962961E-3</v>
      </c>
    </row>
    <row r="4647" spans="1:11" x14ac:dyDescent="0.25">
      <c r="A4647">
        <v>8</v>
      </c>
      <c r="B4647">
        <v>4</v>
      </c>
      <c r="C4647"/>
      <c r="D4647" t="s">
        <v>31</v>
      </c>
      <c r="E4647" t="s">
        <v>35</v>
      </c>
      <c r="F4647" t="s">
        <v>44</v>
      </c>
      <c r="G4647" s="118">
        <v>0.79944444444444451</v>
      </c>
      <c r="H4647" s="118">
        <v>1.0069444444444444E-3</v>
      </c>
      <c r="I4647" s="118">
        <v>3.4722222222222224E-4</v>
      </c>
      <c r="J4647"/>
      <c r="K4647"/>
    </row>
    <row r="4648" spans="1:11" x14ac:dyDescent="0.25">
      <c r="A4648">
        <v>3</v>
      </c>
      <c r="B4648">
        <v>16</v>
      </c>
      <c r="C4648"/>
      <c r="D4648" t="s">
        <v>31</v>
      </c>
      <c r="E4648" t="s">
        <v>35</v>
      </c>
      <c r="F4648" t="s">
        <v>92</v>
      </c>
      <c r="G4648" s="118">
        <v>0.79952546296296301</v>
      </c>
      <c r="H4648" s="118">
        <v>6.5972222222222213E-4</v>
      </c>
      <c r="I4648" s="118">
        <v>5.2083333333333333E-4</v>
      </c>
      <c r="J4648"/>
      <c r="K4648"/>
    </row>
    <row r="4649" spans="1:11" x14ac:dyDescent="0.25">
      <c r="A4649">
        <v>4</v>
      </c>
      <c r="B4649">
        <v>16</v>
      </c>
      <c r="C4649"/>
      <c r="D4649" t="s">
        <v>31</v>
      </c>
      <c r="E4649" t="s">
        <v>35</v>
      </c>
      <c r="F4649" t="s">
        <v>37</v>
      </c>
      <c r="G4649" s="118">
        <v>0.79966435185185192</v>
      </c>
      <c r="H4649" s="118">
        <v>9.6064814814814808E-4</v>
      </c>
      <c r="I4649" s="118">
        <v>3.4722222222222224E-4</v>
      </c>
      <c r="J4649"/>
      <c r="K4649"/>
    </row>
    <row r="4650" spans="1:11" x14ac:dyDescent="0.25">
      <c r="A4650">
        <v>8</v>
      </c>
      <c r="B4650">
        <v>4</v>
      </c>
      <c r="C4650"/>
      <c r="D4650" t="s">
        <v>31</v>
      </c>
      <c r="E4650" t="s">
        <v>32</v>
      </c>
      <c r="F4650" t="s">
        <v>44</v>
      </c>
      <c r="G4650" s="118">
        <v>0.79979166666666668</v>
      </c>
      <c r="H4650" s="118">
        <v>3.4722222222222224E-4</v>
      </c>
      <c r="I4650" s="118">
        <v>9.2592592592592585E-4</v>
      </c>
      <c r="J4650" s="118">
        <v>5.0462962962962961E-3</v>
      </c>
      <c r="K4650" s="118">
        <v>5.0462962962962961E-3</v>
      </c>
    </row>
    <row r="4651" spans="1:11" x14ac:dyDescent="0.25">
      <c r="A4651">
        <v>9</v>
      </c>
      <c r="B4651">
        <v>4</v>
      </c>
      <c r="C4651"/>
      <c r="D4651" t="s">
        <v>31</v>
      </c>
      <c r="E4651" t="s">
        <v>35</v>
      </c>
      <c r="F4651" t="s">
        <v>34</v>
      </c>
      <c r="G4651" s="118">
        <v>0.79980324074074083</v>
      </c>
      <c r="H4651" s="118">
        <v>8.449074074074075E-4</v>
      </c>
      <c r="I4651" s="118">
        <v>3.4722222222222224E-4</v>
      </c>
      <c r="J4651"/>
      <c r="K4651"/>
    </row>
    <row r="4652" spans="1:11" x14ac:dyDescent="0.25">
      <c r="A4652">
        <v>4</v>
      </c>
      <c r="B4652">
        <v>16</v>
      </c>
      <c r="C4652"/>
      <c r="D4652" t="s">
        <v>31</v>
      </c>
      <c r="E4652" t="s">
        <v>32</v>
      </c>
      <c r="F4652" t="s">
        <v>37</v>
      </c>
      <c r="G4652" s="118">
        <v>0.80001157407407408</v>
      </c>
      <c r="H4652" s="118">
        <v>3.4722222222222224E-4</v>
      </c>
      <c r="I4652" s="118">
        <v>9.0277777777777784E-4</v>
      </c>
      <c r="J4652" s="118">
        <v>5.0462962962962961E-3</v>
      </c>
      <c r="K4652" s="118">
        <v>5.0462962962962961E-3</v>
      </c>
    </row>
    <row r="4653" spans="1:11" x14ac:dyDescent="0.25">
      <c r="A4653">
        <v>3</v>
      </c>
      <c r="B4653">
        <v>17</v>
      </c>
      <c r="C4653"/>
      <c r="D4653" t="s">
        <v>31</v>
      </c>
      <c r="E4653" t="s">
        <v>32</v>
      </c>
      <c r="F4653" t="s">
        <v>92</v>
      </c>
      <c r="G4653" s="118">
        <v>0.80004629629629631</v>
      </c>
      <c r="H4653" s="118">
        <v>5.2083333333333333E-4</v>
      </c>
      <c r="I4653" s="118">
        <v>1.0069444444444444E-3</v>
      </c>
      <c r="J4653" s="118">
        <v>5.0462962962962961E-3</v>
      </c>
      <c r="K4653" s="118">
        <v>5.0462962962962961E-3</v>
      </c>
    </row>
    <row r="4654" spans="1:11" x14ac:dyDescent="0.25">
      <c r="A4654">
        <v>9</v>
      </c>
      <c r="B4654">
        <v>4</v>
      </c>
      <c r="C4654"/>
      <c r="D4654" t="s">
        <v>31</v>
      </c>
      <c r="E4654" t="s">
        <v>32</v>
      </c>
      <c r="F4654" t="s">
        <v>34</v>
      </c>
      <c r="G4654" s="118">
        <v>0.80015046296296299</v>
      </c>
      <c r="H4654" s="118">
        <v>3.4722222222222224E-4</v>
      </c>
      <c r="I4654" s="118">
        <v>9.1435185185185185E-4</v>
      </c>
      <c r="J4654" s="118">
        <v>5.0462962962962961E-3</v>
      </c>
      <c r="K4654" s="118">
        <v>5.0462962962962961E-3</v>
      </c>
    </row>
    <row r="4655" spans="1:11" x14ac:dyDescent="0.25">
      <c r="A4655">
        <v>1</v>
      </c>
      <c r="B4655">
        <v>16</v>
      </c>
      <c r="C4655"/>
      <c r="D4655" t="s">
        <v>31</v>
      </c>
      <c r="E4655" t="s">
        <v>35</v>
      </c>
      <c r="F4655" t="s">
        <v>51</v>
      </c>
      <c r="G4655" s="118">
        <v>0.80021990740740734</v>
      </c>
      <c r="H4655" s="118">
        <v>9.1435185185185185E-4</v>
      </c>
      <c r="I4655" s="118">
        <v>3.4722222222222224E-4</v>
      </c>
      <c r="J4655"/>
      <c r="K4655"/>
    </row>
    <row r="4656" spans="1:11" x14ac:dyDescent="0.25">
      <c r="A4656">
        <v>5</v>
      </c>
      <c r="B4656">
        <v>17</v>
      </c>
      <c r="C4656"/>
      <c r="D4656" t="s">
        <v>31</v>
      </c>
      <c r="E4656" t="s">
        <v>35</v>
      </c>
      <c r="F4656" t="s">
        <v>43</v>
      </c>
      <c r="G4656" s="118">
        <v>0.80030092592592583</v>
      </c>
      <c r="H4656" s="118">
        <v>1.0995370370370371E-3</v>
      </c>
      <c r="I4656" s="118">
        <v>3.4722222222222224E-4</v>
      </c>
      <c r="J4656"/>
      <c r="K4656"/>
    </row>
    <row r="4657" spans="1:11" x14ac:dyDescent="0.25">
      <c r="A4657">
        <v>2</v>
      </c>
      <c r="B4657">
        <v>17</v>
      </c>
      <c r="C4657"/>
      <c r="D4657" t="s">
        <v>31</v>
      </c>
      <c r="E4657" t="s">
        <v>35</v>
      </c>
      <c r="F4657" t="s">
        <v>57</v>
      </c>
      <c r="G4657" s="118">
        <v>0.80039351851851848</v>
      </c>
      <c r="H4657" s="118">
        <v>1.0532407407407407E-3</v>
      </c>
      <c r="I4657" s="118">
        <v>3.4722222222222224E-4</v>
      </c>
      <c r="J4657"/>
      <c r="K4657"/>
    </row>
    <row r="4658" spans="1:11" x14ac:dyDescent="0.25">
      <c r="A4658">
        <v>1</v>
      </c>
      <c r="B4658">
        <v>16</v>
      </c>
      <c r="C4658"/>
      <c r="D4658" t="s">
        <v>31</v>
      </c>
      <c r="E4658" t="s">
        <v>32</v>
      </c>
      <c r="F4658" t="s">
        <v>51</v>
      </c>
      <c r="G4658" s="118">
        <v>0.80056712962962961</v>
      </c>
      <c r="H4658" s="118">
        <v>3.4722222222222224E-4</v>
      </c>
      <c r="I4658" s="118">
        <v>1.0069444444444444E-3</v>
      </c>
      <c r="J4658" s="118">
        <v>5.0462962962962961E-3</v>
      </c>
      <c r="K4658" s="118">
        <v>5.0462962962962961E-3</v>
      </c>
    </row>
    <row r="4659" spans="1:11" x14ac:dyDescent="0.25">
      <c r="A4659">
        <v>5</v>
      </c>
      <c r="B4659">
        <v>17</v>
      </c>
      <c r="C4659"/>
      <c r="D4659" t="s">
        <v>31</v>
      </c>
      <c r="E4659" t="s">
        <v>32</v>
      </c>
      <c r="F4659" t="s">
        <v>43</v>
      </c>
      <c r="G4659" s="118">
        <v>0.80064814814814822</v>
      </c>
      <c r="H4659" s="118">
        <v>3.4722222222222224E-4</v>
      </c>
      <c r="I4659" s="118">
        <v>1.1458333333333333E-3</v>
      </c>
      <c r="J4659" s="118">
        <v>5.0462962962962961E-3</v>
      </c>
      <c r="K4659" s="118">
        <v>5.0462962962962961E-3</v>
      </c>
    </row>
    <row r="4660" spans="1:11" x14ac:dyDescent="0.25">
      <c r="A4660">
        <v>8</v>
      </c>
      <c r="B4660">
        <v>4</v>
      </c>
      <c r="C4660"/>
      <c r="D4660" t="s">
        <v>31</v>
      </c>
      <c r="E4660" t="s">
        <v>35</v>
      </c>
      <c r="F4660" t="s">
        <v>49</v>
      </c>
      <c r="G4660" s="118">
        <v>0.80071759259259256</v>
      </c>
      <c r="H4660" s="118">
        <v>9.2592592592592585E-4</v>
      </c>
      <c r="I4660" s="118">
        <v>3.4722222222222224E-4</v>
      </c>
      <c r="J4660"/>
      <c r="K4660"/>
    </row>
    <row r="4661" spans="1:11" x14ac:dyDescent="0.25">
      <c r="A4661">
        <v>2</v>
      </c>
      <c r="B4661">
        <v>17</v>
      </c>
      <c r="C4661"/>
      <c r="D4661" t="s">
        <v>31</v>
      </c>
      <c r="E4661" t="s">
        <v>32</v>
      </c>
      <c r="F4661" t="s">
        <v>57</v>
      </c>
      <c r="G4661" s="118">
        <v>0.80074074074074064</v>
      </c>
      <c r="H4661" s="118">
        <v>3.4722222222222224E-4</v>
      </c>
      <c r="I4661" s="118">
        <v>9.3750000000000007E-4</v>
      </c>
      <c r="J4661" s="118">
        <v>5.0462962962962961E-3</v>
      </c>
      <c r="K4661" s="118">
        <v>5.0462962962962961E-3</v>
      </c>
    </row>
    <row r="4662" spans="1:11" x14ac:dyDescent="0.25">
      <c r="A4662">
        <v>4</v>
      </c>
      <c r="B4662">
        <v>16</v>
      </c>
      <c r="C4662"/>
      <c r="D4662" t="s">
        <v>31</v>
      </c>
      <c r="E4662" t="s">
        <v>35</v>
      </c>
      <c r="F4662" t="s">
        <v>42</v>
      </c>
      <c r="G4662" s="118">
        <v>0.80091435185185178</v>
      </c>
      <c r="H4662" s="118">
        <v>9.0277777777777784E-4</v>
      </c>
      <c r="I4662" s="118">
        <v>3.4722222222222224E-4</v>
      </c>
      <c r="J4662"/>
      <c r="K4662"/>
    </row>
    <row r="4663" spans="1:11" x14ac:dyDescent="0.25">
      <c r="A4663">
        <v>3</v>
      </c>
      <c r="B4663">
        <v>17</v>
      </c>
      <c r="C4663"/>
      <c r="D4663" t="s">
        <v>31</v>
      </c>
      <c r="E4663" t="s">
        <v>35</v>
      </c>
      <c r="F4663" t="s">
        <v>41</v>
      </c>
      <c r="G4663" s="118">
        <v>0.80105324074074069</v>
      </c>
      <c r="H4663" s="118">
        <v>1.0069444444444444E-3</v>
      </c>
      <c r="I4663" s="118">
        <v>3.4722222222222224E-4</v>
      </c>
      <c r="J4663"/>
      <c r="K4663"/>
    </row>
    <row r="4664" spans="1:11" x14ac:dyDescent="0.25">
      <c r="A4664">
        <v>8</v>
      </c>
      <c r="B4664">
        <v>4</v>
      </c>
      <c r="C4664"/>
      <c r="D4664" t="s">
        <v>31</v>
      </c>
      <c r="E4664" t="s">
        <v>32</v>
      </c>
      <c r="F4664" t="s">
        <v>49</v>
      </c>
      <c r="G4664" s="118">
        <v>0.80106481481481484</v>
      </c>
      <c r="H4664" s="118">
        <v>3.4722222222222224E-4</v>
      </c>
      <c r="I4664" s="118">
        <v>1.3541666666666667E-3</v>
      </c>
      <c r="J4664" s="118">
        <v>5.0462962962962961E-3</v>
      </c>
      <c r="K4664" s="118">
        <v>5.0462962962962961E-3</v>
      </c>
    </row>
    <row r="4665" spans="1:11" x14ac:dyDescent="0.25">
      <c r="A4665">
        <v>9</v>
      </c>
      <c r="B4665">
        <v>4</v>
      </c>
      <c r="C4665"/>
      <c r="D4665" t="s">
        <v>31</v>
      </c>
      <c r="E4665" t="s">
        <v>35</v>
      </c>
      <c r="F4665" t="s">
        <v>38</v>
      </c>
      <c r="G4665" s="118">
        <v>0.80106481481481484</v>
      </c>
      <c r="H4665" s="118">
        <v>9.1435185185185185E-4</v>
      </c>
      <c r="I4665" s="118">
        <v>3.4722222222222224E-4</v>
      </c>
      <c r="J4665"/>
      <c r="K4665"/>
    </row>
    <row r="4666" spans="1:11" x14ac:dyDescent="0.25">
      <c r="A4666">
        <v>4</v>
      </c>
      <c r="B4666">
        <v>16</v>
      </c>
      <c r="C4666"/>
      <c r="D4666" t="s">
        <v>31</v>
      </c>
      <c r="E4666" t="s">
        <v>32</v>
      </c>
      <c r="F4666" t="s">
        <v>42</v>
      </c>
      <c r="G4666" s="118">
        <v>0.80126157407407417</v>
      </c>
      <c r="H4666" s="118">
        <v>3.4722222222222224E-4</v>
      </c>
      <c r="I4666" s="118">
        <v>9.1435185185185185E-4</v>
      </c>
      <c r="J4666" s="118">
        <v>5.0462962962962961E-3</v>
      </c>
      <c r="K4666" s="118">
        <v>5.0462962962962961E-3</v>
      </c>
    </row>
    <row r="4667" spans="1:11" x14ac:dyDescent="0.25">
      <c r="A4667">
        <v>3</v>
      </c>
      <c r="B4667">
        <v>17</v>
      </c>
      <c r="C4667"/>
      <c r="D4667" t="s">
        <v>31</v>
      </c>
      <c r="E4667" t="s">
        <v>32</v>
      </c>
      <c r="F4667" t="s">
        <v>41</v>
      </c>
      <c r="G4667" s="118">
        <v>0.80140046296296286</v>
      </c>
      <c r="H4667" s="118">
        <v>3.4722222222222224E-4</v>
      </c>
      <c r="I4667" s="118">
        <v>8.564814814814815E-4</v>
      </c>
      <c r="J4667" s="118">
        <v>5.0462962962962961E-3</v>
      </c>
      <c r="K4667" s="118">
        <v>5.0462962962962961E-3</v>
      </c>
    </row>
    <row r="4668" spans="1:11" x14ac:dyDescent="0.25">
      <c r="A4668">
        <v>9</v>
      </c>
      <c r="B4668">
        <v>4</v>
      </c>
      <c r="C4668"/>
      <c r="D4668" t="s">
        <v>31</v>
      </c>
      <c r="E4668" t="s">
        <v>32</v>
      </c>
      <c r="F4668" t="s">
        <v>38</v>
      </c>
      <c r="G4668" s="118">
        <v>0.80141203703703701</v>
      </c>
      <c r="H4668" s="118">
        <v>3.4722222222222224E-4</v>
      </c>
      <c r="I4668" s="118">
        <v>1.2384259259259258E-3</v>
      </c>
      <c r="J4668" s="118">
        <v>5.0462962962962961E-3</v>
      </c>
      <c r="K4668" s="118">
        <v>5.0462962962962961E-3</v>
      </c>
    </row>
    <row r="4669" spans="1:11" x14ac:dyDescent="0.25">
      <c r="A4669">
        <v>1</v>
      </c>
      <c r="B4669">
        <v>16</v>
      </c>
      <c r="C4669"/>
      <c r="D4669" t="s">
        <v>31</v>
      </c>
      <c r="E4669" t="s">
        <v>35</v>
      </c>
      <c r="F4669" t="s">
        <v>55</v>
      </c>
      <c r="G4669" s="118">
        <v>0.80157407407407411</v>
      </c>
      <c r="H4669" s="118">
        <v>1.0069444444444444E-3</v>
      </c>
      <c r="I4669" s="118">
        <v>4.6296296296296293E-4</v>
      </c>
      <c r="J4669"/>
      <c r="K4669"/>
    </row>
    <row r="4670" spans="1:11" x14ac:dyDescent="0.25">
      <c r="A4670">
        <v>2</v>
      </c>
      <c r="B4670">
        <v>17</v>
      </c>
      <c r="C4670"/>
      <c r="D4670" t="s">
        <v>31</v>
      </c>
      <c r="E4670" t="s">
        <v>35</v>
      </c>
      <c r="F4670" t="s">
        <v>39</v>
      </c>
      <c r="G4670" s="118">
        <v>0.80167824074074068</v>
      </c>
      <c r="H4670" s="118">
        <v>9.3750000000000007E-4</v>
      </c>
      <c r="I4670" s="118">
        <v>5.2083333333333333E-4</v>
      </c>
      <c r="J4670"/>
      <c r="K4670"/>
    </row>
    <row r="4671" spans="1:11" x14ac:dyDescent="0.25">
      <c r="A4671">
        <v>5</v>
      </c>
      <c r="B4671">
        <v>17</v>
      </c>
      <c r="C4671"/>
      <c r="D4671" t="s">
        <v>31</v>
      </c>
      <c r="E4671" t="s">
        <v>35</v>
      </c>
      <c r="F4671" t="s">
        <v>50</v>
      </c>
      <c r="G4671" s="118">
        <v>0.80179398148148151</v>
      </c>
      <c r="H4671" s="118">
        <v>1.1458333333333333E-3</v>
      </c>
      <c r="I4671" s="118">
        <v>3.4722222222222224E-4</v>
      </c>
      <c r="J4671"/>
      <c r="K4671"/>
    </row>
    <row r="4672" spans="1:11" x14ac:dyDescent="0.25">
      <c r="A4672">
        <v>1</v>
      </c>
      <c r="B4672">
        <v>16</v>
      </c>
      <c r="C4672"/>
      <c r="D4672" t="s">
        <v>31</v>
      </c>
      <c r="E4672" t="s">
        <v>32</v>
      </c>
      <c r="F4672" t="s">
        <v>55</v>
      </c>
      <c r="G4672" s="118">
        <v>0.80203703703703699</v>
      </c>
      <c r="H4672" s="118">
        <v>4.6296296296296293E-4</v>
      </c>
      <c r="I4672" s="118">
        <v>4.3981481481481481E-4</v>
      </c>
      <c r="J4672" s="118">
        <v>5.0462962962962961E-3</v>
      </c>
      <c r="K4672" s="118">
        <v>5.0462962962962961E-3</v>
      </c>
    </row>
    <row r="4673" spans="1:11" x14ac:dyDescent="0.25">
      <c r="A4673">
        <v>5</v>
      </c>
      <c r="B4673">
        <v>17</v>
      </c>
      <c r="C4673"/>
      <c r="D4673" t="s">
        <v>31</v>
      </c>
      <c r="E4673" t="s">
        <v>32</v>
      </c>
      <c r="F4673" t="s">
        <v>50</v>
      </c>
      <c r="G4673" s="118">
        <v>0.80214120370370379</v>
      </c>
      <c r="H4673" s="118">
        <v>3.4722222222222224E-4</v>
      </c>
      <c r="I4673" s="118">
        <v>1.261574074074074E-3</v>
      </c>
      <c r="J4673" s="118">
        <v>5.0462962962962961E-3</v>
      </c>
      <c r="K4673" s="118">
        <v>5.0462962962962961E-3</v>
      </c>
    </row>
    <row r="4674" spans="1:11" x14ac:dyDescent="0.25">
      <c r="A4674">
        <v>4</v>
      </c>
      <c r="B4674">
        <v>16</v>
      </c>
      <c r="C4674"/>
      <c r="D4674" t="s">
        <v>31</v>
      </c>
      <c r="E4674" t="s">
        <v>35</v>
      </c>
      <c r="F4674" t="s">
        <v>48</v>
      </c>
      <c r="G4674" s="118">
        <v>0.8021759259259259</v>
      </c>
      <c r="H4674" s="118">
        <v>9.1435185185185185E-4</v>
      </c>
      <c r="I4674" s="118">
        <v>5.2083333333333333E-4</v>
      </c>
      <c r="J4674"/>
      <c r="K4674"/>
    </row>
    <row r="4675" spans="1:11" x14ac:dyDescent="0.25">
      <c r="A4675">
        <v>2</v>
      </c>
      <c r="B4675">
        <v>17</v>
      </c>
      <c r="C4675"/>
      <c r="D4675" t="s">
        <v>31</v>
      </c>
      <c r="E4675" t="s">
        <v>32</v>
      </c>
      <c r="F4675" t="s">
        <v>39</v>
      </c>
      <c r="G4675" s="118">
        <v>0.80219907407407398</v>
      </c>
      <c r="H4675" s="118">
        <v>5.2083333333333333E-4</v>
      </c>
      <c r="I4675" s="118">
        <v>1.8055555555555557E-3</v>
      </c>
      <c r="J4675" s="118">
        <v>5.0462962962962961E-3</v>
      </c>
      <c r="K4675" s="118">
        <v>5.0462962962962961E-3</v>
      </c>
    </row>
    <row r="4676" spans="1:11" x14ac:dyDescent="0.25">
      <c r="A4676">
        <v>3</v>
      </c>
      <c r="B4676">
        <v>17</v>
      </c>
      <c r="C4676"/>
      <c r="D4676" t="s">
        <v>31</v>
      </c>
      <c r="E4676" t="s">
        <v>35</v>
      </c>
      <c r="F4676" t="s">
        <v>47</v>
      </c>
      <c r="G4676" s="118">
        <v>0.8022569444444444</v>
      </c>
      <c r="H4676" s="118">
        <v>8.564814814814815E-4</v>
      </c>
      <c r="I4676" s="118">
        <v>5.2083333333333333E-4</v>
      </c>
      <c r="J4676"/>
      <c r="K4676"/>
    </row>
    <row r="4677" spans="1:11" x14ac:dyDescent="0.25">
      <c r="A4677">
        <v>8</v>
      </c>
      <c r="B4677">
        <v>4</v>
      </c>
      <c r="C4677"/>
      <c r="D4677" t="s">
        <v>31</v>
      </c>
      <c r="E4677" t="s">
        <v>35</v>
      </c>
      <c r="F4677" t="s">
        <v>33</v>
      </c>
      <c r="G4677" s="118">
        <v>0.80241898148148139</v>
      </c>
      <c r="H4677" s="118">
        <v>1.3541666666666667E-3</v>
      </c>
      <c r="I4677" s="118">
        <v>5.2083333333333333E-4</v>
      </c>
      <c r="J4677"/>
      <c r="K4677"/>
    </row>
    <row r="4678" spans="1:11" x14ac:dyDescent="0.25">
      <c r="A4678">
        <v>1</v>
      </c>
      <c r="B4678">
        <v>16</v>
      </c>
      <c r="C4678"/>
      <c r="D4678" t="s">
        <v>31</v>
      </c>
      <c r="E4678" t="s">
        <v>35</v>
      </c>
      <c r="F4678" t="s">
        <v>58</v>
      </c>
      <c r="G4678" s="118">
        <v>0.8024768518518518</v>
      </c>
      <c r="H4678" s="118">
        <v>4.3981481481481481E-4</v>
      </c>
      <c r="I4678" s="118">
        <v>5.7870370370370366E-5</v>
      </c>
      <c r="J4678"/>
      <c r="K4678"/>
    </row>
    <row r="4679" spans="1:11" x14ac:dyDescent="0.25">
      <c r="A4679">
        <v>1</v>
      </c>
      <c r="B4679">
        <v>16</v>
      </c>
      <c r="C4679"/>
      <c r="D4679" t="s">
        <v>31</v>
      </c>
      <c r="E4679" t="s">
        <v>32</v>
      </c>
      <c r="F4679" t="s">
        <v>58</v>
      </c>
      <c r="G4679" s="118">
        <v>0.80253472222222222</v>
      </c>
      <c r="H4679" s="118">
        <v>5.7870370370370366E-5</v>
      </c>
      <c r="I4679" s="118">
        <v>4.8611111111111104E-4</v>
      </c>
      <c r="J4679" s="118">
        <v>5.0462962962962961E-3</v>
      </c>
      <c r="K4679" s="118">
        <v>5.0462962962962961E-3</v>
      </c>
    </row>
    <row r="4680" spans="1:11" x14ac:dyDescent="0.25">
      <c r="A4680">
        <v>9</v>
      </c>
      <c r="B4680">
        <v>4</v>
      </c>
      <c r="C4680"/>
      <c r="D4680" t="s">
        <v>31</v>
      </c>
      <c r="E4680" t="s">
        <v>35</v>
      </c>
      <c r="F4680" t="s">
        <v>45</v>
      </c>
      <c r="G4680" s="118">
        <v>0.80265046296296294</v>
      </c>
      <c r="H4680" s="118">
        <v>1.2384259259259258E-3</v>
      </c>
      <c r="I4680" s="118">
        <v>3.4722222222222224E-4</v>
      </c>
      <c r="J4680"/>
      <c r="K4680"/>
    </row>
    <row r="4681" spans="1:11" x14ac:dyDescent="0.25">
      <c r="A4681">
        <v>4</v>
      </c>
      <c r="B4681">
        <v>16</v>
      </c>
      <c r="C4681"/>
      <c r="D4681" t="s">
        <v>31</v>
      </c>
      <c r="E4681" t="s">
        <v>32</v>
      </c>
      <c r="F4681" t="s">
        <v>48</v>
      </c>
      <c r="G4681" s="118">
        <v>0.80269675925925921</v>
      </c>
      <c r="H4681" s="118">
        <v>5.2083333333333333E-4</v>
      </c>
      <c r="I4681" s="118">
        <v>8.6805555555555551E-4</v>
      </c>
      <c r="J4681" s="118">
        <v>5.0462962962962961E-3</v>
      </c>
      <c r="K4681" s="118">
        <v>5.0462962962962961E-3</v>
      </c>
    </row>
    <row r="4682" spans="1:11" x14ac:dyDescent="0.25">
      <c r="A4682">
        <v>3</v>
      </c>
      <c r="B4682">
        <v>17</v>
      </c>
      <c r="C4682"/>
      <c r="D4682" t="s">
        <v>31</v>
      </c>
      <c r="E4682" t="s">
        <v>32</v>
      </c>
      <c r="F4682" t="s">
        <v>47</v>
      </c>
      <c r="G4682" s="118">
        <v>0.8027777777777777</v>
      </c>
      <c r="H4682" s="118">
        <v>5.2083333333333333E-4</v>
      </c>
      <c r="I4682" s="118">
        <v>8.7962962962962962E-4</v>
      </c>
      <c r="J4682" s="118">
        <v>5.0462962962962961E-3</v>
      </c>
      <c r="K4682" s="118">
        <v>5.0462962962962961E-3</v>
      </c>
    </row>
    <row r="4683" spans="1:11" x14ac:dyDescent="0.25">
      <c r="A4683">
        <v>8</v>
      </c>
      <c r="B4683">
        <v>4</v>
      </c>
      <c r="C4683"/>
      <c r="D4683" t="s">
        <v>31</v>
      </c>
      <c r="E4683" t="s">
        <v>32</v>
      </c>
      <c r="F4683" t="s">
        <v>33</v>
      </c>
      <c r="G4683" s="118">
        <v>0.80293981481481491</v>
      </c>
      <c r="H4683" s="118">
        <v>5.2083333333333333E-4</v>
      </c>
      <c r="I4683" s="118">
        <v>9.6064814814814808E-4</v>
      </c>
      <c r="J4683" s="118">
        <v>5.0462962962962961E-3</v>
      </c>
      <c r="K4683" s="118">
        <v>5.0462962962962961E-3</v>
      </c>
    </row>
    <row r="4684" spans="1:11" x14ac:dyDescent="0.25">
      <c r="A4684">
        <v>9</v>
      </c>
      <c r="B4684">
        <v>4</v>
      </c>
      <c r="C4684"/>
      <c r="D4684" t="s">
        <v>31</v>
      </c>
      <c r="E4684" t="s">
        <v>32</v>
      </c>
      <c r="F4684" t="s">
        <v>45</v>
      </c>
      <c r="G4684" s="118">
        <v>0.80299768518518511</v>
      </c>
      <c r="H4684" s="118">
        <v>3.4722222222222224E-4</v>
      </c>
      <c r="I4684" s="118">
        <v>1.0416666666666667E-3</v>
      </c>
      <c r="J4684" s="118">
        <v>5.0462962962962961E-3</v>
      </c>
      <c r="K4684" s="118">
        <v>5.0462962962962961E-3</v>
      </c>
    </row>
    <row r="4685" spans="1:11" x14ac:dyDescent="0.25">
      <c r="A4685">
        <v>1</v>
      </c>
      <c r="B4685">
        <v>16</v>
      </c>
      <c r="C4685"/>
      <c r="D4685" t="s">
        <v>31</v>
      </c>
      <c r="E4685" t="s">
        <v>35</v>
      </c>
      <c r="F4685" t="s">
        <v>40</v>
      </c>
      <c r="G4685" s="118">
        <v>0.80302083333333341</v>
      </c>
      <c r="H4685" s="118">
        <v>4.8611111111111104E-4</v>
      </c>
      <c r="I4685" s="118">
        <v>4.6296296296296293E-4</v>
      </c>
      <c r="J4685"/>
      <c r="K4685"/>
    </row>
    <row r="4686" spans="1:11" x14ac:dyDescent="0.25">
      <c r="A4686">
        <v>5</v>
      </c>
      <c r="B4686">
        <v>17</v>
      </c>
      <c r="C4686"/>
      <c r="D4686" t="s">
        <v>31</v>
      </c>
      <c r="E4686" t="s">
        <v>35</v>
      </c>
      <c r="F4686" t="s">
        <v>56</v>
      </c>
      <c r="G4686" s="118">
        <v>0.8034027777777778</v>
      </c>
      <c r="H4686" s="118">
        <v>1.261574074074074E-3</v>
      </c>
      <c r="I4686" s="118">
        <v>3.4722222222222224E-4</v>
      </c>
      <c r="J4686"/>
      <c r="K4686"/>
    </row>
    <row r="4687" spans="1:11" x14ac:dyDescent="0.25">
      <c r="A4687">
        <v>1</v>
      </c>
      <c r="B4687">
        <v>16</v>
      </c>
      <c r="C4687"/>
      <c r="D4687" t="s">
        <v>31</v>
      </c>
      <c r="E4687" t="s">
        <v>32</v>
      </c>
      <c r="F4687" t="s">
        <v>40</v>
      </c>
      <c r="G4687" s="118">
        <v>0.80348379629629629</v>
      </c>
      <c r="H4687" s="118">
        <v>4.6296296296296293E-4</v>
      </c>
      <c r="I4687" s="118">
        <v>1.0069444444444444E-3</v>
      </c>
      <c r="J4687" s="118">
        <v>5.0462962962962961E-3</v>
      </c>
      <c r="K4687" s="118">
        <v>5.0462962962962961E-3</v>
      </c>
    </row>
    <row r="4688" spans="1:11" x14ac:dyDescent="0.25">
      <c r="A4688">
        <v>4</v>
      </c>
      <c r="B4688">
        <v>16</v>
      </c>
      <c r="C4688"/>
      <c r="D4688" t="s">
        <v>31</v>
      </c>
      <c r="E4688" t="s">
        <v>35</v>
      </c>
      <c r="F4688" t="s">
        <v>54</v>
      </c>
      <c r="G4688" s="118">
        <v>0.80356481481481479</v>
      </c>
      <c r="H4688" s="118">
        <v>8.6805555555555551E-4</v>
      </c>
      <c r="I4688" s="118">
        <v>3.4722222222222224E-4</v>
      </c>
      <c r="J4688"/>
      <c r="K4688"/>
    </row>
    <row r="4689" spans="1:11" x14ac:dyDescent="0.25">
      <c r="A4689">
        <v>3</v>
      </c>
      <c r="B4689">
        <v>17</v>
      </c>
      <c r="C4689"/>
      <c r="D4689" t="s">
        <v>31</v>
      </c>
      <c r="E4689" t="s">
        <v>35</v>
      </c>
      <c r="F4689" t="s">
        <v>53</v>
      </c>
      <c r="G4689" s="118">
        <v>0.80365740740740732</v>
      </c>
      <c r="H4689" s="118">
        <v>8.7962962962962962E-4</v>
      </c>
      <c r="I4689" s="118">
        <v>3.4722222222222224E-4</v>
      </c>
      <c r="J4689"/>
      <c r="K4689"/>
    </row>
    <row r="4690" spans="1:11" x14ac:dyDescent="0.25">
      <c r="A4690">
        <v>5</v>
      </c>
      <c r="B4690">
        <v>17</v>
      </c>
      <c r="C4690"/>
      <c r="D4690" t="s">
        <v>31</v>
      </c>
      <c r="E4690" t="s">
        <v>32</v>
      </c>
      <c r="F4690" t="s">
        <v>56</v>
      </c>
      <c r="G4690" s="118">
        <v>0.80374999999999996</v>
      </c>
      <c r="H4690" s="118">
        <v>3.4722222222222224E-4</v>
      </c>
      <c r="I4690" s="118">
        <v>9.6064814814814808E-4</v>
      </c>
      <c r="J4690" s="118">
        <v>5.0462962962962961E-3</v>
      </c>
      <c r="K4690" s="118">
        <v>5.0462962962962961E-3</v>
      </c>
    </row>
    <row r="4691" spans="1:11" x14ac:dyDescent="0.25">
      <c r="A4691">
        <v>8</v>
      </c>
      <c r="B4691">
        <v>4</v>
      </c>
      <c r="C4691"/>
      <c r="D4691" t="s">
        <v>31</v>
      </c>
      <c r="E4691" t="s">
        <v>35</v>
      </c>
      <c r="F4691" t="s">
        <v>36</v>
      </c>
      <c r="G4691" s="118">
        <v>0.80390046296296302</v>
      </c>
      <c r="H4691" s="118">
        <v>9.6064814814814808E-4</v>
      </c>
      <c r="I4691" s="118">
        <v>3.4722222222222224E-4</v>
      </c>
      <c r="J4691"/>
      <c r="K4691"/>
    </row>
    <row r="4692" spans="1:11" x14ac:dyDescent="0.25">
      <c r="A4692">
        <v>4</v>
      </c>
      <c r="B4692">
        <v>16</v>
      </c>
      <c r="C4692"/>
      <c r="D4692" t="s">
        <v>31</v>
      </c>
      <c r="E4692" t="s">
        <v>32</v>
      </c>
      <c r="F4692" t="s">
        <v>54</v>
      </c>
      <c r="G4692" s="118">
        <v>0.80391203703703706</v>
      </c>
      <c r="H4692" s="118">
        <v>3.4722222222222224E-4</v>
      </c>
      <c r="I4692" s="118">
        <v>6.5972222222222213E-4</v>
      </c>
      <c r="J4692" s="118">
        <v>5.0462962962962961E-3</v>
      </c>
      <c r="K4692" s="118">
        <v>5.0462962962962961E-3</v>
      </c>
    </row>
    <row r="4693" spans="1:11" x14ac:dyDescent="0.25">
      <c r="A4693">
        <v>2</v>
      </c>
      <c r="B4693">
        <v>17</v>
      </c>
      <c r="C4693"/>
      <c r="D4693" t="s">
        <v>31</v>
      </c>
      <c r="E4693" t="s">
        <v>35</v>
      </c>
      <c r="F4693" t="s">
        <v>46</v>
      </c>
      <c r="G4693" s="118">
        <v>0.8040046296296296</v>
      </c>
      <c r="H4693" s="118">
        <v>1.8055555555555557E-3</v>
      </c>
      <c r="I4693" s="118">
        <v>3.4722222222222224E-4</v>
      </c>
      <c r="J4693"/>
      <c r="K4693"/>
    </row>
    <row r="4694" spans="1:11" x14ac:dyDescent="0.25">
      <c r="A4694">
        <v>3</v>
      </c>
      <c r="B4694">
        <v>17</v>
      </c>
      <c r="C4694"/>
      <c r="D4694" t="s">
        <v>31</v>
      </c>
      <c r="E4694" t="s">
        <v>32</v>
      </c>
      <c r="F4694" t="s">
        <v>53</v>
      </c>
      <c r="G4694" s="118">
        <v>0.8040046296296296</v>
      </c>
      <c r="H4694" s="118">
        <v>3.4722222222222224E-4</v>
      </c>
      <c r="I4694" s="118">
        <v>8.449074074074075E-4</v>
      </c>
      <c r="J4694" s="118">
        <v>5.0462962962962961E-3</v>
      </c>
      <c r="K4694" s="118">
        <v>5.0462962962962961E-3</v>
      </c>
    </row>
    <row r="4695" spans="1:11" x14ac:dyDescent="0.25">
      <c r="A4695">
        <v>9</v>
      </c>
      <c r="B4695">
        <v>4</v>
      </c>
      <c r="C4695"/>
      <c r="D4695" t="s">
        <v>31</v>
      </c>
      <c r="E4695" t="s">
        <v>35</v>
      </c>
      <c r="F4695" t="s">
        <v>52</v>
      </c>
      <c r="G4695" s="118">
        <v>0.80403935185185194</v>
      </c>
      <c r="H4695" s="118">
        <v>1.0416666666666667E-3</v>
      </c>
      <c r="I4695" s="118">
        <v>3.4722222222222224E-4</v>
      </c>
      <c r="J4695"/>
      <c r="K4695"/>
    </row>
    <row r="4696" spans="1:11" x14ac:dyDescent="0.25">
      <c r="A4696">
        <v>8</v>
      </c>
      <c r="B4696">
        <v>4</v>
      </c>
      <c r="C4696"/>
      <c r="D4696" t="s">
        <v>31</v>
      </c>
      <c r="E4696" t="s">
        <v>32</v>
      </c>
      <c r="F4696" t="s">
        <v>36</v>
      </c>
      <c r="G4696" s="118">
        <v>0.80424768518518519</v>
      </c>
      <c r="H4696" s="118">
        <v>3.4722222222222224E-4</v>
      </c>
      <c r="I4696" s="118">
        <v>1.0995370370370371E-3</v>
      </c>
      <c r="J4696" s="118">
        <v>5.0462962962962961E-3</v>
      </c>
      <c r="K4696" s="118">
        <v>5.0462962962962961E-3</v>
      </c>
    </row>
    <row r="4697" spans="1:11" x14ac:dyDescent="0.25">
      <c r="A4697">
        <v>2</v>
      </c>
      <c r="B4697">
        <v>17</v>
      </c>
      <c r="C4697"/>
      <c r="D4697" t="s">
        <v>31</v>
      </c>
      <c r="E4697" t="s">
        <v>32</v>
      </c>
      <c r="F4697" t="s">
        <v>46</v>
      </c>
      <c r="G4697" s="118">
        <v>0.80435185185185187</v>
      </c>
      <c r="H4697" s="118">
        <v>3.4722222222222224E-4</v>
      </c>
      <c r="I4697" s="118">
        <v>9.1435185185185185E-4</v>
      </c>
      <c r="J4697" s="118">
        <v>5.0462962962962961E-3</v>
      </c>
      <c r="K4697" s="118">
        <v>5.0462962962962961E-3</v>
      </c>
    </row>
    <row r="4698" spans="1:11" x14ac:dyDescent="0.25">
      <c r="A4698">
        <v>9</v>
      </c>
      <c r="B4698">
        <v>4</v>
      </c>
      <c r="C4698"/>
      <c r="D4698" t="s">
        <v>31</v>
      </c>
      <c r="E4698" t="s">
        <v>32</v>
      </c>
      <c r="F4698" t="s">
        <v>52</v>
      </c>
      <c r="G4698" s="118">
        <v>0.8043865740740741</v>
      </c>
      <c r="H4698" s="118">
        <v>3.4722222222222224E-4</v>
      </c>
      <c r="I4698" s="118">
        <v>1.0532407407407407E-3</v>
      </c>
      <c r="J4698" s="118">
        <v>5.0462962962962961E-3</v>
      </c>
      <c r="K4698" s="118">
        <v>5.0462962962962961E-3</v>
      </c>
    </row>
    <row r="4699" spans="1:11" x14ac:dyDescent="0.25">
      <c r="A4699">
        <v>1</v>
      </c>
      <c r="B4699">
        <v>16</v>
      </c>
      <c r="C4699"/>
      <c r="D4699" t="s">
        <v>31</v>
      </c>
      <c r="E4699" t="s">
        <v>35</v>
      </c>
      <c r="F4699" t="s">
        <v>44</v>
      </c>
      <c r="G4699" s="118">
        <v>0.80449074074074067</v>
      </c>
      <c r="H4699" s="118">
        <v>1.0069444444444444E-3</v>
      </c>
      <c r="I4699" s="118">
        <v>3.4722222222222224E-4</v>
      </c>
      <c r="J4699"/>
      <c r="K4699"/>
    </row>
    <row r="4700" spans="1:11" x14ac:dyDescent="0.25">
      <c r="A4700">
        <v>4</v>
      </c>
      <c r="B4700">
        <v>16</v>
      </c>
      <c r="C4700"/>
      <c r="D4700" t="s">
        <v>31</v>
      </c>
      <c r="E4700" t="s">
        <v>35</v>
      </c>
      <c r="F4700" t="s">
        <v>92</v>
      </c>
      <c r="G4700" s="118">
        <v>0.80457175925925928</v>
      </c>
      <c r="H4700" s="118">
        <v>6.5972222222222213E-4</v>
      </c>
      <c r="I4700" s="118">
        <v>5.2083333333333333E-4</v>
      </c>
      <c r="J4700"/>
      <c r="K4700"/>
    </row>
    <row r="4701" spans="1:11" x14ac:dyDescent="0.25">
      <c r="A4701">
        <v>5</v>
      </c>
      <c r="B4701">
        <v>17</v>
      </c>
      <c r="C4701"/>
      <c r="D4701" t="s">
        <v>31</v>
      </c>
      <c r="E4701" t="s">
        <v>35</v>
      </c>
      <c r="F4701" t="s">
        <v>37</v>
      </c>
      <c r="G4701" s="118">
        <v>0.80471064814814808</v>
      </c>
      <c r="H4701" s="118">
        <v>9.6064814814814808E-4</v>
      </c>
      <c r="I4701" s="118">
        <v>3.4722222222222224E-4</v>
      </c>
      <c r="J4701"/>
      <c r="K4701"/>
    </row>
    <row r="4702" spans="1:11" x14ac:dyDescent="0.25">
      <c r="A4702">
        <v>1</v>
      </c>
      <c r="B4702">
        <v>16</v>
      </c>
      <c r="C4702"/>
      <c r="D4702" t="s">
        <v>31</v>
      </c>
      <c r="E4702" t="s">
        <v>32</v>
      </c>
      <c r="F4702" t="s">
        <v>44</v>
      </c>
      <c r="G4702" s="118">
        <v>0.80483796296296306</v>
      </c>
      <c r="H4702" s="118">
        <v>3.4722222222222224E-4</v>
      </c>
      <c r="I4702" s="118">
        <v>9.2592592592592585E-4</v>
      </c>
      <c r="J4702" s="118">
        <v>5.0462962962962961E-3</v>
      </c>
      <c r="K4702" s="118">
        <v>5.0462962962962961E-3</v>
      </c>
    </row>
    <row r="4703" spans="1:11" x14ac:dyDescent="0.25">
      <c r="A4703">
        <v>3</v>
      </c>
      <c r="B4703">
        <v>17</v>
      </c>
      <c r="C4703"/>
      <c r="D4703" t="s">
        <v>31</v>
      </c>
      <c r="E4703" t="s">
        <v>35</v>
      </c>
      <c r="F4703" t="s">
        <v>34</v>
      </c>
      <c r="G4703" s="118">
        <v>0.80484953703703699</v>
      </c>
      <c r="H4703" s="118">
        <v>8.449074074074075E-4</v>
      </c>
      <c r="I4703" s="118">
        <v>3.4722222222222224E-4</v>
      </c>
      <c r="J4703"/>
      <c r="K4703"/>
    </row>
    <row r="4704" spans="1:11" x14ac:dyDescent="0.25">
      <c r="A4704">
        <v>5</v>
      </c>
      <c r="B4704">
        <v>17</v>
      </c>
      <c r="C4704"/>
      <c r="D4704" t="s">
        <v>31</v>
      </c>
      <c r="E4704" t="s">
        <v>32</v>
      </c>
      <c r="F4704" t="s">
        <v>37</v>
      </c>
      <c r="G4704" s="118">
        <v>0.80505787037037047</v>
      </c>
      <c r="H4704" s="118">
        <v>3.4722222222222224E-4</v>
      </c>
      <c r="I4704" s="118">
        <v>9.0277777777777784E-4</v>
      </c>
      <c r="J4704" s="118">
        <v>5.0462962962962961E-3</v>
      </c>
      <c r="K4704" s="118">
        <v>5.0462962962962961E-3</v>
      </c>
    </row>
    <row r="4705" spans="1:11" x14ac:dyDescent="0.25">
      <c r="A4705">
        <v>4</v>
      </c>
      <c r="B4705">
        <v>17</v>
      </c>
      <c r="C4705"/>
      <c r="D4705" t="s">
        <v>31</v>
      </c>
      <c r="E4705" t="s">
        <v>32</v>
      </c>
      <c r="F4705" t="s">
        <v>92</v>
      </c>
      <c r="G4705" s="118">
        <v>0.80509259259259258</v>
      </c>
      <c r="H4705" s="118">
        <v>5.2083333333333333E-4</v>
      </c>
      <c r="I4705" s="118">
        <v>1.0069444444444444E-3</v>
      </c>
      <c r="J4705" s="118">
        <v>5.0462962962962961E-3</v>
      </c>
      <c r="K4705" s="118">
        <v>5.0462962962962961E-3</v>
      </c>
    </row>
    <row r="4706" spans="1:11" x14ac:dyDescent="0.25">
      <c r="A4706">
        <v>3</v>
      </c>
      <c r="B4706">
        <v>17</v>
      </c>
      <c r="C4706"/>
      <c r="D4706" t="s">
        <v>31</v>
      </c>
      <c r="E4706" t="s">
        <v>32</v>
      </c>
      <c r="F4706" t="s">
        <v>34</v>
      </c>
      <c r="G4706" s="118">
        <v>0.80519675925925915</v>
      </c>
      <c r="H4706" s="118">
        <v>3.4722222222222224E-4</v>
      </c>
      <c r="I4706" s="118">
        <v>9.1435185185185185E-4</v>
      </c>
      <c r="J4706" s="118">
        <v>5.0462962962962961E-3</v>
      </c>
      <c r="K4706" s="118">
        <v>5.0462962962962961E-3</v>
      </c>
    </row>
    <row r="4707" spans="1:11" x14ac:dyDescent="0.25">
      <c r="A4707">
        <v>2</v>
      </c>
      <c r="B4707">
        <v>17</v>
      </c>
      <c r="C4707"/>
      <c r="D4707" t="s">
        <v>31</v>
      </c>
      <c r="E4707" t="s">
        <v>35</v>
      </c>
      <c r="F4707" t="s">
        <v>51</v>
      </c>
      <c r="G4707" s="118">
        <v>0.80526620370370372</v>
      </c>
      <c r="H4707" s="118">
        <v>9.1435185185185185E-4</v>
      </c>
      <c r="I4707" s="118">
        <v>3.4722222222222224E-4</v>
      </c>
      <c r="J4707"/>
      <c r="K4707"/>
    </row>
    <row r="4708" spans="1:11" x14ac:dyDescent="0.25">
      <c r="A4708">
        <v>8</v>
      </c>
      <c r="B4708">
        <v>4</v>
      </c>
      <c r="C4708"/>
      <c r="D4708" t="s">
        <v>31</v>
      </c>
      <c r="E4708" t="s">
        <v>35</v>
      </c>
      <c r="F4708" t="s">
        <v>43</v>
      </c>
      <c r="G4708" s="118">
        <v>0.80534722222222221</v>
      </c>
      <c r="H4708" s="118">
        <v>1.0995370370370371E-3</v>
      </c>
      <c r="I4708" s="118">
        <v>3.4722222222222224E-4</v>
      </c>
      <c r="J4708"/>
      <c r="K4708"/>
    </row>
    <row r="4709" spans="1:11" x14ac:dyDescent="0.25">
      <c r="A4709">
        <v>9</v>
      </c>
      <c r="B4709">
        <v>4</v>
      </c>
      <c r="C4709"/>
      <c r="D4709" t="s">
        <v>31</v>
      </c>
      <c r="E4709" t="s">
        <v>35</v>
      </c>
      <c r="F4709" t="s">
        <v>57</v>
      </c>
      <c r="G4709" s="118">
        <v>0.80543981481481486</v>
      </c>
      <c r="H4709" s="118">
        <v>1.0532407407407407E-3</v>
      </c>
      <c r="I4709" s="118">
        <v>3.4722222222222224E-4</v>
      </c>
      <c r="J4709"/>
      <c r="K4709"/>
    </row>
    <row r="4710" spans="1:11" x14ac:dyDescent="0.25">
      <c r="A4710">
        <v>2</v>
      </c>
      <c r="B4710">
        <v>17</v>
      </c>
      <c r="C4710"/>
      <c r="D4710" t="s">
        <v>31</v>
      </c>
      <c r="E4710" t="s">
        <v>32</v>
      </c>
      <c r="F4710" t="s">
        <v>51</v>
      </c>
      <c r="G4710" s="118">
        <v>0.80561342592592589</v>
      </c>
      <c r="H4710" s="118">
        <v>3.4722222222222224E-4</v>
      </c>
      <c r="I4710" s="118">
        <v>1.0069444444444444E-3</v>
      </c>
      <c r="J4710" s="118">
        <v>5.0462962962962961E-3</v>
      </c>
      <c r="K4710" s="118">
        <v>5.0462962962962961E-3</v>
      </c>
    </row>
    <row r="4711" spans="1:11" x14ac:dyDescent="0.25">
      <c r="A4711">
        <v>8</v>
      </c>
      <c r="B4711">
        <v>4</v>
      </c>
      <c r="C4711"/>
      <c r="D4711" t="s">
        <v>31</v>
      </c>
      <c r="E4711" t="s">
        <v>32</v>
      </c>
      <c r="F4711" t="s">
        <v>43</v>
      </c>
      <c r="G4711" s="118">
        <v>0.80569444444444438</v>
      </c>
      <c r="H4711" s="118">
        <v>3.4722222222222224E-4</v>
      </c>
      <c r="I4711" s="118">
        <v>1.1458333333333333E-3</v>
      </c>
      <c r="J4711" s="118">
        <v>5.0462962962962961E-3</v>
      </c>
      <c r="K4711" s="118">
        <v>5.0462962962962961E-3</v>
      </c>
    </row>
    <row r="4712" spans="1:11" x14ac:dyDescent="0.25">
      <c r="A4712">
        <v>1</v>
      </c>
      <c r="B4712">
        <v>16</v>
      </c>
      <c r="C4712"/>
      <c r="D4712" t="s">
        <v>31</v>
      </c>
      <c r="E4712" t="s">
        <v>35</v>
      </c>
      <c r="F4712" t="s">
        <v>49</v>
      </c>
      <c r="G4712" s="118">
        <v>0.80576388888888895</v>
      </c>
      <c r="H4712" s="118">
        <v>9.2592592592592585E-4</v>
      </c>
      <c r="I4712" s="118">
        <v>3.4722222222222224E-4</v>
      </c>
      <c r="J4712"/>
      <c r="K4712"/>
    </row>
    <row r="4713" spans="1:11" x14ac:dyDescent="0.25">
      <c r="A4713">
        <v>9</v>
      </c>
      <c r="B4713">
        <v>4</v>
      </c>
      <c r="C4713"/>
      <c r="D4713" t="s">
        <v>31</v>
      </c>
      <c r="E4713" t="s">
        <v>32</v>
      </c>
      <c r="F4713" t="s">
        <v>57</v>
      </c>
      <c r="G4713" s="118">
        <v>0.80578703703703702</v>
      </c>
      <c r="H4713" s="118">
        <v>3.4722222222222224E-4</v>
      </c>
      <c r="I4713" s="118">
        <v>9.3750000000000007E-4</v>
      </c>
      <c r="J4713" s="118">
        <v>5.0462962962962961E-3</v>
      </c>
      <c r="K4713" s="118">
        <v>5.0462962962962961E-3</v>
      </c>
    </row>
    <row r="4714" spans="1:11" x14ac:dyDescent="0.25">
      <c r="A4714">
        <v>5</v>
      </c>
      <c r="B4714">
        <v>17</v>
      </c>
      <c r="C4714"/>
      <c r="D4714" t="s">
        <v>31</v>
      </c>
      <c r="E4714" t="s">
        <v>35</v>
      </c>
      <c r="F4714" t="s">
        <v>42</v>
      </c>
      <c r="G4714" s="118">
        <v>0.80596064814814816</v>
      </c>
      <c r="H4714" s="118">
        <v>9.0277777777777784E-4</v>
      </c>
      <c r="I4714" s="118">
        <v>3.4722222222222224E-4</v>
      </c>
      <c r="J4714"/>
      <c r="K4714"/>
    </row>
    <row r="4715" spans="1:11" x14ac:dyDescent="0.25">
      <c r="A4715">
        <v>4</v>
      </c>
      <c r="B4715">
        <v>17</v>
      </c>
      <c r="C4715"/>
      <c r="D4715" t="s">
        <v>31</v>
      </c>
      <c r="E4715" t="s">
        <v>35</v>
      </c>
      <c r="F4715" t="s">
        <v>41</v>
      </c>
      <c r="G4715" s="118">
        <v>0.80609953703703707</v>
      </c>
      <c r="H4715" s="118">
        <v>1.0069444444444444E-3</v>
      </c>
      <c r="I4715" s="118">
        <v>3.4722222222222224E-4</v>
      </c>
      <c r="J4715"/>
      <c r="K4715"/>
    </row>
    <row r="4716" spans="1:11" x14ac:dyDescent="0.25">
      <c r="A4716">
        <v>1</v>
      </c>
      <c r="B4716">
        <v>16</v>
      </c>
      <c r="C4716"/>
      <c r="D4716" t="s">
        <v>31</v>
      </c>
      <c r="E4716" t="s">
        <v>32</v>
      </c>
      <c r="F4716" t="s">
        <v>49</v>
      </c>
      <c r="G4716" s="118">
        <v>0.80611111111111111</v>
      </c>
      <c r="H4716" s="118">
        <v>3.4722222222222224E-4</v>
      </c>
      <c r="I4716" s="118">
        <v>1.3541666666666667E-3</v>
      </c>
      <c r="J4716" s="118">
        <v>5.0462962962962961E-3</v>
      </c>
      <c r="K4716" s="118">
        <v>5.0462962962962961E-3</v>
      </c>
    </row>
    <row r="4717" spans="1:11" x14ac:dyDescent="0.25">
      <c r="A4717">
        <v>3</v>
      </c>
      <c r="B4717">
        <v>17</v>
      </c>
      <c r="C4717"/>
      <c r="D4717" t="s">
        <v>31</v>
      </c>
      <c r="E4717" t="s">
        <v>35</v>
      </c>
      <c r="F4717" t="s">
        <v>38</v>
      </c>
      <c r="G4717" s="118">
        <v>0.80611111111111111</v>
      </c>
      <c r="H4717" s="118">
        <v>9.1435185185185185E-4</v>
      </c>
      <c r="I4717" s="118">
        <v>3.4722222222222224E-4</v>
      </c>
      <c r="J4717"/>
      <c r="K4717"/>
    </row>
    <row r="4718" spans="1:11" x14ac:dyDescent="0.25">
      <c r="A4718">
        <v>5</v>
      </c>
      <c r="B4718">
        <v>17</v>
      </c>
      <c r="C4718"/>
      <c r="D4718" t="s">
        <v>31</v>
      </c>
      <c r="E4718" t="s">
        <v>32</v>
      </c>
      <c r="F4718" t="s">
        <v>42</v>
      </c>
      <c r="G4718" s="118">
        <v>0.80630787037037033</v>
      </c>
      <c r="H4718" s="118">
        <v>3.4722222222222224E-4</v>
      </c>
      <c r="I4718" s="118">
        <v>9.1435185185185185E-4</v>
      </c>
      <c r="J4718" s="118">
        <v>5.0462962962962961E-3</v>
      </c>
      <c r="K4718" s="118">
        <v>5.0462962962962961E-3</v>
      </c>
    </row>
    <row r="4719" spans="1:11" x14ac:dyDescent="0.25">
      <c r="A4719">
        <v>4</v>
      </c>
      <c r="B4719">
        <v>17</v>
      </c>
      <c r="C4719"/>
      <c r="D4719" t="s">
        <v>31</v>
      </c>
      <c r="E4719" t="s">
        <v>32</v>
      </c>
      <c r="F4719" t="s">
        <v>41</v>
      </c>
      <c r="G4719" s="118">
        <v>0.80644675925925924</v>
      </c>
      <c r="H4719" s="118">
        <v>3.4722222222222224E-4</v>
      </c>
      <c r="I4719" s="118">
        <v>8.564814814814815E-4</v>
      </c>
      <c r="J4719" s="118">
        <v>5.0462962962962961E-3</v>
      </c>
      <c r="K4719" s="118">
        <v>5.0462962962962961E-3</v>
      </c>
    </row>
    <row r="4720" spans="1:11" x14ac:dyDescent="0.25">
      <c r="A4720">
        <v>3</v>
      </c>
      <c r="B4720">
        <v>17</v>
      </c>
      <c r="C4720"/>
      <c r="D4720" t="s">
        <v>31</v>
      </c>
      <c r="E4720" t="s">
        <v>32</v>
      </c>
      <c r="F4720" t="s">
        <v>38</v>
      </c>
      <c r="G4720" s="118">
        <v>0.80645833333333339</v>
      </c>
      <c r="H4720" s="118">
        <v>3.4722222222222224E-4</v>
      </c>
      <c r="I4720" s="118">
        <v>1.2384259259259258E-3</v>
      </c>
      <c r="J4720" s="118">
        <v>5.0462962962962961E-3</v>
      </c>
      <c r="K4720" s="118">
        <v>5.0462962962962961E-3</v>
      </c>
    </row>
    <row r="4721" spans="1:11" x14ac:dyDescent="0.25">
      <c r="A4721">
        <v>2</v>
      </c>
      <c r="B4721">
        <v>17</v>
      </c>
      <c r="C4721"/>
      <c r="D4721" t="s">
        <v>31</v>
      </c>
      <c r="E4721" t="s">
        <v>35</v>
      </c>
      <c r="F4721" t="s">
        <v>55</v>
      </c>
      <c r="G4721" s="118">
        <v>0.80662037037037038</v>
      </c>
      <c r="H4721" s="118">
        <v>1.0069444444444444E-3</v>
      </c>
      <c r="I4721" s="118">
        <v>4.6296296296296293E-4</v>
      </c>
      <c r="J4721"/>
      <c r="K4721"/>
    </row>
    <row r="4722" spans="1:11" x14ac:dyDescent="0.25">
      <c r="A4722">
        <v>9</v>
      </c>
      <c r="B4722">
        <v>4</v>
      </c>
      <c r="C4722"/>
      <c r="D4722" t="s">
        <v>31</v>
      </c>
      <c r="E4722" t="s">
        <v>35</v>
      </c>
      <c r="F4722" t="s">
        <v>39</v>
      </c>
      <c r="G4722" s="118">
        <v>0.80672453703703706</v>
      </c>
      <c r="H4722" s="118">
        <v>9.3750000000000007E-4</v>
      </c>
      <c r="I4722" s="118">
        <v>5.2083333333333333E-4</v>
      </c>
      <c r="J4722"/>
      <c r="K4722"/>
    </row>
    <row r="4723" spans="1:11" x14ac:dyDescent="0.25">
      <c r="A4723">
        <v>8</v>
      </c>
      <c r="B4723">
        <v>4</v>
      </c>
      <c r="C4723"/>
      <c r="D4723" t="s">
        <v>31</v>
      </c>
      <c r="E4723" t="s">
        <v>35</v>
      </c>
      <c r="F4723" t="s">
        <v>50</v>
      </c>
      <c r="G4723" s="118">
        <v>0.80684027777777778</v>
      </c>
      <c r="H4723" s="118">
        <v>1.1458333333333333E-3</v>
      </c>
      <c r="I4723" s="118">
        <v>3.4722222222222224E-4</v>
      </c>
      <c r="J4723"/>
      <c r="K4723"/>
    </row>
    <row r="4724" spans="1:11" x14ac:dyDescent="0.25">
      <c r="A4724">
        <v>2</v>
      </c>
      <c r="B4724">
        <v>17</v>
      </c>
      <c r="C4724"/>
      <c r="D4724" t="s">
        <v>31</v>
      </c>
      <c r="E4724" t="s">
        <v>32</v>
      </c>
      <c r="F4724" t="s">
        <v>55</v>
      </c>
      <c r="G4724" s="118">
        <v>0.80708333333333337</v>
      </c>
      <c r="H4724" s="118">
        <v>4.6296296296296293E-4</v>
      </c>
      <c r="I4724" s="118">
        <v>4.3981481481481481E-4</v>
      </c>
      <c r="J4724" s="118">
        <v>5.0462962962962961E-3</v>
      </c>
      <c r="K4724" s="118">
        <v>5.0462962962962961E-3</v>
      </c>
    </row>
    <row r="4725" spans="1:11" x14ac:dyDescent="0.25">
      <c r="A4725">
        <v>8</v>
      </c>
      <c r="B4725">
        <v>4</v>
      </c>
      <c r="C4725"/>
      <c r="D4725" t="s">
        <v>31</v>
      </c>
      <c r="E4725" t="s">
        <v>32</v>
      </c>
      <c r="F4725" t="s">
        <v>50</v>
      </c>
      <c r="G4725" s="118">
        <v>0.80718749999999995</v>
      </c>
      <c r="H4725" s="118">
        <v>3.4722222222222224E-4</v>
      </c>
      <c r="I4725" s="118">
        <v>1.261574074074074E-3</v>
      </c>
      <c r="J4725" s="118">
        <v>5.0462962962962961E-3</v>
      </c>
      <c r="K4725" s="118">
        <v>5.0462962962962961E-3</v>
      </c>
    </row>
    <row r="4726" spans="1:11" x14ac:dyDescent="0.25">
      <c r="A4726">
        <v>5</v>
      </c>
      <c r="B4726">
        <v>17</v>
      </c>
      <c r="C4726"/>
      <c r="D4726" t="s">
        <v>31</v>
      </c>
      <c r="E4726" t="s">
        <v>35</v>
      </c>
      <c r="F4726" t="s">
        <v>48</v>
      </c>
      <c r="G4726" s="118">
        <v>0.80722222222222229</v>
      </c>
      <c r="H4726" s="118">
        <v>9.1435185185185185E-4</v>
      </c>
      <c r="I4726" s="118">
        <v>5.2083333333333333E-4</v>
      </c>
      <c r="J4726"/>
      <c r="K4726"/>
    </row>
    <row r="4727" spans="1:11" x14ac:dyDescent="0.25">
      <c r="A4727">
        <v>9</v>
      </c>
      <c r="B4727">
        <v>4</v>
      </c>
      <c r="C4727"/>
      <c r="D4727" t="s">
        <v>31</v>
      </c>
      <c r="E4727" t="s">
        <v>32</v>
      </c>
      <c r="F4727" t="s">
        <v>39</v>
      </c>
      <c r="G4727" s="118">
        <v>0.80724537037037036</v>
      </c>
      <c r="H4727" s="118">
        <v>5.2083333333333333E-4</v>
      </c>
      <c r="I4727" s="118">
        <v>1.8055555555555557E-3</v>
      </c>
      <c r="J4727" s="118">
        <v>5.0462962962962961E-3</v>
      </c>
      <c r="K4727" s="118">
        <v>5.0462962962962961E-3</v>
      </c>
    </row>
    <row r="4728" spans="1:11" x14ac:dyDescent="0.25">
      <c r="A4728">
        <v>4</v>
      </c>
      <c r="B4728">
        <v>17</v>
      </c>
      <c r="C4728"/>
      <c r="D4728" t="s">
        <v>31</v>
      </c>
      <c r="E4728" t="s">
        <v>35</v>
      </c>
      <c r="F4728" t="s">
        <v>47</v>
      </c>
      <c r="G4728" s="118">
        <v>0.80730324074074078</v>
      </c>
      <c r="H4728" s="118">
        <v>8.564814814814815E-4</v>
      </c>
      <c r="I4728" s="118">
        <v>5.2083333333333333E-4</v>
      </c>
      <c r="J4728"/>
      <c r="K4728"/>
    </row>
    <row r="4729" spans="1:11" x14ac:dyDescent="0.25">
      <c r="A4729">
        <v>1</v>
      </c>
      <c r="B4729">
        <v>16</v>
      </c>
      <c r="C4729"/>
      <c r="D4729" t="s">
        <v>31</v>
      </c>
      <c r="E4729" t="s">
        <v>35</v>
      </c>
      <c r="F4729" t="s">
        <v>33</v>
      </c>
      <c r="G4729" s="118">
        <v>0.80746527777777777</v>
      </c>
      <c r="H4729" s="118">
        <v>1.3541666666666667E-3</v>
      </c>
      <c r="I4729" s="118">
        <v>5.2083333333333333E-4</v>
      </c>
      <c r="J4729"/>
      <c r="K4729"/>
    </row>
    <row r="4730" spans="1:11" x14ac:dyDescent="0.25">
      <c r="A4730">
        <v>2</v>
      </c>
      <c r="B4730">
        <v>17</v>
      </c>
      <c r="C4730"/>
      <c r="D4730" t="s">
        <v>31</v>
      </c>
      <c r="E4730" t="s">
        <v>35</v>
      </c>
      <c r="F4730" t="s">
        <v>58</v>
      </c>
      <c r="G4730" s="118">
        <v>0.80752314814814818</v>
      </c>
      <c r="H4730" s="118">
        <v>4.3981481481481481E-4</v>
      </c>
      <c r="I4730" s="118">
        <v>5.7870370370370366E-5</v>
      </c>
      <c r="J4730"/>
      <c r="K4730"/>
    </row>
    <row r="4731" spans="1:11" x14ac:dyDescent="0.25">
      <c r="A4731">
        <v>2</v>
      </c>
      <c r="B4731">
        <v>17</v>
      </c>
      <c r="C4731"/>
      <c r="D4731" t="s">
        <v>31</v>
      </c>
      <c r="E4731" t="s">
        <v>32</v>
      </c>
      <c r="F4731" t="s">
        <v>58</v>
      </c>
      <c r="G4731" s="118">
        <v>0.80758101851851849</v>
      </c>
      <c r="H4731" s="118">
        <v>5.7870370370370366E-5</v>
      </c>
      <c r="I4731" s="118">
        <v>4.8611111111111104E-4</v>
      </c>
      <c r="J4731" s="118">
        <v>5.0462962962962961E-3</v>
      </c>
      <c r="K4731" s="118">
        <v>5.0462962962962961E-3</v>
      </c>
    </row>
    <row r="4732" spans="1:11" x14ac:dyDescent="0.25">
      <c r="A4732">
        <v>3</v>
      </c>
      <c r="B4732">
        <v>17</v>
      </c>
      <c r="C4732"/>
      <c r="D4732" t="s">
        <v>31</v>
      </c>
      <c r="E4732" t="s">
        <v>35</v>
      </c>
      <c r="F4732" t="s">
        <v>45</v>
      </c>
      <c r="G4732" s="118">
        <v>0.80769675925925932</v>
      </c>
      <c r="H4732" s="118">
        <v>1.2384259259259258E-3</v>
      </c>
      <c r="I4732" s="118">
        <v>3.4722222222222224E-4</v>
      </c>
      <c r="J4732"/>
      <c r="K4732"/>
    </row>
    <row r="4733" spans="1:11" x14ac:dyDescent="0.25">
      <c r="A4733">
        <v>5</v>
      </c>
      <c r="B4733">
        <v>17</v>
      </c>
      <c r="C4733"/>
      <c r="D4733" t="s">
        <v>31</v>
      </c>
      <c r="E4733" t="s">
        <v>32</v>
      </c>
      <c r="F4733" t="s">
        <v>48</v>
      </c>
      <c r="G4733" s="118">
        <v>0.80774305555555559</v>
      </c>
      <c r="H4733" s="118">
        <v>5.2083333333333333E-4</v>
      </c>
      <c r="I4733" s="118">
        <v>8.6805555555555551E-4</v>
      </c>
      <c r="J4733" s="118">
        <v>5.0462962962962961E-3</v>
      </c>
      <c r="K4733" s="118">
        <v>5.0462962962962961E-3</v>
      </c>
    </row>
    <row r="4734" spans="1:11" x14ac:dyDescent="0.25">
      <c r="A4734">
        <v>4</v>
      </c>
      <c r="B4734">
        <v>17</v>
      </c>
      <c r="C4734"/>
      <c r="D4734" t="s">
        <v>31</v>
      </c>
      <c r="E4734" t="s">
        <v>32</v>
      </c>
      <c r="F4734" t="s">
        <v>47</v>
      </c>
      <c r="G4734" s="118">
        <v>0.80782407407407408</v>
      </c>
      <c r="H4734" s="118">
        <v>5.2083333333333333E-4</v>
      </c>
      <c r="I4734" s="118">
        <v>8.7962962962962962E-4</v>
      </c>
      <c r="J4734" s="118">
        <v>5.0462962962962961E-3</v>
      </c>
      <c r="K4734" s="118">
        <v>5.0462962962962961E-3</v>
      </c>
    </row>
    <row r="4735" spans="1:11" x14ac:dyDescent="0.25">
      <c r="A4735">
        <v>1</v>
      </c>
      <c r="B4735">
        <v>16</v>
      </c>
      <c r="C4735"/>
      <c r="D4735" t="s">
        <v>31</v>
      </c>
      <c r="E4735" t="s">
        <v>32</v>
      </c>
      <c r="F4735" t="s">
        <v>33</v>
      </c>
      <c r="G4735" s="118">
        <v>0.80798611111111107</v>
      </c>
      <c r="H4735" s="118">
        <v>5.2083333333333333E-4</v>
      </c>
      <c r="I4735" s="118">
        <v>9.6064814814814808E-4</v>
      </c>
      <c r="J4735" s="118">
        <v>5.0462962962962961E-3</v>
      </c>
      <c r="K4735" s="118">
        <v>5.0462962962962961E-3</v>
      </c>
    </row>
    <row r="4736" spans="1:11" x14ac:dyDescent="0.25">
      <c r="A4736">
        <v>3</v>
      </c>
      <c r="B4736">
        <v>17</v>
      </c>
      <c r="C4736"/>
      <c r="D4736" t="s">
        <v>31</v>
      </c>
      <c r="E4736" t="s">
        <v>32</v>
      </c>
      <c r="F4736" t="s">
        <v>45</v>
      </c>
      <c r="G4736" s="118">
        <v>0.80804398148148149</v>
      </c>
      <c r="H4736" s="118">
        <v>3.4722222222222224E-4</v>
      </c>
      <c r="I4736" s="118">
        <v>1.0416666666666667E-3</v>
      </c>
      <c r="J4736" s="118">
        <v>5.0462962962962961E-3</v>
      </c>
      <c r="K4736" s="118">
        <v>5.0462962962962961E-3</v>
      </c>
    </row>
    <row r="4737" spans="1:11" x14ac:dyDescent="0.25">
      <c r="A4737">
        <v>2</v>
      </c>
      <c r="B4737">
        <v>17</v>
      </c>
      <c r="C4737"/>
      <c r="D4737" t="s">
        <v>31</v>
      </c>
      <c r="E4737" t="s">
        <v>35</v>
      </c>
      <c r="F4737" t="s">
        <v>40</v>
      </c>
      <c r="G4737" s="118">
        <v>0.80806712962962957</v>
      </c>
      <c r="H4737" s="118">
        <v>4.8611111111111104E-4</v>
      </c>
      <c r="I4737" s="118">
        <v>4.6296296296296293E-4</v>
      </c>
      <c r="J4737"/>
      <c r="K4737"/>
    </row>
    <row r="4738" spans="1:11" x14ac:dyDescent="0.25">
      <c r="A4738">
        <v>8</v>
      </c>
      <c r="B4738">
        <v>4</v>
      </c>
      <c r="C4738"/>
      <c r="D4738" t="s">
        <v>31</v>
      </c>
      <c r="E4738" t="s">
        <v>35</v>
      </c>
      <c r="F4738" t="s">
        <v>56</v>
      </c>
      <c r="G4738" s="118">
        <v>0.80844907407407407</v>
      </c>
      <c r="H4738" s="118">
        <v>1.261574074074074E-3</v>
      </c>
      <c r="I4738" s="118">
        <v>3.4722222222222224E-4</v>
      </c>
      <c r="J4738"/>
      <c r="K4738"/>
    </row>
    <row r="4739" spans="1:11" x14ac:dyDescent="0.25">
      <c r="A4739">
        <v>2</v>
      </c>
      <c r="B4739">
        <v>17</v>
      </c>
      <c r="C4739"/>
      <c r="D4739" t="s">
        <v>31</v>
      </c>
      <c r="E4739" t="s">
        <v>32</v>
      </c>
      <c r="F4739" t="s">
        <v>40</v>
      </c>
      <c r="G4739" s="118">
        <v>0.80853009259259256</v>
      </c>
      <c r="H4739" s="118">
        <v>4.6296296296296293E-4</v>
      </c>
      <c r="I4739" s="118">
        <v>1.0069444444444444E-3</v>
      </c>
      <c r="J4739" s="118">
        <v>5.0462962962962961E-3</v>
      </c>
      <c r="K4739" s="118">
        <v>5.0462962962962961E-3</v>
      </c>
    </row>
    <row r="4740" spans="1:11" x14ac:dyDescent="0.25">
      <c r="A4740">
        <v>5</v>
      </c>
      <c r="B4740">
        <v>17</v>
      </c>
      <c r="C4740"/>
      <c r="D4740" t="s">
        <v>31</v>
      </c>
      <c r="E4740" t="s">
        <v>35</v>
      </c>
      <c r="F4740" t="s">
        <v>54</v>
      </c>
      <c r="G4740" s="118">
        <v>0.80861111111111106</v>
      </c>
      <c r="H4740" s="118">
        <v>8.6805555555555551E-4</v>
      </c>
      <c r="I4740" s="118">
        <v>3.4722222222222224E-4</v>
      </c>
      <c r="J4740"/>
      <c r="K4740"/>
    </row>
    <row r="4741" spans="1:11" x14ac:dyDescent="0.25">
      <c r="A4741">
        <v>4</v>
      </c>
      <c r="B4741">
        <v>17</v>
      </c>
      <c r="C4741"/>
      <c r="D4741" t="s">
        <v>31</v>
      </c>
      <c r="E4741" t="s">
        <v>35</v>
      </c>
      <c r="F4741" t="s">
        <v>53</v>
      </c>
      <c r="G4741" s="118">
        <v>0.8087037037037037</v>
      </c>
      <c r="H4741" s="118">
        <v>8.7962962962962962E-4</v>
      </c>
      <c r="I4741" s="118">
        <v>3.4722222222222224E-4</v>
      </c>
      <c r="J4741"/>
      <c r="K4741"/>
    </row>
    <row r="4742" spans="1:11" x14ac:dyDescent="0.25">
      <c r="A4742">
        <v>8</v>
      </c>
      <c r="B4742">
        <v>4</v>
      </c>
      <c r="C4742"/>
      <c r="D4742" t="s">
        <v>31</v>
      </c>
      <c r="E4742" t="s">
        <v>32</v>
      </c>
      <c r="F4742" t="s">
        <v>56</v>
      </c>
      <c r="G4742" s="118">
        <v>0.80879629629629635</v>
      </c>
      <c r="H4742" s="118">
        <v>3.4722222222222224E-4</v>
      </c>
      <c r="I4742" s="118">
        <v>9.6064814814814808E-4</v>
      </c>
      <c r="J4742" s="118">
        <v>5.0462962962962961E-3</v>
      </c>
      <c r="K4742" s="118">
        <v>5.0462962962962961E-3</v>
      </c>
    </row>
    <row r="4743" spans="1:11" x14ac:dyDescent="0.25">
      <c r="A4743">
        <v>1</v>
      </c>
      <c r="B4743">
        <v>16</v>
      </c>
      <c r="C4743"/>
      <c r="D4743" t="s">
        <v>31</v>
      </c>
      <c r="E4743" t="s">
        <v>35</v>
      </c>
      <c r="F4743" t="s">
        <v>36</v>
      </c>
      <c r="G4743" s="118">
        <v>0.8089467592592593</v>
      </c>
      <c r="H4743" s="118">
        <v>9.6064814814814808E-4</v>
      </c>
      <c r="I4743" s="118">
        <v>3.4722222222222224E-4</v>
      </c>
      <c r="J4743"/>
      <c r="K4743"/>
    </row>
    <row r="4744" spans="1:11" x14ac:dyDescent="0.25">
      <c r="A4744">
        <v>5</v>
      </c>
      <c r="B4744">
        <v>17</v>
      </c>
      <c r="C4744"/>
      <c r="D4744" t="s">
        <v>31</v>
      </c>
      <c r="E4744" t="s">
        <v>32</v>
      </c>
      <c r="F4744" t="s">
        <v>54</v>
      </c>
      <c r="G4744" s="118">
        <v>0.80895833333333333</v>
      </c>
      <c r="H4744" s="118">
        <v>3.4722222222222224E-4</v>
      </c>
      <c r="I4744" s="118">
        <v>6.5972222222222213E-4</v>
      </c>
      <c r="J4744" s="118">
        <v>5.0462962962962961E-3</v>
      </c>
      <c r="K4744" s="118">
        <v>5.0462962962962961E-3</v>
      </c>
    </row>
    <row r="4745" spans="1:11" x14ac:dyDescent="0.25">
      <c r="A4745">
        <v>4</v>
      </c>
      <c r="B4745">
        <v>17</v>
      </c>
      <c r="C4745"/>
      <c r="D4745" t="s">
        <v>31</v>
      </c>
      <c r="E4745" t="s">
        <v>32</v>
      </c>
      <c r="F4745" t="s">
        <v>53</v>
      </c>
      <c r="G4745" s="118">
        <v>0.80905092592592587</v>
      </c>
      <c r="H4745" s="118">
        <v>3.4722222222222224E-4</v>
      </c>
      <c r="I4745" s="118">
        <v>8.449074074074075E-4</v>
      </c>
      <c r="J4745" s="118">
        <v>5.0462962962962961E-3</v>
      </c>
      <c r="K4745" s="118">
        <v>5.0462962962962961E-3</v>
      </c>
    </row>
    <row r="4746" spans="1:11" x14ac:dyDescent="0.25">
      <c r="A4746">
        <v>9</v>
      </c>
      <c r="B4746">
        <v>4</v>
      </c>
      <c r="C4746"/>
      <c r="D4746" t="s">
        <v>31</v>
      </c>
      <c r="E4746" t="s">
        <v>35</v>
      </c>
      <c r="F4746" t="s">
        <v>46</v>
      </c>
      <c r="G4746" s="118">
        <v>0.80905092592592587</v>
      </c>
      <c r="H4746" s="118">
        <v>1.8055555555555557E-3</v>
      </c>
      <c r="I4746" s="118">
        <v>3.4722222222222224E-4</v>
      </c>
      <c r="J4746"/>
      <c r="K4746"/>
    </row>
    <row r="4747" spans="1:11" x14ac:dyDescent="0.25">
      <c r="A4747">
        <v>3</v>
      </c>
      <c r="B4747">
        <v>17</v>
      </c>
      <c r="C4747"/>
      <c r="D4747" t="s">
        <v>31</v>
      </c>
      <c r="E4747" t="s">
        <v>35</v>
      </c>
      <c r="F4747" t="s">
        <v>52</v>
      </c>
      <c r="G4747" s="118">
        <v>0.8090856481481481</v>
      </c>
      <c r="H4747" s="118">
        <v>1.0416666666666667E-3</v>
      </c>
      <c r="I4747" s="118">
        <v>3.4722222222222224E-4</v>
      </c>
      <c r="J4747"/>
      <c r="K4747"/>
    </row>
    <row r="4748" spans="1:11" x14ac:dyDescent="0.25">
      <c r="A4748">
        <v>1</v>
      </c>
      <c r="B4748">
        <v>16</v>
      </c>
      <c r="C4748"/>
      <c r="D4748" t="s">
        <v>31</v>
      </c>
      <c r="E4748" t="s">
        <v>32</v>
      </c>
      <c r="F4748" t="s">
        <v>36</v>
      </c>
      <c r="G4748" s="118">
        <v>0.80929398148148157</v>
      </c>
      <c r="H4748" s="118">
        <v>3.4722222222222224E-4</v>
      </c>
      <c r="I4748" s="118">
        <v>1.0995370370370371E-3</v>
      </c>
      <c r="J4748" s="118">
        <v>5.0462962962962961E-3</v>
      </c>
      <c r="K4748" s="118">
        <v>5.0462962962962961E-3</v>
      </c>
    </row>
    <row r="4749" spans="1:11" x14ac:dyDescent="0.25">
      <c r="A4749">
        <v>9</v>
      </c>
      <c r="B4749">
        <v>4</v>
      </c>
      <c r="C4749"/>
      <c r="D4749" t="s">
        <v>31</v>
      </c>
      <c r="E4749" t="s">
        <v>32</v>
      </c>
      <c r="F4749" t="s">
        <v>46</v>
      </c>
      <c r="G4749" s="118">
        <v>0.80939814814814814</v>
      </c>
      <c r="H4749" s="118">
        <v>3.4722222222222224E-4</v>
      </c>
      <c r="I4749" s="118">
        <v>9.1435185185185185E-4</v>
      </c>
      <c r="J4749" s="118">
        <v>5.0462962962962961E-3</v>
      </c>
      <c r="K4749" s="118">
        <v>5.0462962962962961E-3</v>
      </c>
    </row>
    <row r="4750" spans="1:11" x14ac:dyDescent="0.25">
      <c r="A4750">
        <v>3</v>
      </c>
      <c r="B4750">
        <v>17</v>
      </c>
      <c r="C4750"/>
      <c r="D4750" t="s">
        <v>31</v>
      </c>
      <c r="E4750" t="s">
        <v>32</v>
      </c>
      <c r="F4750" t="s">
        <v>52</v>
      </c>
      <c r="G4750" s="118">
        <v>0.80943287037037026</v>
      </c>
      <c r="H4750" s="118">
        <v>3.4722222222222224E-4</v>
      </c>
      <c r="I4750" s="118">
        <v>1.0532407407407407E-3</v>
      </c>
      <c r="J4750" s="118">
        <v>5.0462962962962961E-3</v>
      </c>
      <c r="K4750" s="118">
        <v>5.0462962962962961E-3</v>
      </c>
    </row>
    <row r="4751" spans="1:11" x14ac:dyDescent="0.25">
      <c r="A4751">
        <v>2</v>
      </c>
      <c r="B4751">
        <v>17</v>
      </c>
      <c r="C4751"/>
      <c r="D4751" t="s">
        <v>31</v>
      </c>
      <c r="E4751" t="s">
        <v>35</v>
      </c>
      <c r="F4751" t="s">
        <v>44</v>
      </c>
      <c r="G4751" s="118">
        <v>0.80953703703703705</v>
      </c>
      <c r="H4751" s="118">
        <v>1.0069444444444444E-3</v>
      </c>
      <c r="I4751" s="118">
        <v>3.4722222222222224E-4</v>
      </c>
      <c r="J4751"/>
      <c r="K4751"/>
    </row>
    <row r="4752" spans="1:11" x14ac:dyDescent="0.25">
      <c r="A4752">
        <v>5</v>
      </c>
      <c r="B4752">
        <v>17</v>
      </c>
      <c r="C4752"/>
      <c r="D4752" t="s">
        <v>31</v>
      </c>
      <c r="E4752" t="s">
        <v>35</v>
      </c>
      <c r="F4752" t="s">
        <v>92</v>
      </c>
      <c r="G4752" s="118">
        <v>0.80961805555555555</v>
      </c>
      <c r="H4752" s="118">
        <v>6.5972222222222213E-4</v>
      </c>
      <c r="I4752" s="118">
        <v>5.2083333333333333E-4</v>
      </c>
      <c r="J4752"/>
      <c r="K4752"/>
    </row>
    <row r="4753" spans="1:11" x14ac:dyDescent="0.25">
      <c r="A4753">
        <v>8</v>
      </c>
      <c r="B4753">
        <v>4</v>
      </c>
      <c r="C4753"/>
      <c r="D4753" t="s">
        <v>31</v>
      </c>
      <c r="E4753" t="s">
        <v>35</v>
      </c>
      <c r="F4753" t="s">
        <v>37</v>
      </c>
      <c r="G4753" s="118">
        <v>0.80975694444444446</v>
      </c>
      <c r="H4753" s="118">
        <v>9.6064814814814808E-4</v>
      </c>
      <c r="I4753" s="118">
        <v>3.4722222222222224E-4</v>
      </c>
      <c r="J4753"/>
      <c r="K4753"/>
    </row>
    <row r="4754" spans="1:11" x14ac:dyDescent="0.25">
      <c r="A4754">
        <v>2</v>
      </c>
      <c r="B4754">
        <v>17</v>
      </c>
      <c r="C4754"/>
      <c r="D4754" t="s">
        <v>31</v>
      </c>
      <c r="E4754" t="s">
        <v>32</v>
      </c>
      <c r="F4754" t="s">
        <v>44</v>
      </c>
      <c r="G4754" s="118">
        <v>0.80988425925925922</v>
      </c>
      <c r="H4754" s="118">
        <v>3.4722222222222224E-4</v>
      </c>
      <c r="I4754" s="118">
        <v>9.2592592592592585E-4</v>
      </c>
      <c r="J4754" s="118">
        <v>5.0462962962962961E-3</v>
      </c>
      <c r="K4754" s="118">
        <v>5.0462962962962961E-3</v>
      </c>
    </row>
    <row r="4755" spans="1:11" x14ac:dyDescent="0.25">
      <c r="A4755">
        <v>4</v>
      </c>
      <c r="B4755">
        <v>17</v>
      </c>
      <c r="C4755"/>
      <c r="D4755" t="s">
        <v>31</v>
      </c>
      <c r="E4755" t="s">
        <v>35</v>
      </c>
      <c r="F4755" t="s">
        <v>34</v>
      </c>
      <c r="G4755" s="118">
        <v>0.80989583333333337</v>
      </c>
      <c r="H4755" s="118">
        <v>8.449074074074075E-4</v>
      </c>
      <c r="I4755" s="118">
        <v>3.4722222222222224E-4</v>
      </c>
      <c r="J4755"/>
      <c r="K4755"/>
    </row>
    <row r="4756" spans="1:11" x14ac:dyDescent="0.25">
      <c r="A4756">
        <v>8</v>
      </c>
      <c r="B4756">
        <v>4</v>
      </c>
      <c r="C4756"/>
      <c r="D4756" t="s">
        <v>31</v>
      </c>
      <c r="E4756" t="s">
        <v>32</v>
      </c>
      <c r="F4756" t="s">
        <v>37</v>
      </c>
      <c r="G4756" s="118">
        <v>0.81010416666666663</v>
      </c>
      <c r="H4756" s="118">
        <v>3.4722222222222224E-4</v>
      </c>
      <c r="I4756" s="118">
        <v>9.0277777777777784E-4</v>
      </c>
      <c r="J4756" s="118">
        <v>5.0462962962962961E-3</v>
      </c>
      <c r="K4756" s="118">
        <v>5.0462962962962961E-3</v>
      </c>
    </row>
    <row r="4757" spans="1:11" x14ac:dyDescent="0.25">
      <c r="A4757">
        <v>5</v>
      </c>
      <c r="B4757">
        <v>18</v>
      </c>
      <c r="C4757"/>
      <c r="D4757" t="s">
        <v>31</v>
      </c>
      <c r="E4757" t="s">
        <v>32</v>
      </c>
      <c r="F4757" t="s">
        <v>92</v>
      </c>
      <c r="G4757" s="118">
        <v>0.81013888888888896</v>
      </c>
      <c r="H4757" s="118">
        <v>5.2083333333333333E-4</v>
      </c>
      <c r="I4757" s="118">
        <v>1.0069444444444444E-3</v>
      </c>
      <c r="J4757" s="118">
        <v>5.0462962962962961E-3</v>
      </c>
      <c r="K4757" s="118">
        <v>5.0462962962962961E-3</v>
      </c>
    </row>
    <row r="4758" spans="1:11" x14ac:dyDescent="0.25">
      <c r="A4758">
        <v>4</v>
      </c>
      <c r="B4758">
        <v>17</v>
      </c>
      <c r="C4758"/>
      <c r="D4758" t="s">
        <v>31</v>
      </c>
      <c r="E4758" t="s">
        <v>32</v>
      </c>
      <c r="F4758" t="s">
        <v>34</v>
      </c>
      <c r="G4758" s="118">
        <v>0.81024305555555554</v>
      </c>
      <c r="H4758" s="118">
        <v>3.4722222222222224E-4</v>
      </c>
      <c r="I4758" s="118">
        <v>9.1435185185185185E-4</v>
      </c>
      <c r="J4758" s="118">
        <v>5.0462962962962961E-3</v>
      </c>
      <c r="K4758" s="118">
        <v>5.0462962962962961E-3</v>
      </c>
    </row>
    <row r="4759" spans="1:11" x14ac:dyDescent="0.25">
      <c r="A4759">
        <v>9</v>
      </c>
      <c r="B4759">
        <v>4</v>
      </c>
      <c r="C4759"/>
      <c r="D4759" t="s">
        <v>31</v>
      </c>
      <c r="E4759" t="s">
        <v>35</v>
      </c>
      <c r="F4759" t="s">
        <v>51</v>
      </c>
      <c r="G4759" s="118">
        <v>0.8103125000000001</v>
      </c>
      <c r="H4759" s="118">
        <v>9.1435185185185185E-4</v>
      </c>
      <c r="I4759" s="118">
        <v>3.4722222222222224E-4</v>
      </c>
      <c r="J4759"/>
      <c r="K4759"/>
    </row>
    <row r="4760" spans="1:11" x14ac:dyDescent="0.25">
      <c r="A4760">
        <v>1</v>
      </c>
      <c r="B4760">
        <v>16</v>
      </c>
      <c r="C4760"/>
      <c r="D4760" t="s">
        <v>31</v>
      </c>
      <c r="E4760" t="s">
        <v>35</v>
      </c>
      <c r="F4760" t="s">
        <v>43</v>
      </c>
      <c r="G4760" s="118">
        <v>0.8103935185185186</v>
      </c>
      <c r="H4760" s="118">
        <v>1.0995370370370371E-3</v>
      </c>
      <c r="I4760" s="118">
        <v>3.4722222222222224E-4</v>
      </c>
      <c r="J4760"/>
      <c r="K4760"/>
    </row>
    <row r="4761" spans="1:11" x14ac:dyDescent="0.25">
      <c r="A4761">
        <v>3</v>
      </c>
      <c r="B4761">
        <v>17</v>
      </c>
      <c r="C4761"/>
      <c r="D4761" t="s">
        <v>31</v>
      </c>
      <c r="E4761" t="s">
        <v>35</v>
      </c>
      <c r="F4761" t="s">
        <v>57</v>
      </c>
      <c r="G4761" s="118">
        <v>0.81048611111111113</v>
      </c>
      <c r="H4761" s="118">
        <v>1.0532407407407407E-3</v>
      </c>
      <c r="I4761" s="118">
        <v>3.4722222222222224E-4</v>
      </c>
      <c r="J4761"/>
      <c r="K4761"/>
    </row>
    <row r="4762" spans="1:11" x14ac:dyDescent="0.25">
      <c r="A4762">
        <v>9</v>
      </c>
      <c r="B4762">
        <v>4</v>
      </c>
      <c r="C4762"/>
      <c r="D4762" t="s">
        <v>31</v>
      </c>
      <c r="E4762" t="s">
        <v>32</v>
      </c>
      <c r="F4762" t="s">
        <v>51</v>
      </c>
      <c r="G4762" s="118">
        <v>0.81065972222222227</v>
      </c>
      <c r="H4762" s="118">
        <v>3.4722222222222224E-4</v>
      </c>
      <c r="I4762" s="118">
        <v>1.0069444444444444E-3</v>
      </c>
      <c r="J4762" s="118">
        <v>5.0462962962962961E-3</v>
      </c>
      <c r="K4762" s="118">
        <v>5.0462962962962961E-3</v>
      </c>
    </row>
    <row r="4763" spans="1:11" x14ac:dyDescent="0.25">
      <c r="A4763">
        <v>1</v>
      </c>
      <c r="B4763">
        <v>16</v>
      </c>
      <c r="C4763"/>
      <c r="D4763" t="s">
        <v>31</v>
      </c>
      <c r="E4763" t="s">
        <v>32</v>
      </c>
      <c r="F4763" t="s">
        <v>43</v>
      </c>
      <c r="G4763" s="118">
        <v>0.81074074074074076</v>
      </c>
      <c r="H4763" s="118">
        <v>3.4722222222222224E-4</v>
      </c>
      <c r="I4763" s="118">
        <v>1.1458333333333333E-3</v>
      </c>
      <c r="J4763" s="118">
        <v>5.0462962962962961E-3</v>
      </c>
      <c r="K4763" s="118">
        <v>5.0462962962962961E-3</v>
      </c>
    </row>
    <row r="4764" spans="1:11" x14ac:dyDescent="0.25">
      <c r="A4764">
        <v>2</v>
      </c>
      <c r="B4764">
        <v>17</v>
      </c>
      <c r="C4764"/>
      <c r="D4764" t="s">
        <v>31</v>
      </c>
      <c r="E4764" t="s">
        <v>35</v>
      </c>
      <c r="F4764" t="s">
        <v>49</v>
      </c>
      <c r="G4764" s="118">
        <v>0.81081018518518511</v>
      </c>
      <c r="H4764" s="118">
        <v>9.2592592592592585E-4</v>
      </c>
      <c r="I4764" s="118">
        <v>3.4722222222222224E-4</v>
      </c>
      <c r="J4764"/>
      <c r="K4764"/>
    </row>
    <row r="4765" spans="1:11" x14ac:dyDescent="0.25">
      <c r="A4765">
        <v>3</v>
      </c>
      <c r="B4765">
        <v>17</v>
      </c>
      <c r="C4765"/>
      <c r="D4765" t="s">
        <v>31</v>
      </c>
      <c r="E4765" t="s">
        <v>32</v>
      </c>
      <c r="F4765" t="s">
        <v>57</v>
      </c>
      <c r="G4765" s="118">
        <v>0.81083333333333341</v>
      </c>
      <c r="H4765" s="118">
        <v>3.4722222222222224E-4</v>
      </c>
      <c r="I4765" s="118">
        <v>9.3750000000000007E-4</v>
      </c>
      <c r="J4765" s="118">
        <v>5.0462962962962961E-3</v>
      </c>
      <c r="K4765" s="118">
        <v>5.0462962962962961E-3</v>
      </c>
    </row>
    <row r="4766" spans="1:11" x14ac:dyDescent="0.25">
      <c r="A4766">
        <v>8</v>
      </c>
      <c r="B4766">
        <v>4</v>
      </c>
      <c r="C4766"/>
      <c r="D4766" t="s">
        <v>31</v>
      </c>
      <c r="E4766" t="s">
        <v>35</v>
      </c>
      <c r="F4766" t="s">
        <v>42</v>
      </c>
      <c r="G4766" s="118">
        <v>0.81100694444444443</v>
      </c>
      <c r="H4766" s="118">
        <v>9.0277777777777784E-4</v>
      </c>
      <c r="I4766" s="118">
        <v>3.4722222222222224E-4</v>
      </c>
      <c r="J4766"/>
      <c r="K4766"/>
    </row>
    <row r="4767" spans="1:11" x14ac:dyDescent="0.25">
      <c r="A4767">
        <v>5</v>
      </c>
      <c r="B4767">
        <v>18</v>
      </c>
      <c r="C4767"/>
      <c r="D4767" t="s">
        <v>31</v>
      </c>
      <c r="E4767" t="s">
        <v>35</v>
      </c>
      <c r="F4767" t="s">
        <v>41</v>
      </c>
      <c r="G4767" s="118">
        <v>0.81114583333333334</v>
      </c>
      <c r="H4767" s="118">
        <v>1.0069444444444444E-3</v>
      </c>
      <c r="I4767" s="118">
        <v>3.4722222222222224E-4</v>
      </c>
      <c r="J4767"/>
      <c r="K4767"/>
    </row>
    <row r="4768" spans="1:11" x14ac:dyDescent="0.25">
      <c r="A4768">
        <v>2</v>
      </c>
      <c r="B4768">
        <v>17</v>
      </c>
      <c r="C4768"/>
      <c r="D4768" t="s">
        <v>31</v>
      </c>
      <c r="E4768" t="s">
        <v>32</v>
      </c>
      <c r="F4768" t="s">
        <v>49</v>
      </c>
      <c r="G4768" s="118">
        <v>0.81115740740740738</v>
      </c>
      <c r="H4768" s="118">
        <v>3.4722222222222224E-4</v>
      </c>
      <c r="I4768" s="118">
        <v>1.3541666666666667E-3</v>
      </c>
      <c r="J4768" s="118">
        <v>5.0462962962962961E-3</v>
      </c>
      <c r="K4768" s="118">
        <v>5.0462962962962961E-3</v>
      </c>
    </row>
    <row r="4769" spans="1:11" x14ac:dyDescent="0.25">
      <c r="A4769">
        <v>4</v>
      </c>
      <c r="B4769">
        <v>17</v>
      </c>
      <c r="C4769"/>
      <c r="D4769" t="s">
        <v>31</v>
      </c>
      <c r="E4769" t="s">
        <v>35</v>
      </c>
      <c r="F4769" t="s">
        <v>38</v>
      </c>
      <c r="G4769" s="118">
        <v>0.81115740740740738</v>
      </c>
      <c r="H4769" s="118">
        <v>9.1435185185185185E-4</v>
      </c>
      <c r="I4769" s="118">
        <v>3.4722222222222224E-4</v>
      </c>
      <c r="J4769"/>
      <c r="K4769"/>
    </row>
    <row r="4770" spans="1:11" x14ac:dyDescent="0.25">
      <c r="A4770">
        <v>8</v>
      </c>
      <c r="B4770">
        <v>4</v>
      </c>
      <c r="C4770"/>
      <c r="D4770" t="s">
        <v>31</v>
      </c>
      <c r="E4770" t="s">
        <v>32</v>
      </c>
      <c r="F4770" t="s">
        <v>42</v>
      </c>
      <c r="G4770" s="118">
        <v>0.81135416666666671</v>
      </c>
      <c r="H4770" s="118">
        <v>3.4722222222222224E-4</v>
      </c>
      <c r="I4770" s="118">
        <v>9.1435185185185185E-4</v>
      </c>
      <c r="J4770" s="118">
        <v>5.0462962962962961E-3</v>
      </c>
      <c r="K4770" s="118">
        <v>5.0462962962962961E-3</v>
      </c>
    </row>
    <row r="4771" spans="1:11" x14ac:dyDescent="0.25">
      <c r="A4771">
        <v>5</v>
      </c>
      <c r="B4771">
        <v>18</v>
      </c>
      <c r="C4771"/>
      <c r="D4771" t="s">
        <v>31</v>
      </c>
      <c r="E4771" t="s">
        <v>32</v>
      </c>
      <c r="F4771" t="s">
        <v>41</v>
      </c>
      <c r="G4771" s="118">
        <v>0.81149305555555562</v>
      </c>
      <c r="H4771" s="118">
        <v>3.4722222222222224E-4</v>
      </c>
      <c r="I4771" s="118">
        <v>8.564814814814815E-4</v>
      </c>
      <c r="J4771" s="118">
        <v>5.0462962962962961E-3</v>
      </c>
      <c r="K4771" s="118">
        <v>5.0462962962962961E-3</v>
      </c>
    </row>
    <row r="4772" spans="1:11" x14ac:dyDescent="0.25">
      <c r="A4772">
        <v>4</v>
      </c>
      <c r="B4772">
        <v>17</v>
      </c>
      <c r="C4772"/>
      <c r="D4772" t="s">
        <v>31</v>
      </c>
      <c r="E4772" t="s">
        <v>32</v>
      </c>
      <c r="F4772" t="s">
        <v>38</v>
      </c>
      <c r="G4772" s="118">
        <v>0.81150462962962966</v>
      </c>
      <c r="H4772" s="118">
        <v>3.4722222222222224E-4</v>
      </c>
      <c r="I4772" s="118">
        <v>1.2384259259259258E-3</v>
      </c>
      <c r="J4772" s="118">
        <v>5.0462962962962961E-3</v>
      </c>
      <c r="K4772" s="118">
        <v>5.0462962962962961E-3</v>
      </c>
    </row>
    <row r="4773" spans="1:11" x14ac:dyDescent="0.25">
      <c r="A4773">
        <v>9</v>
      </c>
      <c r="B4773">
        <v>4</v>
      </c>
      <c r="C4773"/>
      <c r="D4773" t="s">
        <v>31</v>
      </c>
      <c r="E4773" t="s">
        <v>35</v>
      </c>
      <c r="F4773" t="s">
        <v>55</v>
      </c>
      <c r="G4773" s="118">
        <v>0.81166666666666665</v>
      </c>
      <c r="H4773" s="118">
        <v>1.0069444444444444E-3</v>
      </c>
      <c r="I4773" s="118">
        <v>4.6296296296296293E-4</v>
      </c>
      <c r="J4773"/>
      <c r="K4773"/>
    </row>
    <row r="4774" spans="1:11" x14ac:dyDescent="0.25">
      <c r="A4774">
        <v>3</v>
      </c>
      <c r="B4774">
        <v>17</v>
      </c>
      <c r="C4774"/>
      <c r="D4774" t="s">
        <v>31</v>
      </c>
      <c r="E4774" t="s">
        <v>35</v>
      </c>
      <c r="F4774" t="s">
        <v>39</v>
      </c>
      <c r="G4774" s="118">
        <v>0.81177083333333344</v>
      </c>
      <c r="H4774" s="118">
        <v>9.3750000000000007E-4</v>
      </c>
      <c r="I4774" s="118">
        <v>5.2083333333333333E-4</v>
      </c>
      <c r="J4774"/>
      <c r="K4774"/>
    </row>
    <row r="4775" spans="1:11" x14ac:dyDescent="0.25">
      <c r="A4775">
        <v>1</v>
      </c>
      <c r="B4775">
        <v>16</v>
      </c>
      <c r="C4775"/>
      <c r="D4775" t="s">
        <v>31</v>
      </c>
      <c r="E4775" t="s">
        <v>35</v>
      </c>
      <c r="F4775" t="s">
        <v>50</v>
      </c>
      <c r="G4775" s="118">
        <v>0.81188657407407405</v>
      </c>
      <c r="H4775" s="118">
        <v>1.1458333333333333E-3</v>
      </c>
      <c r="I4775" s="118">
        <v>3.4722222222222224E-4</v>
      </c>
      <c r="J4775"/>
      <c r="K4775"/>
    </row>
    <row r="4776" spans="1:11" x14ac:dyDescent="0.25">
      <c r="A4776">
        <v>9</v>
      </c>
      <c r="B4776">
        <v>4</v>
      </c>
      <c r="C4776"/>
      <c r="D4776" t="s">
        <v>31</v>
      </c>
      <c r="E4776" t="s">
        <v>32</v>
      </c>
      <c r="F4776" t="s">
        <v>55</v>
      </c>
      <c r="G4776" s="118">
        <v>0.81212962962962953</v>
      </c>
      <c r="H4776" s="118">
        <v>4.6296296296296293E-4</v>
      </c>
      <c r="I4776" s="118">
        <v>4.3981481481481481E-4</v>
      </c>
      <c r="J4776" s="118">
        <v>5.0462962962962961E-3</v>
      </c>
      <c r="K4776" s="118">
        <v>5.0462962962962961E-3</v>
      </c>
    </row>
    <row r="4777" spans="1:11" x14ac:dyDescent="0.25">
      <c r="A4777">
        <v>1</v>
      </c>
      <c r="B4777">
        <v>16</v>
      </c>
      <c r="C4777"/>
      <c r="D4777" t="s">
        <v>31</v>
      </c>
      <c r="E4777" t="s">
        <v>32</v>
      </c>
      <c r="F4777" t="s">
        <v>50</v>
      </c>
      <c r="G4777" s="118">
        <v>0.81223379629629633</v>
      </c>
      <c r="H4777" s="118">
        <v>3.4722222222222224E-4</v>
      </c>
      <c r="I4777" s="118">
        <v>1.261574074074074E-3</v>
      </c>
      <c r="J4777" s="118">
        <v>5.0462962962962961E-3</v>
      </c>
      <c r="K4777" s="118">
        <v>5.0462962962962961E-3</v>
      </c>
    </row>
    <row r="4778" spans="1:11" x14ac:dyDescent="0.25">
      <c r="A4778">
        <v>8</v>
      </c>
      <c r="B4778">
        <v>4</v>
      </c>
      <c r="C4778"/>
      <c r="D4778" t="s">
        <v>31</v>
      </c>
      <c r="E4778" t="s">
        <v>35</v>
      </c>
      <c r="F4778" t="s">
        <v>48</v>
      </c>
      <c r="G4778" s="118">
        <v>0.81226851851851845</v>
      </c>
      <c r="H4778" s="118">
        <v>9.1435185185185185E-4</v>
      </c>
      <c r="I4778" s="118">
        <v>5.2083333333333333E-4</v>
      </c>
      <c r="J4778"/>
      <c r="K4778"/>
    </row>
    <row r="4779" spans="1:11" x14ac:dyDescent="0.25">
      <c r="A4779">
        <v>3</v>
      </c>
      <c r="B4779">
        <v>17</v>
      </c>
      <c r="C4779"/>
      <c r="D4779" t="s">
        <v>31</v>
      </c>
      <c r="E4779" t="s">
        <v>32</v>
      </c>
      <c r="F4779" t="s">
        <v>39</v>
      </c>
      <c r="G4779" s="118">
        <v>0.81229166666666675</v>
      </c>
      <c r="H4779" s="118">
        <v>5.2083333333333333E-4</v>
      </c>
      <c r="I4779" s="118">
        <v>1.8055555555555557E-3</v>
      </c>
      <c r="J4779" s="118">
        <v>5.0462962962962961E-3</v>
      </c>
      <c r="K4779" s="118">
        <v>5.0462962962962961E-3</v>
      </c>
    </row>
    <row r="4780" spans="1:11" x14ac:dyDescent="0.25">
      <c r="A4780">
        <v>5</v>
      </c>
      <c r="B4780">
        <v>18</v>
      </c>
      <c r="C4780"/>
      <c r="D4780" t="s">
        <v>31</v>
      </c>
      <c r="E4780" t="s">
        <v>35</v>
      </c>
      <c r="F4780" t="s">
        <v>47</v>
      </c>
      <c r="G4780" s="118">
        <v>0.81234953703703694</v>
      </c>
      <c r="H4780" s="118">
        <v>8.564814814814815E-4</v>
      </c>
      <c r="I4780" s="118">
        <v>5.2083333333333333E-4</v>
      </c>
      <c r="J4780"/>
      <c r="K4780"/>
    </row>
    <row r="4781" spans="1:11" x14ac:dyDescent="0.25">
      <c r="A4781">
        <v>2</v>
      </c>
      <c r="B4781">
        <v>17</v>
      </c>
      <c r="C4781"/>
      <c r="D4781" t="s">
        <v>31</v>
      </c>
      <c r="E4781" t="s">
        <v>35</v>
      </c>
      <c r="F4781" t="s">
        <v>33</v>
      </c>
      <c r="G4781" s="118">
        <v>0.81251157407407415</v>
      </c>
      <c r="H4781" s="118">
        <v>1.3541666666666667E-3</v>
      </c>
      <c r="I4781" s="118">
        <v>5.2083333333333333E-4</v>
      </c>
      <c r="J4781"/>
      <c r="K4781"/>
    </row>
    <row r="4782" spans="1:11" x14ac:dyDescent="0.25">
      <c r="A4782">
        <v>9</v>
      </c>
      <c r="B4782">
        <v>4</v>
      </c>
      <c r="C4782"/>
      <c r="D4782" t="s">
        <v>31</v>
      </c>
      <c r="E4782" t="s">
        <v>35</v>
      </c>
      <c r="F4782" t="s">
        <v>58</v>
      </c>
      <c r="G4782" s="118">
        <v>0.81256944444444434</v>
      </c>
      <c r="H4782" s="118">
        <v>4.3981481481481481E-4</v>
      </c>
      <c r="I4782" s="118">
        <v>5.7870370370370366E-5</v>
      </c>
      <c r="J4782"/>
      <c r="K4782"/>
    </row>
    <row r="4783" spans="1:11" x14ac:dyDescent="0.25">
      <c r="A4783">
        <v>9</v>
      </c>
      <c r="B4783">
        <v>4</v>
      </c>
      <c r="C4783"/>
      <c r="D4783" t="s">
        <v>31</v>
      </c>
      <c r="E4783" t="s">
        <v>32</v>
      </c>
      <c r="F4783" t="s">
        <v>58</v>
      </c>
      <c r="G4783" s="118">
        <v>0.81262731481481476</v>
      </c>
      <c r="H4783" s="118">
        <v>5.7870370370370366E-5</v>
      </c>
      <c r="I4783" s="118">
        <v>4.8611111111111104E-4</v>
      </c>
      <c r="J4783" s="118">
        <v>5.0462962962962961E-3</v>
      </c>
      <c r="K4783" s="118">
        <v>5.0462962962962961E-3</v>
      </c>
    </row>
    <row r="4784" spans="1:11" x14ac:dyDescent="0.25">
      <c r="A4784">
        <v>4</v>
      </c>
      <c r="B4784">
        <v>17</v>
      </c>
      <c r="C4784"/>
      <c r="D4784" t="s">
        <v>31</v>
      </c>
      <c r="E4784" t="s">
        <v>35</v>
      </c>
      <c r="F4784" t="s">
        <v>45</v>
      </c>
      <c r="G4784" s="118">
        <v>0.81274305555555559</v>
      </c>
      <c r="H4784" s="118">
        <v>1.2384259259259258E-3</v>
      </c>
      <c r="I4784" s="118">
        <v>3.4722222222222224E-4</v>
      </c>
      <c r="J4784"/>
      <c r="K4784"/>
    </row>
    <row r="4785" spans="1:11" x14ac:dyDescent="0.25">
      <c r="A4785">
        <v>8</v>
      </c>
      <c r="B4785">
        <v>4</v>
      </c>
      <c r="C4785"/>
      <c r="D4785" t="s">
        <v>31</v>
      </c>
      <c r="E4785" t="s">
        <v>32</v>
      </c>
      <c r="F4785" t="s">
        <v>48</v>
      </c>
      <c r="G4785" s="118">
        <v>0.81278935185185175</v>
      </c>
      <c r="H4785" s="118">
        <v>5.2083333333333333E-4</v>
      </c>
      <c r="I4785" s="118">
        <v>8.6805555555555551E-4</v>
      </c>
      <c r="J4785" s="118">
        <v>5.0462962962962961E-3</v>
      </c>
      <c r="K4785" s="118">
        <v>5.0462962962962961E-3</v>
      </c>
    </row>
    <row r="4786" spans="1:11" x14ac:dyDescent="0.25">
      <c r="A4786">
        <v>5</v>
      </c>
      <c r="B4786">
        <v>18</v>
      </c>
      <c r="C4786"/>
      <c r="D4786" t="s">
        <v>31</v>
      </c>
      <c r="E4786" t="s">
        <v>32</v>
      </c>
      <c r="F4786" t="s">
        <v>47</v>
      </c>
      <c r="G4786" s="118">
        <v>0.81287037037037047</v>
      </c>
      <c r="H4786" s="118">
        <v>5.2083333333333333E-4</v>
      </c>
      <c r="I4786" s="118">
        <v>8.7962962962962962E-4</v>
      </c>
      <c r="J4786" s="118">
        <v>5.0462962962962961E-3</v>
      </c>
      <c r="K4786" s="118">
        <v>5.0462962962962961E-3</v>
      </c>
    </row>
    <row r="4787" spans="1:11" x14ac:dyDescent="0.25">
      <c r="A4787">
        <v>2</v>
      </c>
      <c r="B4787">
        <v>17</v>
      </c>
      <c r="C4787"/>
      <c r="D4787" t="s">
        <v>31</v>
      </c>
      <c r="E4787" t="s">
        <v>32</v>
      </c>
      <c r="F4787" t="s">
        <v>33</v>
      </c>
      <c r="G4787" s="118">
        <v>0.81303240740740745</v>
      </c>
      <c r="H4787" s="118">
        <v>5.2083333333333333E-4</v>
      </c>
      <c r="I4787" s="118">
        <v>9.6064814814814808E-4</v>
      </c>
      <c r="J4787" s="118">
        <v>5.0462962962962961E-3</v>
      </c>
      <c r="K4787" s="118">
        <v>5.0462962962962961E-3</v>
      </c>
    </row>
    <row r="4788" spans="1:11" x14ac:dyDescent="0.25">
      <c r="A4788">
        <v>4</v>
      </c>
      <c r="B4788">
        <v>17</v>
      </c>
      <c r="C4788"/>
      <c r="D4788" t="s">
        <v>31</v>
      </c>
      <c r="E4788" t="s">
        <v>32</v>
      </c>
      <c r="F4788" t="s">
        <v>45</v>
      </c>
      <c r="G4788" s="118">
        <v>0.81309027777777787</v>
      </c>
      <c r="H4788" s="118">
        <v>3.4722222222222224E-4</v>
      </c>
      <c r="I4788" s="118">
        <v>1.0416666666666667E-3</v>
      </c>
      <c r="J4788" s="118">
        <v>5.0462962962962961E-3</v>
      </c>
      <c r="K4788" s="118">
        <v>5.0462962962962961E-3</v>
      </c>
    </row>
    <row r="4789" spans="1:11" x14ac:dyDescent="0.25">
      <c r="A4789">
        <v>9</v>
      </c>
      <c r="B4789">
        <v>4</v>
      </c>
      <c r="C4789"/>
      <c r="D4789" t="s">
        <v>31</v>
      </c>
      <c r="E4789" t="s">
        <v>35</v>
      </c>
      <c r="F4789" t="s">
        <v>40</v>
      </c>
      <c r="G4789" s="118">
        <v>0.81311342592592595</v>
      </c>
      <c r="H4789" s="118">
        <v>4.8611111111111104E-4</v>
      </c>
      <c r="I4789" s="118">
        <v>4.6296296296296293E-4</v>
      </c>
      <c r="J4789"/>
      <c r="K4789"/>
    </row>
    <row r="4790" spans="1:11" x14ac:dyDescent="0.25">
      <c r="A4790">
        <v>1</v>
      </c>
      <c r="B4790">
        <v>16</v>
      </c>
      <c r="C4790"/>
      <c r="D4790" t="s">
        <v>31</v>
      </c>
      <c r="E4790" t="s">
        <v>35</v>
      </c>
      <c r="F4790" t="s">
        <v>56</v>
      </c>
      <c r="G4790" s="118">
        <v>0.81349537037037034</v>
      </c>
      <c r="H4790" s="118">
        <v>1.261574074074074E-3</v>
      </c>
      <c r="I4790" s="118">
        <v>3.4722222222222224E-4</v>
      </c>
      <c r="J4790"/>
      <c r="K4790"/>
    </row>
    <row r="4791" spans="1:11" x14ac:dyDescent="0.25">
      <c r="A4791">
        <v>9</v>
      </c>
      <c r="B4791">
        <v>4</v>
      </c>
      <c r="C4791"/>
      <c r="D4791" t="s">
        <v>31</v>
      </c>
      <c r="E4791" t="s">
        <v>32</v>
      </c>
      <c r="F4791" t="s">
        <v>40</v>
      </c>
      <c r="G4791" s="118">
        <v>0.81357638888888895</v>
      </c>
      <c r="H4791" s="118">
        <v>4.6296296296296293E-4</v>
      </c>
      <c r="I4791" s="118">
        <v>1.0069444444444444E-3</v>
      </c>
      <c r="J4791" s="118">
        <v>5.0462962962962961E-3</v>
      </c>
      <c r="K4791" s="118">
        <v>5.0462962962962961E-3</v>
      </c>
    </row>
    <row r="4792" spans="1:11" x14ac:dyDescent="0.25">
      <c r="A4792">
        <v>8</v>
      </c>
      <c r="B4792">
        <v>4</v>
      </c>
      <c r="C4792"/>
      <c r="D4792" t="s">
        <v>31</v>
      </c>
      <c r="E4792" t="s">
        <v>35</v>
      </c>
      <c r="F4792" t="s">
        <v>54</v>
      </c>
      <c r="G4792" s="118">
        <v>0.81365740740740744</v>
      </c>
      <c r="H4792" s="118">
        <v>8.6805555555555551E-4</v>
      </c>
      <c r="I4792" s="118">
        <v>3.4722222222222224E-4</v>
      </c>
      <c r="J4792"/>
      <c r="K4792"/>
    </row>
    <row r="4793" spans="1:11" x14ac:dyDescent="0.25">
      <c r="A4793">
        <v>5</v>
      </c>
      <c r="B4793">
        <v>18</v>
      </c>
      <c r="C4793"/>
      <c r="D4793" t="s">
        <v>31</v>
      </c>
      <c r="E4793" t="s">
        <v>35</v>
      </c>
      <c r="F4793" t="s">
        <v>53</v>
      </c>
      <c r="G4793" s="118">
        <v>0.81375000000000008</v>
      </c>
      <c r="H4793" s="118">
        <v>8.7962962962962962E-4</v>
      </c>
      <c r="I4793" s="118">
        <v>3.4722222222222224E-4</v>
      </c>
      <c r="J4793"/>
      <c r="K4793"/>
    </row>
    <row r="4794" spans="1:11" x14ac:dyDescent="0.25">
      <c r="A4794">
        <v>1</v>
      </c>
      <c r="B4794">
        <v>16</v>
      </c>
      <c r="C4794"/>
      <c r="D4794" t="s">
        <v>31</v>
      </c>
      <c r="E4794" t="s">
        <v>32</v>
      </c>
      <c r="F4794" t="s">
        <v>56</v>
      </c>
      <c r="G4794" s="118">
        <v>0.81384259259259262</v>
      </c>
      <c r="H4794" s="118">
        <v>3.4722222222222224E-4</v>
      </c>
      <c r="I4794" s="118">
        <v>9.6064814814814808E-4</v>
      </c>
      <c r="J4794" s="118">
        <v>5.0462962962962961E-3</v>
      </c>
      <c r="K4794" s="118">
        <v>5.0462962962962961E-3</v>
      </c>
    </row>
    <row r="4795" spans="1:11" x14ac:dyDescent="0.25">
      <c r="A4795">
        <v>2</v>
      </c>
      <c r="B4795">
        <v>17</v>
      </c>
      <c r="C4795"/>
      <c r="D4795" t="s">
        <v>31</v>
      </c>
      <c r="E4795" t="s">
        <v>35</v>
      </c>
      <c r="F4795" t="s">
        <v>36</v>
      </c>
      <c r="G4795" s="118">
        <v>0.81399305555555557</v>
      </c>
      <c r="H4795" s="118">
        <v>9.6064814814814808E-4</v>
      </c>
      <c r="I4795" s="118">
        <v>3.4722222222222224E-4</v>
      </c>
      <c r="J4795"/>
      <c r="K4795"/>
    </row>
    <row r="4796" spans="1:11" x14ac:dyDescent="0.25">
      <c r="A4796">
        <v>8</v>
      </c>
      <c r="B4796">
        <v>4</v>
      </c>
      <c r="C4796"/>
      <c r="D4796" t="s">
        <v>31</v>
      </c>
      <c r="E4796" t="s">
        <v>32</v>
      </c>
      <c r="F4796" t="s">
        <v>54</v>
      </c>
      <c r="G4796" s="118">
        <v>0.81400462962962961</v>
      </c>
      <c r="H4796" s="118">
        <v>3.4722222222222224E-4</v>
      </c>
      <c r="I4796" s="118">
        <v>6.5972222222222213E-4</v>
      </c>
      <c r="J4796" s="118">
        <v>5.0462962962962961E-3</v>
      </c>
      <c r="K4796" s="118">
        <v>5.0462962962962961E-3</v>
      </c>
    </row>
    <row r="4797" spans="1:11" x14ac:dyDescent="0.25">
      <c r="A4797">
        <v>3</v>
      </c>
      <c r="B4797">
        <v>17</v>
      </c>
      <c r="C4797"/>
      <c r="D4797" t="s">
        <v>31</v>
      </c>
      <c r="E4797" t="s">
        <v>35</v>
      </c>
      <c r="F4797" t="s">
        <v>46</v>
      </c>
      <c r="G4797" s="118">
        <v>0.81409722222222225</v>
      </c>
      <c r="H4797" s="118">
        <v>1.8055555555555557E-3</v>
      </c>
      <c r="I4797" s="118">
        <v>3.4722222222222224E-4</v>
      </c>
      <c r="J4797"/>
      <c r="K4797"/>
    </row>
    <row r="4798" spans="1:11" x14ac:dyDescent="0.25">
      <c r="A4798">
        <v>5</v>
      </c>
      <c r="B4798">
        <v>18</v>
      </c>
      <c r="C4798"/>
      <c r="D4798" t="s">
        <v>31</v>
      </c>
      <c r="E4798" t="s">
        <v>32</v>
      </c>
      <c r="F4798" t="s">
        <v>53</v>
      </c>
      <c r="G4798" s="118">
        <v>0.81409722222222225</v>
      </c>
      <c r="H4798" s="118">
        <v>3.4722222222222224E-4</v>
      </c>
      <c r="I4798" s="118">
        <v>8.449074074074075E-4</v>
      </c>
      <c r="J4798" s="118">
        <v>5.0462962962962961E-3</v>
      </c>
      <c r="K4798" s="118">
        <v>5.0462962962962961E-3</v>
      </c>
    </row>
    <row r="4799" spans="1:11" x14ac:dyDescent="0.25">
      <c r="A4799">
        <v>4</v>
      </c>
      <c r="B4799">
        <v>17</v>
      </c>
      <c r="C4799"/>
      <c r="D4799" t="s">
        <v>31</v>
      </c>
      <c r="E4799" t="s">
        <v>35</v>
      </c>
      <c r="F4799" t="s">
        <v>52</v>
      </c>
      <c r="G4799" s="118">
        <v>0.81413194444444448</v>
      </c>
      <c r="H4799" s="118">
        <v>1.0416666666666667E-3</v>
      </c>
      <c r="I4799" s="118">
        <v>3.4722222222222224E-4</v>
      </c>
      <c r="J4799"/>
      <c r="K4799"/>
    </row>
    <row r="4800" spans="1:11" x14ac:dyDescent="0.25">
      <c r="A4800">
        <v>2</v>
      </c>
      <c r="B4800">
        <v>17</v>
      </c>
      <c r="C4800"/>
      <c r="D4800" t="s">
        <v>31</v>
      </c>
      <c r="E4800" t="s">
        <v>32</v>
      </c>
      <c r="F4800" t="s">
        <v>36</v>
      </c>
      <c r="G4800" s="118">
        <v>0.81434027777777773</v>
      </c>
      <c r="H4800" s="118">
        <v>3.4722222222222224E-4</v>
      </c>
      <c r="I4800" s="118">
        <v>1.0995370370370371E-3</v>
      </c>
      <c r="J4800" s="118">
        <v>5.0462962962962961E-3</v>
      </c>
      <c r="K4800" s="118">
        <v>5.0462962962962961E-3</v>
      </c>
    </row>
    <row r="4801" spans="1:11" x14ac:dyDescent="0.25">
      <c r="A4801">
        <v>3</v>
      </c>
      <c r="B4801">
        <v>17</v>
      </c>
      <c r="C4801"/>
      <c r="D4801" t="s">
        <v>31</v>
      </c>
      <c r="E4801" t="s">
        <v>32</v>
      </c>
      <c r="F4801" t="s">
        <v>46</v>
      </c>
      <c r="G4801" s="118">
        <v>0.81444444444444442</v>
      </c>
      <c r="H4801" s="118">
        <v>3.4722222222222224E-4</v>
      </c>
      <c r="I4801" s="118">
        <v>9.1435185185185185E-4</v>
      </c>
      <c r="J4801" s="118">
        <v>5.0462962962962961E-3</v>
      </c>
      <c r="K4801" s="118">
        <v>5.0462962962962961E-3</v>
      </c>
    </row>
    <row r="4802" spans="1:11" x14ac:dyDescent="0.25">
      <c r="A4802">
        <v>4</v>
      </c>
      <c r="B4802">
        <v>17</v>
      </c>
      <c r="C4802"/>
      <c r="D4802" t="s">
        <v>31</v>
      </c>
      <c r="E4802" t="s">
        <v>32</v>
      </c>
      <c r="F4802" t="s">
        <v>52</v>
      </c>
      <c r="G4802" s="118">
        <v>0.81447916666666664</v>
      </c>
      <c r="H4802" s="118">
        <v>3.4722222222222224E-4</v>
      </c>
      <c r="I4802" s="118">
        <v>1.0532407407407407E-3</v>
      </c>
      <c r="J4802" s="118">
        <v>5.0462962962962961E-3</v>
      </c>
      <c r="K4802" s="118">
        <v>5.0462962962962961E-3</v>
      </c>
    </row>
    <row r="4803" spans="1:11" x14ac:dyDescent="0.25">
      <c r="A4803">
        <v>9</v>
      </c>
      <c r="B4803">
        <v>4</v>
      </c>
      <c r="C4803"/>
      <c r="D4803" t="s">
        <v>31</v>
      </c>
      <c r="E4803" t="s">
        <v>35</v>
      </c>
      <c r="F4803" t="s">
        <v>44</v>
      </c>
      <c r="G4803" s="118">
        <v>0.81458333333333333</v>
      </c>
      <c r="H4803" s="118">
        <v>1.0069444444444444E-3</v>
      </c>
      <c r="I4803" s="118">
        <v>3.4722222222222224E-4</v>
      </c>
      <c r="J4803"/>
      <c r="K4803"/>
    </row>
    <row r="4804" spans="1:11" x14ac:dyDescent="0.25">
      <c r="A4804">
        <v>8</v>
      </c>
      <c r="B4804">
        <v>4</v>
      </c>
      <c r="C4804"/>
      <c r="D4804" t="s">
        <v>31</v>
      </c>
      <c r="E4804" t="s">
        <v>35</v>
      </c>
      <c r="F4804" t="s">
        <v>92</v>
      </c>
      <c r="G4804" s="118">
        <v>0.81466435185185182</v>
      </c>
      <c r="H4804" s="118">
        <v>6.5972222222222213E-4</v>
      </c>
      <c r="I4804" s="118">
        <v>5.2083333333333333E-4</v>
      </c>
      <c r="J4804"/>
      <c r="K4804"/>
    </row>
    <row r="4805" spans="1:11" x14ac:dyDescent="0.25">
      <c r="A4805">
        <v>1</v>
      </c>
      <c r="B4805">
        <v>16</v>
      </c>
      <c r="C4805"/>
      <c r="D4805" t="s">
        <v>31</v>
      </c>
      <c r="E4805" t="s">
        <v>35</v>
      </c>
      <c r="F4805" t="s">
        <v>37</v>
      </c>
      <c r="G4805" s="118">
        <v>0.81480324074074073</v>
      </c>
      <c r="H4805" s="118">
        <v>9.6064814814814808E-4</v>
      </c>
      <c r="I4805" s="118">
        <v>3.4722222222222224E-4</v>
      </c>
      <c r="J4805"/>
      <c r="K4805"/>
    </row>
    <row r="4806" spans="1:11" x14ac:dyDescent="0.25">
      <c r="A4806">
        <v>9</v>
      </c>
      <c r="B4806">
        <v>4</v>
      </c>
      <c r="C4806"/>
      <c r="D4806" t="s">
        <v>31</v>
      </c>
      <c r="E4806" t="s">
        <v>32</v>
      </c>
      <c r="F4806" t="s">
        <v>44</v>
      </c>
      <c r="G4806" s="118">
        <v>0.8149305555555556</v>
      </c>
      <c r="H4806" s="118">
        <v>3.4722222222222224E-4</v>
      </c>
      <c r="I4806" s="118">
        <v>9.2592592592592585E-4</v>
      </c>
      <c r="J4806" s="118">
        <v>5.0462962962962961E-3</v>
      </c>
      <c r="K4806" s="118">
        <v>5.0462962962962961E-3</v>
      </c>
    </row>
    <row r="4807" spans="1:11" x14ac:dyDescent="0.25">
      <c r="A4807">
        <v>5</v>
      </c>
      <c r="B4807">
        <v>18</v>
      </c>
      <c r="C4807"/>
      <c r="D4807" t="s">
        <v>31</v>
      </c>
      <c r="E4807" t="s">
        <v>35</v>
      </c>
      <c r="F4807" t="s">
        <v>34</v>
      </c>
      <c r="G4807" s="118">
        <v>0.81494212962962964</v>
      </c>
      <c r="H4807" s="118">
        <v>8.449074074074075E-4</v>
      </c>
      <c r="I4807" s="118">
        <v>3.4722222222222224E-4</v>
      </c>
      <c r="J4807"/>
      <c r="K4807"/>
    </row>
    <row r="4808" spans="1:11" x14ac:dyDescent="0.25">
      <c r="A4808">
        <v>1</v>
      </c>
      <c r="B4808">
        <v>16</v>
      </c>
      <c r="C4808"/>
      <c r="D4808" t="s">
        <v>31</v>
      </c>
      <c r="E4808" t="s">
        <v>32</v>
      </c>
      <c r="F4808" t="s">
        <v>37</v>
      </c>
      <c r="G4808" s="118">
        <v>0.81515046296296301</v>
      </c>
      <c r="H4808" s="118">
        <v>3.4722222222222224E-4</v>
      </c>
      <c r="I4808" s="118">
        <v>9.0277777777777784E-4</v>
      </c>
      <c r="J4808" s="118">
        <v>5.0462962962962961E-3</v>
      </c>
      <c r="K4808" s="118">
        <v>5.0462962962962961E-3</v>
      </c>
    </row>
    <row r="4809" spans="1:11" x14ac:dyDescent="0.25">
      <c r="A4809">
        <v>8</v>
      </c>
      <c r="B4809">
        <v>5</v>
      </c>
      <c r="C4809"/>
      <c r="D4809" t="s">
        <v>31</v>
      </c>
      <c r="E4809" t="s">
        <v>32</v>
      </c>
      <c r="F4809" t="s">
        <v>92</v>
      </c>
      <c r="G4809" s="118">
        <v>0.81518518518518512</v>
      </c>
      <c r="H4809" s="118">
        <v>5.2083333333333333E-4</v>
      </c>
      <c r="I4809" s="118">
        <v>1.0069444444444444E-3</v>
      </c>
      <c r="J4809" s="118">
        <v>5.0462962962962961E-3</v>
      </c>
      <c r="K4809" s="118">
        <v>5.0462962962962961E-3</v>
      </c>
    </row>
    <row r="4810" spans="1:11" x14ac:dyDescent="0.25">
      <c r="A4810">
        <v>5</v>
      </c>
      <c r="B4810">
        <v>18</v>
      </c>
      <c r="C4810"/>
      <c r="D4810" t="s">
        <v>31</v>
      </c>
      <c r="E4810" t="s">
        <v>32</v>
      </c>
      <c r="F4810" t="s">
        <v>34</v>
      </c>
      <c r="G4810" s="118">
        <v>0.81528935185185192</v>
      </c>
      <c r="H4810" s="118">
        <v>3.4722222222222224E-4</v>
      </c>
      <c r="I4810" s="118">
        <v>9.1435185185185185E-4</v>
      </c>
      <c r="J4810" s="118">
        <v>5.0462962962962961E-3</v>
      </c>
      <c r="K4810" s="118">
        <v>5.0462962962962961E-3</v>
      </c>
    </row>
    <row r="4811" spans="1:11" x14ac:dyDescent="0.25">
      <c r="A4811">
        <v>3</v>
      </c>
      <c r="B4811">
        <v>17</v>
      </c>
      <c r="C4811"/>
      <c r="D4811" t="s">
        <v>31</v>
      </c>
      <c r="E4811" t="s">
        <v>35</v>
      </c>
      <c r="F4811" t="s">
        <v>51</v>
      </c>
      <c r="G4811" s="118">
        <v>0.81535879629629626</v>
      </c>
      <c r="H4811" s="118">
        <v>9.1435185185185185E-4</v>
      </c>
      <c r="I4811" s="118">
        <v>3.4722222222222224E-4</v>
      </c>
      <c r="J4811"/>
      <c r="K4811"/>
    </row>
    <row r="4812" spans="1:11" x14ac:dyDescent="0.25">
      <c r="A4812">
        <v>2</v>
      </c>
      <c r="B4812">
        <v>17</v>
      </c>
      <c r="C4812"/>
      <c r="D4812" t="s">
        <v>31</v>
      </c>
      <c r="E4812" t="s">
        <v>35</v>
      </c>
      <c r="F4812" t="s">
        <v>43</v>
      </c>
      <c r="G4812" s="118">
        <v>0.81543981481481476</v>
      </c>
      <c r="H4812" s="118">
        <v>1.0995370370370371E-3</v>
      </c>
      <c r="I4812" s="118">
        <v>3.4722222222222224E-4</v>
      </c>
      <c r="J4812"/>
      <c r="K4812"/>
    </row>
    <row r="4813" spans="1:11" x14ac:dyDescent="0.25">
      <c r="A4813">
        <v>4</v>
      </c>
      <c r="B4813">
        <v>17</v>
      </c>
      <c r="C4813"/>
      <c r="D4813" t="s">
        <v>31</v>
      </c>
      <c r="E4813" t="s">
        <v>35</v>
      </c>
      <c r="F4813" t="s">
        <v>57</v>
      </c>
      <c r="G4813" s="118">
        <v>0.8155324074074074</v>
      </c>
      <c r="H4813" s="118">
        <v>1.0532407407407407E-3</v>
      </c>
      <c r="I4813" s="118">
        <v>3.4722222222222224E-4</v>
      </c>
      <c r="J4813"/>
      <c r="K4813"/>
    </row>
    <row r="4814" spans="1:11" x14ac:dyDescent="0.25">
      <c r="A4814">
        <v>3</v>
      </c>
      <c r="B4814">
        <v>17</v>
      </c>
      <c r="C4814"/>
      <c r="D4814" t="s">
        <v>31</v>
      </c>
      <c r="E4814" t="s">
        <v>32</v>
      </c>
      <c r="F4814" t="s">
        <v>51</v>
      </c>
      <c r="G4814" s="118">
        <v>0.81570601851851843</v>
      </c>
      <c r="H4814" s="118">
        <v>3.4722222222222224E-4</v>
      </c>
      <c r="I4814" s="118">
        <v>1.0069444444444444E-3</v>
      </c>
      <c r="J4814" s="118">
        <v>5.0462962962962961E-3</v>
      </c>
      <c r="K4814" s="118">
        <v>5.0462962962962961E-3</v>
      </c>
    </row>
    <row r="4815" spans="1:11" x14ac:dyDescent="0.25">
      <c r="A4815">
        <v>2</v>
      </c>
      <c r="B4815">
        <v>17</v>
      </c>
      <c r="C4815"/>
      <c r="D4815" t="s">
        <v>31</v>
      </c>
      <c r="E4815" t="s">
        <v>32</v>
      </c>
      <c r="F4815" t="s">
        <v>43</v>
      </c>
      <c r="G4815" s="118">
        <v>0.81578703703703714</v>
      </c>
      <c r="H4815" s="118">
        <v>3.4722222222222224E-4</v>
      </c>
      <c r="I4815" s="118">
        <v>1.1458333333333333E-3</v>
      </c>
      <c r="J4815" s="118">
        <v>5.0462962962962961E-3</v>
      </c>
      <c r="K4815" s="118">
        <v>5.0462962962962961E-3</v>
      </c>
    </row>
    <row r="4816" spans="1:11" x14ac:dyDescent="0.25">
      <c r="A4816">
        <v>9</v>
      </c>
      <c r="B4816">
        <v>4</v>
      </c>
      <c r="C4816"/>
      <c r="D4816" t="s">
        <v>31</v>
      </c>
      <c r="E4816" t="s">
        <v>35</v>
      </c>
      <c r="F4816" t="s">
        <v>49</v>
      </c>
      <c r="G4816" s="118">
        <v>0.81585648148148149</v>
      </c>
      <c r="H4816" s="118">
        <v>9.2592592592592585E-4</v>
      </c>
      <c r="I4816" s="118">
        <v>3.4722222222222224E-4</v>
      </c>
      <c r="J4816"/>
      <c r="K4816"/>
    </row>
    <row r="4817" spans="1:11" x14ac:dyDescent="0.25">
      <c r="A4817">
        <v>4</v>
      </c>
      <c r="B4817">
        <v>17</v>
      </c>
      <c r="C4817"/>
      <c r="D4817" t="s">
        <v>31</v>
      </c>
      <c r="E4817" t="s">
        <v>32</v>
      </c>
      <c r="F4817" t="s">
        <v>57</v>
      </c>
      <c r="G4817" s="118">
        <v>0.81587962962962957</v>
      </c>
      <c r="H4817" s="118">
        <v>3.4722222222222224E-4</v>
      </c>
      <c r="I4817" s="118">
        <v>9.3750000000000007E-4</v>
      </c>
      <c r="J4817" s="118">
        <v>5.0462962962962961E-3</v>
      </c>
      <c r="K4817" s="118">
        <v>5.0462962962962961E-3</v>
      </c>
    </row>
    <row r="4818" spans="1:11" x14ac:dyDescent="0.25">
      <c r="A4818">
        <v>1</v>
      </c>
      <c r="B4818">
        <v>16</v>
      </c>
      <c r="C4818"/>
      <c r="D4818" t="s">
        <v>31</v>
      </c>
      <c r="E4818" t="s">
        <v>35</v>
      </c>
      <c r="F4818" t="s">
        <v>42</v>
      </c>
      <c r="G4818" s="118">
        <v>0.8160532407407407</v>
      </c>
      <c r="H4818" s="118">
        <v>9.0277777777777784E-4</v>
      </c>
      <c r="I4818" s="118">
        <v>3.4722222222222224E-4</v>
      </c>
      <c r="J4818"/>
      <c r="K4818"/>
    </row>
    <row r="4819" spans="1:11" x14ac:dyDescent="0.25">
      <c r="A4819">
        <v>8</v>
      </c>
      <c r="B4819">
        <v>5</v>
      </c>
      <c r="C4819"/>
      <c r="D4819" t="s">
        <v>31</v>
      </c>
      <c r="E4819" t="s">
        <v>35</v>
      </c>
      <c r="F4819" t="s">
        <v>41</v>
      </c>
      <c r="G4819" s="118">
        <v>0.81619212962962961</v>
      </c>
      <c r="H4819" s="118">
        <v>1.0069444444444444E-3</v>
      </c>
      <c r="I4819" s="118">
        <v>3.4722222222222224E-4</v>
      </c>
      <c r="J4819"/>
      <c r="K4819"/>
    </row>
    <row r="4820" spans="1:11" x14ac:dyDescent="0.25">
      <c r="A4820">
        <v>5</v>
      </c>
      <c r="B4820">
        <v>18</v>
      </c>
      <c r="C4820"/>
      <c r="D4820" t="s">
        <v>31</v>
      </c>
      <c r="E4820" t="s">
        <v>35</v>
      </c>
      <c r="F4820" t="s">
        <v>38</v>
      </c>
      <c r="G4820" s="118">
        <v>0.81620370370370365</v>
      </c>
      <c r="H4820" s="118">
        <v>9.1435185185185185E-4</v>
      </c>
      <c r="I4820" s="118">
        <v>3.4722222222222224E-4</v>
      </c>
      <c r="J4820"/>
      <c r="K4820"/>
    </row>
    <row r="4821" spans="1:11" x14ac:dyDescent="0.25">
      <c r="A4821">
        <v>9</v>
      </c>
      <c r="B4821">
        <v>4</v>
      </c>
      <c r="C4821"/>
      <c r="D4821" t="s">
        <v>31</v>
      </c>
      <c r="E4821" t="s">
        <v>32</v>
      </c>
      <c r="F4821" t="s">
        <v>49</v>
      </c>
      <c r="G4821" s="118">
        <v>0.81620370370370365</v>
      </c>
      <c r="H4821" s="118">
        <v>3.4722222222222224E-4</v>
      </c>
      <c r="I4821" s="118">
        <v>1.3541666666666667E-3</v>
      </c>
      <c r="J4821" s="118">
        <v>5.0462962962962961E-3</v>
      </c>
      <c r="K4821" s="118">
        <v>5.0462962962962961E-3</v>
      </c>
    </row>
    <row r="4822" spans="1:11" x14ac:dyDescent="0.25">
      <c r="A4822">
        <v>1</v>
      </c>
      <c r="B4822">
        <v>16</v>
      </c>
      <c r="C4822"/>
      <c r="D4822" t="s">
        <v>31</v>
      </c>
      <c r="E4822" t="s">
        <v>32</v>
      </c>
      <c r="F4822" t="s">
        <v>42</v>
      </c>
      <c r="G4822" s="118">
        <v>0.81640046296296298</v>
      </c>
      <c r="H4822" s="118">
        <v>3.4722222222222224E-4</v>
      </c>
      <c r="I4822" s="118">
        <v>9.1435185185185185E-4</v>
      </c>
      <c r="J4822" s="118">
        <v>5.0462962962962961E-3</v>
      </c>
      <c r="K4822" s="118">
        <v>5.0462962962962961E-3</v>
      </c>
    </row>
    <row r="4823" spans="1:11" x14ac:dyDescent="0.25">
      <c r="A4823">
        <v>8</v>
      </c>
      <c r="B4823">
        <v>5</v>
      </c>
      <c r="C4823"/>
      <c r="D4823" t="s">
        <v>31</v>
      </c>
      <c r="E4823" t="s">
        <v>32</v>
      </c>
      <c r="F4823" t="s">
        <v>41</v>
      </c>
      <c r="G4823" s="118">
        <v>0.81653935185185189</v>
      </c>
      <c r="H4823" s="118">
        <v>3.4722222222222224E-4</v>
      </c>
      <c r="I4823" s="118">
        <v>8.564814814814815E-4</v>
      </c>
      <c r="J4823" s="118">
        <v>5.0462962962962961E-3</v>
      </c>
      <c r="K4823" s="118">
        <v>5.0462962962962961E-3</v>
      </c>
    </row>
    <row r="4824" spans="1:11" x14ac:dyDescent="0.25">
      <c r="A4824">
        <v>5</v>
      </c>
      <c r="B4824">
        <v>18</v>
      </c>
      <c r="C4824"/>
      <c r="D4824" t="s">
        <v>31</v>
      </c>
      <c r="E4824" t="s">
        <v>32</v>
      </c>
      <c r="F4824" t="s">
        <v>38</v>
      </c>
      <c r="G4824" s="118">
        <v>0.81655092592592593</v>
      </c>
      <c r="H4824" s="118">
        <v>3.4722222222222224E-4</v>
      </c>
      <c r="I4824" s="118">
        <v>1.2384259259259258E-3</v>
      </c>
      <c r="J4824" s="118">
        <v>5.0462962962962961E-3</v>
      </c>
      <c r="K4824" s="118">
        <v>5.0462962962962961E-3</v>
      </c>
    </row>
    <row r="4825" spans="1:11" x14ac:dyDescent="0.25">
      <c r="A4825">
        <v>3</v>
      </c>
      <c r="B4825">
        <v>17</v>
      </c>
      <c r="C4825"/>
      <c r="D4825" t="s">
        <v>31</v>
      </c>
      <c r="E4825" t="s">
        <v>35</v>
      </c>
      <c r="F4825" t="s">
        <v>55</v>
      </c>
      <c r="G4825" s="118">
        <v>0.81671296296296303</v>
      </c>
      <c r="H4825" s="118">
        <v>1.0069444444444444E-3</v>
      </c>
      <c r="I4825" s="118">
        <v>4.6296296296296293E-4</v>
      </c>
      <c r="J4825"/>
      <c r="K4825"/>
    </row>
    <row r="4826" spans="1:11" x14ac:dyDescent="0.25">
      <c r="A4826">
        <v>4</v>
      </c>
      <c r="B4826">
        <v>17</v>
      </c>
      <c r="C4826"/>
      <c r="D4826" t="s">
        <v>31</v>
      </c>
      <c r="E4826" t="s">
        <v>35</v>
      </c>
      <c r="F4826" t="s">
        <v>39</v>
      </c>
      <c r="G4826" s="118">
        <v>0.8168171296296296</v>
      </c>
      <c r="H4826" s="118">
        <v>9.3750000000000007E-4</v>
      </c>
      <c r="I4826" s="118">
        <v>5.2083333333333333E-4</v>
      </c>
      <c r="J4826"/>
      <c r="K4826"/>
    </row>
    <row r="4827" spans="1:11" x14ac:dyDescent="0.25">
      <c r="A4827">
        <v>2</v>
      </c>
      <c r="B4827">
        <v>17</v>
      </c>
      <c r="C4827"/>
      <c r="D4827" t="s">
        <v>31</v>
      </c>
      <c r="E4827" t="s">
        <v>35</v>
      </c>
      <c r="F4827" t="s">
        <v>50</v>
      </c>
      <c r="G4827" s="118">
        <v>0.81693287037037043</v>
      </c>
      <c r="H4827" s="118">
        <v>1.1458333333333333E-3</v>
      </c>
      <c r="I4827" s="118">
        <v>3.4722222222222224E-4</v>
      </c>
      <c r="J4827"/>
      <c r="K4827"/>
    </row>
    <row r="4828" spans="1:11" x14ac:dyDescent="0.25">
      <c r="A4828">
        <v>3</v>
      </c>
      <c r="B4828">
        <v>17</v>
      </c>
      <c r="C4828"/>
      <c r="D4828" t="s">
        <v>31</v>
      </c>
      <c r="E4828" t="s">
        <v>32</v>
      </c>
      <c r="F4828" t="s">
        <v>55</v>
      </c>
      <c r="G4828" s="118">
        <v>0.81717592592592592</v>
      </c>
      <c r="H4828" s="118">
        <v>4.6296296296296293E-4</v>
      </c>
      <c r="I4828" s="118">
        <v>4.3981481481481481E-4</v>
      </c>
      <c r="J4828" s="118">
        <v>5.0462962962962961E-3</v>
      </c>
      <c r="K4828" s="118">
        <v>5.0462962962962961E-3</v>
      </c>
    </row>
    <row r="4829" spans="1:11" x14ac:dyDescent="0.25">
      <c r="A4829">
        <v>2</v>
      </c>
      <c r="B4829">
        <v>17</v>
      </c>
      <c r="C4829"/>
      <c r="D4829" t="s">
        <v>31</v>
      </c>
      <c r="E4829" t="s">
        <v>32</v>
      </c>
      <c r="F4829" t="s">
        <v>50</v>
      </c>
      <c r="G4829" s="118">
        <v>0.8172800925925926</v>
      </c>
      <c r="H4829" s="118">
        <v>3.4722222222222224E-4</v>
      </c>
      <c r="I4829" s="118">
        <v>1.261574074074074E-3</v>
      </c>
      <c r="J4829" s="118">
        <v>5.0462962962962961E-3</v>
      </c>
      <c r="K4829" s="118">
        <v>5.0462962962962961E-3</v>
      </c>
    </row>
    <row r="4830" spans="1:11" x14ac:dyDescent="0.25">
      <c r="A4830">
        <v>1</v>
      </c>
      <c r="B4830">
        <v>16</v>
      </c>
      <c r="C4830"/>
      <c r="D4830" t="s">
        <v>31</v>
      </c>
      <c r="E4830" t="s">
        <v>35</v>
      </c>
      <c r="F4830" t="s">
        <v>48</v>
      </c>
      <c r="G4830" s="118">
        <v>0.81731481481481483</v>
      </c>
      <c r="H4830" s="118">
        <v>9.1435185185185185E-4</v>
      </c>
      <c r="I4830" s="118">
        <v>5.2083333333333333E-4</v>
      </c>
      <c r="J4830"/>
      <c r="K4830"/>
    </row>
    <row r="4831" spans="1:11" x14ac:dyDescent="0.25">
      <c r="A4831">
        <v>4</v>
      </c>
      <c r="B4831">
        <v>17</v>
      </c>
      <c r="C4831"/>
      <c r="D4831" t="s">
        <v>31</v>
      </c>
      <c r="E4831" t="s">
        <v>32</v>
      </c>
      <c r="F4831" t="s">
        <v>39</v>
      </c>
      <c r="G4831" s="118">
        <v>0.81733796296296291</v>
      </c>
      <c r="H4831" s="118">
        <v>5.2083333333333333E-4</v>
      </c>
      <c r="I4831" s="118">
        <v>1.8055555555555557E-3</v>
      </c>
      <c r="J4831" s="118">
        <v>5.0462962962962961E-3</v>
      </c>
      <c r="K4831" s="118">
        <v>5.0462962962962961E-3</v>
      </c>
    </row>
    <row r="4832" spans="1:11" x14ac:dyDescent="0.25">
      <c r="A4832">
        <v>8</v>
      </c>
      <c r="B4832">
        <v>5</v>
      </c>
      <c r="C4832"/>
      <c r="D4832" t="s">
        <v>31</v>
      </c>
      <c r="E4832" t="s">
        <v>35</v>
      </c>
      <c r="F4832" t="s">
        <v>47</v>
      </c>
      <c r="G4832" s="118">
        <v>0.81739583333333332</v>
      </c>
      <c r="H4832" s="118">
        <v>8.564814814814815E-4</v>
      </c>
      <c r="I4832" s="118">
        <v>5.2083333333333333E-4</v>
      </c>
      <c r="J4832"/>
      <c r="K4832"/>
    </row>
    <row r="4833" spans="1:11" x14ac:dyDescent="0.25">
      <c r="A4833">
        <v>9</v>
      </c>
      <c r="B4833">
        <v>4</v>
      </c>
      <c r="C4833"/>
      <c r="D4833" t="s">
        <v>31</v>
      </c>
      <c r="E4833" t="s">
        <v>35</v>
      </c>
      <c r="F4833" t="s">
        <v>33</v>
      </c>
      <c r="G4833" s="118">
        <v>0.81755787037037031</v>
      </c>
      <c r="H4833" s="118">
        <v>1.3541666666666667E-3</v>
      </c>
      <c r="I4833" s="118">
        <v>5.2083333333333333E-4</v>
      </c>
      <c r="J4833"/>
      <c r="K4833"/>
    </row>
    <row r="4834" spans="1:11" x14ac:dyDescent="0.25">
      <c r="A4834">
        <v>3</v>
      </c>
      <c r="B4834">
        <v>17</v>
      </c>
      <c r="C4834"/>
      <c r="D4834" t="s">
        <v>31</v>
      </c>
      <c r="E4834" t="s">
        <v>35</v>
      </c>
      <c r="F4834" t="s">
        <v>58</v>
      </c>
      <c r="G4834" s="118">
        <v>0.81761574074074073</v>
      </c>
      <c r="H4834" s="118">
        <v>4.3981481481481481E-4</v>
      </c>
      <c r="I4834" s="118">
        <v>5.7870370370370366E-5</v>
      </c>
      <c r="J4834"/>
      <c r="K4834"/>
    </row>
    <row r="4835" spans="1:11" x14ac:dyDescent="0.25">
      <c r="A4835">
        <v>3</v>
      </c>
      <c r="B4835">
        <v>17</v>
      </c>
      <c r="C4835"/>
      <c r="D4835" t="s">
        <v>31</v>
      </c>
      <c r="E4835" t="s">
        <v>32</v>
      </c>
      <c r="F4835" t="s">
        <v>58</v>
      </c>
      <c r="G4835" s="118">
        <v>0.81767361111111114</v>
      </c>
      <c r="H4835" s="118">
        <v>5.7870370370370366E-5</v>
      </c>
      <c r="I4835" s="118">
        <v>4.8611111111111104E-4</v>
      </c>
      <c r="J4835" s="118">
        <v>5.0462962962962961E-3</v>
      </c>
      <c r="K4835" s="118">
        <v>5.0462962962962961E-3</v>
      </c>
    </row>
    <row r="4836" spans="1:11" x14ac:dyDescent="0.25">
      <c r="A4836">
        <v>5</v>
      </c>
      <c r="B4836">
        <v>18</v>
      </c>
      <c r="C4836"/>
      <c r="D4836" t="s">
        <v>31</v>
      </c>
      <c r="E4836" t="s">
        <v>35</v>
      </c>
      <c r="F4836" t="s">
        <v>45</v>
      </c>
      <c r="G4836" s="118">
        <v>0.81778935185185186</v>
      </c>
      <c r="H4836" s="118">
        <v>1.2384259259259258E-3</v>
      </c>
      <c r="I4836" s="118">
        <v>3.4722222222222224E-4</v>
      </c>
      <c r="J4836"/>
      <c r="K4836"/>
    </row>
    <row r="4837" spans="1:11" x14ac:dyDescent="0.25">
      <c r="A4837">
        <v>1</v>
      </c>
      <c r="B4837">
        <v>16</v>
      </c>
      <c r="C4837"/>
      <c r="D4837" t="s">
        <v>31</v>
      </c>
      <c r="E4837" t="s">
        <v>32</v>
      </c>
      <c r="F4837" t="s">
        <v>48</v>
      </c>
      <c r="G4837" s="118">
        <v>0.81783564814814813</v>
      </c>
      <c r="H4837" s="118">
        <v>5.2083333333333333E-4</v>
      </c>
      <c r="I4837" s="118">
        <v>8.6805555555555551E-4</v>
      </c>
      <c r="J4837" s="118">
        <v>5.0462962962962961E-3</v>
      </c>
      <c r="K4837" s="118">
        <v>5.0462962962962961E-3</v>
      </c>
    </row>
    <row r="4838" spans="1:11" x14ac:dyDescent="0.25">
      <c r="A4838">
        <v>8</v>
      </c>
      <c r="B4838">
        <v>5</v>
      </c>
      <c r="C4838"/>
      <c r="D4838" t="s">
        <v>31</v>
      </c>
      <c r="E4838" t="s">
        <v>32</v>
      </c>
      <c r="F4838" t="s">
        <v>47</v>
      </c>
      <c r="G4838" s="118">
        <v>0.81791666666666663</v>
      </c>
      <c r="H4838" s="118">
        <v>5.2083333333333333E-4</v>
      </c>
      <c r="I4838" s="118">
        <v>8.7962962962962962E-4</v>
      </c>
      <c r="J4838" s="118">
        <v>5.0462962962962961E-3</v>
      </c>
      <c r="K4838" s="118">
        <v>5.0462962962962961E-3</v>
      </c>
    </row>
    <row r="4839" spans="1:11" x14ac:dyDescent="0.25">
      <c r="A4839">
        <v>9</v>
      </c>
      <c r="B4839">
        <v>4</v>
      </c>
      <c r="C4839"/>
      <c r="D4839" t="s">
        <v>31</v>
      </c>
      <c r="E4839" t="s">
        <v>32</v>
      </c>
      <c r="F4839" t="s">
        <v>33</v>
      </c>
      <c r="G4839" s="118">
        <v>0.81807870370370372</v>
      </c>
      <c r="H4839" s="118">
        <v>5.2083333333333333E-4</v>
      </c>
      <c r="I4839" s="118">
        <v>9.6064814814814808E-4</v>
      </c>
      <c r="J4839" s="118">
        <v>5.0462962962962961E-3</v>
      </c>
      <c r="K4839" s="118">
        <v>5.0462962962962961E-3</v>
      </c>
    </row>
    <row r="4840" spans="1:11" x14ac:dyDescent="0.25">
      <c r="A4840">
        <v>5</v>
      </c>
      <c r="B4840">
        <v>18</v>
      </c>
      <c r="C4840"/>
      <c r="D4840" t="s">
        <v>31</v>
      </c>
      <c r="E4840" t="s">
        <v>32</v>
      </c>
      <c r="F4840" t="s">
        <v>45</v>
      </c>
      <c r="G4840" s="118">
        <v>0.81813657407407403</v>
      </c>
      <c r="H4840" s="118">
        <v>3.4722222222222224E-4</v>
      </c>
      <c r="I4840" s="118">
        <v>1.0416666666666667E-3</v>
      </c>
      <c r="J4840" s="118">
        <v>5.0462962962962961E-3</v>
      </c>
      <c r="K4840" s="118">
        <v>5.0462962962962961E-3</v>
      </c>
    </row>
    <row r="4841" spans="1:11" x14ac:dyDescent="0.25">
      <c r="A4841">
        <v>3</v>
      </c>
      <c r="B4841">
        <v>17</v>
      </c>
      <c r="C4841"/>
      <c r="D4841" t="s">
        <v>31</v>
      </c>
      <c r="E4841" t="s">
        <v>35</v>
      </c>
      <c r="F4841" t="s">
        <v>40</v>
      </c>
      <c r="G4841" s="118">
        <v>0.81815972222222222</v>
      </c>
      <c r="H4841" s="118">
        <v>4.8611111111111104E-4</v>
      </c>
      <c r="I4841" s="118">
        <v>4.6296296296296293E-4</v>
      </c>
      <c r="J4841"/>
      <c r="K4841"/>
    </row>
    <row r="4842" spans="1:11" x14ac:dyDescent="0.25">
      <c r="A4842">
        <v>2</v>
      </c>
      <c r="B4842">
        <v>17</v>
      </c>
      <c r="C4842"/>
      <c r="D4842" t="s">
        <v>31</v>
      </c>
      <c r="E4842" t="s">
        <v>35</v>
      </c>
      <c r="F4842" t="s">
        <v>56</v>
      </c>
      <c r="G4842" s="118">
        <v>0.81854166666666661</v>
      </c>
      <c r="H4842" s="118">
        <v>1.261574074074074E-3</v>
      </c>
      <c r="I4842" s="118">
        <v>3.4722222222222224E-4</v>
      </c>
      <c r="J4842"/>
      <c r="K4842"/>
    </row>
    <row r="4843" spans="1:11" x14ac:dyDescent="0.25">
      <c r="A4843">
        <v>3</v>
      </c>
      <c r="B4843">
        <v>17</v>
      </c>
      <c r="C4843"/>
      <c r="D4843" t="s">
        <v>31</v>
      </c>
      <c r="E4843" t="s">
        <v>32</v>
      </c>
      <c r="F4843" t="s">
        <v>40</v>
      </c>
      <c r="G4843" s="118">
        <v>0.81862268518518511</v>
      </c>
      <c r="H4843" s="118">
        <v>4.6296296296296293E-4</v>
      </c>
      <c r="I4843" s="118">
        <v>1.0069444444444444E-3</v>
      </c>
      <c r="J4843" s="118">
        <v>5.0462962962962961E-3</v>
      </c>
      <c r="K4843" s="118">
        <v>5.0462962962962961E-3</v>
      </c>
    </row>
    <row r="4844" spans="1:11" x14ac:dyDescent="0.25">
      <c r="A4844">
        <v>1</v>
      </c>
      <c r="B4844">
        <v>16</v>
      </c>
      <c r="C4844"/>
      <c r="D4844" t="s">
        <v>31</v>
      </c>
      <c r="E4844" t="s">
        <v>35</v>
      </c>
      <c r="F4844" t="s">
        <v>54</v>
      </c>
      <c r="G4844" s="118">
        <v>0.8187037037037036</v>
      </c>
      <c r="H4844" s="118">
        <v>8.6805555555555551E-4</v>
      </c>
      <c r="I4844" s="118">
        <v>3.4722222222222224E-4</v>
      </c>
      <c r="J4844"/>
      <c r="K4844"/>
    </row>
    <row r="4845" spans="1:11" x14ac:dyDescent="0.25">
      <c r="A4845">
        <v>8</v>
      </c>
      <c r="B4845">
        <v>5</v>
      </c>
      <c r="C4845"/>
      <c r="D4845" t="s">
        <v>31</v>
      </c>
      <c r="E4845" t="s">
        <v>35</v>
      </c>
      <c r="F4845" t="s">
        <v>53</v>
      </c>
      <c r="G4845" s="118">
        <v>0.81879629629629624</v>
      </c>
      <c r="H4845" s="118">
        <v>8.7962962962962962E-4</v>
      </c>
      <c r="I4845" s="118">
        <v>3.4722222222222224E-4</v>
      </c>
      <c r="J4845"/>
      <c r="K4845"/>
    </row>
    <row r="4846" spans="1:11" x14ac:dyDescent="0.25">
      <c r="A4846">
        <v>2</v>
      </c>
      <c r="B4846">
        <v>17</v>
      </c>
      <c r="C4846"/>
      <c r="D4846" t="s">
        <v>31</v>
      </c>
      <c r="E4846" t="s">
        <v>32</v>
      </c>
      <c r="F4846" t="s">
        <v>56</v>
      </c>
      <c r="G4846" s="118">
        <v>0.81888888888888889</v>
      </c>
      <c r="H4846" s="118">
        <v>3.4722222222222224E-4</v>
      </c>
      <c r="I4846" s="118">
        <v>9.6064814814814808E-4</v>
      </c>
      <c r="J4846" s="118">
        <v>5.0462962962962961E-3</v>
      </c>
      <c r="K4846" s="118">
        <v>5.0462962962962961E-3</v>
      </c>
    </row>
    <row r="4847" spans="1:11" x14ac:dyDescent="0.25">
      <c r="A4847">
        <v>9</v>
      </c>
      <c r="B4847">
        <v>4</v>
      </c>
      <c r="C4847"/>
      <c r="D4847" t="s">
        <v>31</v>
      </c>
      <c r="E4847" t="s">
        <v>35</v>
      </c>
      <c r="F4847" t="s">
        <v>36</v>
      </c>
      <c r="G4847" s="118">
        <v>0.81903935185185184</v>
      </c>
      <c r="H4847" s="118">
        <v>9.6064814814814808E-4</v>
      </c>
      <c r="I4847" s="118">
        <v>3.4722222222222224E-4</v>
      </c>
      <c r="J4847"/>
      <c r="K4847"/>
    </row>
    <row r="4848" spans="1:11" x14ac:dyDescent="0.25">
      <c r="A4848">
        <v>1</v>
      </c>
      <c r="B4848">
        <v>16</v>
      </c>
      <c r="C4848"/>
      <c r="D4848" t="s">
        <v>31</v>
      </c>
      <c r="E4848" t="s">
        <v>32</v>
      </c>
      <c r="F4848" t="s">
        <v>54</v>
      </c>
      <c r="G4848" s="118">
        <v>0.81905092592592599</v>
      </c>
      <c r="H4848" s="118">
        <v>3.4722222222222224E-4</v>
      </c>
      <c r="I4848" s="118">
        <v>6.5972222222222213E-4</v>
      </c>
      <c r="J4848" s="118">
        <v>5.0462962962962961E-3</v>
      </c>
      <c r="K4848" s="118">
        <v>5.0462962962962961E-3</v>
      </c>
    </row>
    <row r="4849" spans="1:11" x14ac:dyDescent="0.25">
      <c r="A4849">
        <v>4</v>
      </c>
      <c r="B4849">
        <v>17</v>
      </c>
      <c r="C4849"/>
      <c r="D4849" t="s">
        <v>31</v>
      </c>
      <c r="E4849" t="s">
        <v>35</v>
      </c>
      <c r="F4849" t="s">
        <v>46</v>
      </c>
      <c r="G4849" s="118">
        <v>0.81914351851851863</v>
      </c>
      <c r="H4849" s="118">
        <v>1.8055555555555557E-3</v>
      </c>
      <c r="I4849" s="118">
        <v>3.4722222222222224E-4</v>
      </c>
      <c r="J4849"/>
      <c r="K4849"/>
    </row>
    <row r="4850" spans="1:11" x14ac:dyDescent="0.25">
      <c r="A4850">
        <v>8</v>
      </c>
      <c r="B4850">
        <v>5</v>
      </c>
      <c r="C4850"/>
      <c r="D4850" t="s">
        <v>31</v>
      </c>
      <c r="E4850" t="s">
        <v>32</v>
      </c>
      <c r="F4850" t="s">
        <v>53</v>
      </c>
      <c r="G4850" s="118">
        <v>0.81914351851851863</v>
      </c>
      <c r="H4850" s="118">
        <v>3.4722222222222224E-4</v>
      </c>
      <c r="I4850" s="118">
        <v>8.449074074074075E-4</v>
      </c>
      <c r="J4850" s="118">
        <v>5.0462962962962961E-3</v>
      </c>
      <c r="K4850" s="118">
        <v>5.0462962962962961E-3</v>
      </c>
    </row>
    <row r="4851" spans="1:11" x14ac:dyDescent="0.25">
      <c r="A4851">
        <v>5</v>
      </c>
      <c r="B4851">
        <v>18</v>
      </c>
      <c r="C4851"/>
      <c r="D4851" t="s">
        <v>31</v>
      </c>
      <c r="E4851" t="s">
        <v>35</v>
      </c>
      <c r="F4851" t="s">
        <v>52</v>
      </c>
      <c r="G4851" s="118">
        <v>0.81917824074074075</v>
      </c>
      <c r="H4851" s="118">
        <v>1.0416666666666667E-3</v>
      </c>
      <c r="I4851" s="118">
        <v>3.4722222222222224E-4</v>
      </c>
      <c r="J4851"/>
      <c r="K4851"/>
    </row>
    <row r="4852" spans="1:11" x14ac:dyDescent="0.25">
      <c r="A4852">
        <v>9</v>
      </c>
      <c r="B4852">
        <v>4</v>
      </c>
      <c r="C4852"/>
      <c r="D4852" t="s">
        <v>31</v>
      </c>
      <c r="E4852" t="s">
        <v>32</v>
      </c>
      <c r="F4852" t="s">
        <v>36</v>
      </c>
      <c r="G4852" s="118">
        <v>0.81938657407407411</v>
      </c>
      <c r="H4852" s="118">
        <v>3.4722222222222224E-4</v>
      </c>
      <c r="I4852" s="118">
        <v>1.0995370370370371E-3</v>
      </c>
      <c r="J4852" s="118">
        <v>5.0462962962962961E-3</v>
      </c>
      <c r="K4852" s="118">
        <v>5.0462962962962961E-3</v>
      </c>
    </row>
    <row r="4853" spans="1:11" x14ac:dyDescent="0.25">
      <c r="A4853">
        <v>4</v>
      </c>
      <c r="B4853">
        <v>17</v>
      </c>
      <c r="C4853"/>
      <c r="D4853" t="s">
        <v>31</v>
      </c>
      <c r="E4853" t="s">
        <v>32</v>
      </c>
      <c r="F4853" t="s">
        <v>46</v>
      </c>
      <c r="G4853" s="118">
        <v>0.8194907407407408</v>
      </c>
      <c r="H4853" s="118">
        <v>3.4722222222222224E-4</v>
      </c>
      <c r="I4853" s="118">
        <v>9.1435185185185185E-4</v>
      </c>
      <c r="J4853" s="118">
        <v>5.0462962962962961E-3</v>
      </c>
      <c r="K4853" s="118">
        <v>5.0462962962962961E-3</v>
      </c>
    </row>
    <row r="4854" spans="1:11" x14ac:dyDescent="0.25">
      <c r="A4854">
        <v>5</v>
      </c>
      <c r="B4854">
        <v>18</v>
      </c>
      <c r="C4854"/>
      <c r="D4854" t="s">
        <v>31</v>
      </c>
      <c r="E4854" t="s">
        <v>32</v>
      </c>
      <c r="F4854" t="s">
        <v>52</v>
      </c>
      <c r="G4854" s="118">
        <v>0.81952546296296302</v>
      </c>
      <c r="H4854" s="118">
        <v>3.4722222222222224E-4</v>
      </c>
      <c r="I4854" s="118">
        <v>1.0532407407407407E-3</v>
      </c>
      <c r="J4854" s="118">
        <v>5.0462962962962961E-3</v>
      </c>
      <c r="K4854" s="118">
        <v>5.0462962962962961E-3</v>
      </c>
    </row>
    <row r="4855" spans="1:11" x14ac:dyDescent="0.25">
      <c r="A4855">
        <v>3</v>
      </c>
      <c r="B4855">
        <v>17</v>
      </c>
      <c r="C4855"/>
      <c r="D4855" t="s">
        <v>31</v>
      </c>
      <c r="E4855" t="s">
        <v>35</v>
      </c>
      <c r="F4855" t="s">
        <v>44</v>
      </c>
      <c r="G4855" s="118">
        <v>0.8196296296296296</v>
      </c>
      <c r="H4855" s="118">
        <v>1.0069444444444444E-3</v>
      </c>
      <c r="I4855" s="118">
        <v>3.4722222222222224E-4</v>
      </c>
      <c r="J4855"/>
      <c r="K4855"/>
    </row>
    <row r="4856" spans="1:11" x14ac:dyDescent="0.25">
      <c r="A4856">
        <v>1</v>
      </c>
      <c r="B4856">
        <v>16</v>
      </c>
      <c r="C4856"/>
      <c r="D4856" t="s">
        <v>31</v>
      </c>
      <c r="E4856" t="s">
        <v>35</v>
      </c>
      <c r="F4856" t="s">
        <v>92</v>
      </c>
      <c r="G4856" s="118">
        <v>0.8197106481481482</v>
      </c>
      <c r="H4856" s="118">
        <v>6.5972222222222213E-4</v>
      </c>
      <c r="I4856" s="118">
        <v>5.2083333333333333E-4</v>
      </c>
      <c r="J4856"/>
      <c r="K4856"/>
    </row>
    <row r="4857" spans="1:11" x14ac:dyDescent="0.25">
      <c r="A4857">
        <v>2</v>
      </c>
      <c r="B4857">
        <v>17</v>
      </c>
      <c r="C4857"/>
      <c r="D4857" t="s">
        <v>31</v>
      </c>
      <c r="E4857" t="s">
        <v>35</v>
      </c>
      <c r="F4857" t="s">
        <v>37</v>
      </c>
      <c r="G4857" s="118">
        <v>0.819849537037037</v>
      </c>
      <c r="H4857" s="118">
        <v>9.6064814814814808E-4</v>
      </c>
      <c r="I4857" s="118">
        <v>3.4722222222222224E-4</v>
      </c>
      <c r="J4857"/>
      <c r="K4857"/>
    </row>
    <row r="4858" spans="1:11" x14ac:dyDescent="0.25">
      <c r="A4858">
        <v>3</v>
      </c>
      <c r="B4858">
        <v>17</v>
      </c>
      <c r="C4858"/>
      <c r="D4858" t="s">
        <v>31</v>
      </c>
      <c r="E4858" t="s">
        <v>32</v>
      </c>
      <c r="F4858" t="s">
        <v>44</v>
      </c>
      <c r="G4858" s="118">
        <v>0.81997685185185187</v>
      </c>
      <c r="H4858" s="118">
        <v>3.4722222222222224E-4</v>
      </c>
      <c r="I4858" s="118">
        <v>9.2592592592592585E-4</v>
      </c>
      <c r="J4858" s="118">
        <v>5.0462962962962961E-3</v>
      </c>
      <c r="K4858" s="118">
        <v>5.0462962962962961E-3</v>
      </c>
    </row>
    <row r="4859" spans="1:11" x14ac:dyDescent="0.25">
      <c r="A4859">
        <v>8</v>
      </c>
      <c r="B4859">
        <v>5</v>
      </c>
      <c r="C4859"/>
      <c r="D4859" t="s">
        <v>31</v>
      </c>
      <c r="E4859" t="s">
        <v>35</v>
      </c>
      <c r="F4859" t="s">
        <v>34</v>
      </c>
      <c r="G4859" s="118">
        <v>0.81998842592592591</v>
      </c>
      <c r="H4859" s="118">
        <v>8.449074074074075E-4</v>
      </c>
      <c r="I4859" s="118">
        <v>3.4722222222222224E-4</v>
      </c>
      <c r="J4859"/>
      <c r="K4859"/>
    </row>
    <row r="4860" spans="1:11" x14ac:dyDescent="0.25">
      <c r="A4860">
        <v>2</v>
      </c>
      <c r="B4860">
        <v>17</v>
      </c>
      <c r="C4860"/>
      <c r="D4860" t="s">
        <v>31</v>
      </c>
      <c r="E4860" t="s">
        <v>32</v>
      </c>
      <c r="F4860" t="s">
        <v>37</v>
      </c>
      <c r="G4860" s="118">
        <v>0.82019675925925928</v>
      </c>
      <c r="H4860" s="118">
        <v>3.4722222222222224E-4</v>
      </c>
      <c r="I4860" s="118">
        <v>9.0277777777777784E-4</v>
      </c>
      <c r="J4860" s="118">
        <v>5.0462962962962961E-3</v>
      </c>
      <c r="K4860" s="118">
        <v>5.0462962962962961E-3</v>
      </c>
    </row>
    <row r="4861" spans="1:11" x14ac:dyDescent="0.25">
      <c r="A4861">
        <v>1</v>
      </c>
      <c r="B4861">
        <v>17</v>
      </c>
      <c r="C4861"/>
      <c r="D4861" t="s">
        <v>31</v>
      </c>
      <c r="E4861" t="s">
        <v>32</v>
      </c>
      <c r="F4861" t="s">
        <v>92</v>
      </c>
      <c r="G4861" s="118">
        <v>0.82023148148148151</v>
      </c>
      <c r="H4861" s="118">
        <v>5.2083333333333333E-4</v>
      </c>
      <c r="I4861" s="118">
        <v>1.0069444444444444E-3</v>
      </c>
      <c r="J4861" s="118">
        <v>5.0462962962962961E-3</v>
      </c>
      <c r="K4861" s="118">
        <v>7.0717592592592594E-3</v>
      </c>
    </row>
    <row r="4862" spans="1:11" x14ac:dyDescent="0.25">
      <c r="A4862">
        <v>8</v>
      </c>
      <c r="B4862">
        <v>5</v>
      </c>
      <c r="C4862"/>
      <c r="D4862" t="s">
        <v>31</v>
      </c>
      <c r="E4862" t="s">
        <v>32</v>
      </c>
      <c r="F4862" t="s">
        <v>34</v>
      </c>
      <c r="G4862" s="118">
        <v>0.82033564814814808</v>
      </c>
      <c r="H4862" s="118">
        <v>3.4722222222222224E-4</v>
      </c>
      <c r="I4862" s="118">
        <v>9.1435185185185185E-4</v>
      </c>
      <c r="J4862" s="118">
        <v>5.0462962962962961E-3</v>
      </c>
      <c r="K4862" s="118">
        <v>5.0462962962962961E-3</v>
      </c>
    </row>
    <row r="4863" spans="1:11" x14ac:dyDescent="0.25">
      <c r="A4863">
        <v>4</v>
      </c>
      <c r="B4863">
        <v>17</v>
      </c>
      <c r="C4863"/>
      <c r="D4863" t="s">
        <v>31</v>
      </c>
      <c r="E4863" t="s">
        <v>35</v>
      </c>
      <c r="F4863" t="s">
        <v>51</v>
      </c>
      <c r="G4863" s="118">
        <v>0.82040509259259264</v>
      </c>
      <c r="H4863" s="118">
        <v>9.1435185185185185E-4</v>
      </c>
      <c r="I4863" s="118">
        <v>3.4722222222222224E-4</v>
      </c>
      <c r="J4863"/>
      <c r="K4863"/>
    </row>
    <row r="4864" spans="1:11" x14ac:dyDescent="0.25">
      <c r="A4864">
        <v>9</v>
      </c>
      <c r="B4864">
        <v>4</v>
      </c>
      <c r="C4864"/>
      <c r="D4864" t="s">
        <v>31</v>
      </c>
      <c r="E4864" t="s">
        <v>35</v>
      </c>
      <c r="F4864" t="s">
        <v>43</v>
      </c>
      <c r="G4864" s="118">
        <v>0.82048611111111114</v>
      </c>
      <c r="H4864" s="118">
        <v>1.0995370370370371E-3</v>
      </c>
      <c r="I4864" s="118">
        <v>3.4722222222222224E-4</v>
      </c>
      <c r="J4864"/>
      <c r="K4864"/>
    </row>
    <row r="4865" spans="1:11" x14ac:dyDescent="0.25">
      <c r="A4865">
        <v>5</v>
      </c>
      <c r="B4865">
        <v>18</v>
      </c>
      <c r="C4865"/>
      <c r="D4865" t="s">
        <v>31</v>
      </c>
      <c r="E4865" t="s">
        <v>35</v>
      </c>
      <c r="F4865" t="s">
        <v>57</v>
      </c>
      <c r="G4865" s="118">
        <v>0.82057870370370367</v>
      </c>
      <c r="H4865" s="118">
        <v>1.0532407407407407E-3</v>
      </c>
      <c r="I4865" s="118">
        <v>3.4722222222222224E-4</v>
      </c>
      <c r="J4865"/>
      <c r="K4865"/>
    </row>
    <row r="4866" spans="1:11" x14ac:dyDescent="0.25">
      <c r="A4866">
        <v>4</v>
      </c>
      <c r="B4866">
        <v>17</v>
      </c>
      <c r="C4866"/>
      <c r="D4866" t="s">
        <v>31</v>
      </c>
      <c r="E4866" t="s">
        <v>32</v>
      </c>
      <c r="F4866" t="s">
        <v>51</v>
      </c>
      <c r="G4866" s="118">
        <v>0.82075231481481481</v>
      </c>
      <c r="H4866" s="118">
        <v>3.4722222222222224E-4</v>
      </c>
      <c r="I4866" s="118">
        <v>1.0069444444444444E-3</v>
      </c>
      <c r="J4866" s="118">
        <v>5.0462962962962961E-3</v>
      </c>
      <c r="K4866" s="118">
        <v>5.0462962962962961E-3</v>
      </c>
    </row>
    <row r="4867" spans="1:11" x14ac:dyDescent="0.25">
      <c r="A4867">
        <v>9</v>
      </c>
      <c r="B4867">
        <v>4</v>
      </c>
      <c r="C4867"/>
      <c r="D4867" t="s">
        <v>31</v>
      </c>
      <c r="E4867" t="s">
        <v>32</v>
      </c>
      <c r="F4867" t="s">
        <v>43</v>
      </c>
      <c r="G4867" s="118">
        <v>0.8208333333333333</v>
      </c>
      <c r="H4867" s="118">
        <v>3.4722222222222224E-4</v>
      </c>
      <c r="I4867" s="118">
        <v>1.1458333333333333E-3</v>
      </c>
      <c r="J4867" s="118">
        <v>5.0462962962962961E-3</v>
      </c>
      <c r="K4867" s="118">
        <v>5.0462962962962961E-3</v>
      </c>
    </row>
    <row r="4868" spans="1:11" x14ac:dyDescent="0.25">
      <c r="A4868">
        <v>3</v>
      </c>
      <c r="B4868">
        <v>17</v>
      </c>
      <c r="C4868"/>
      <c r="D4868" t="s">
        <v>31</v>
      </c>
      <c r="E4868" t="s">
        <v>35</v>
      </c>
      <c r="F4868" t="s">
        <v>49</v>
      </c>
      <c r="G4868" s="118">
        <v>0.82090277777777787</v>
      </c>
      <c r="H4868" s="118">
        <v>9.2592592592592585E-4</v>
      </c>
      <c r="I4868" s="118">
        <v>3.4722222222222224E-4</v>
      </c>
      <c r="J4868"/>
      <c r="K4868"/>
    </row>
    <row r="4869" spans="1:11" x14ac:dyDescent="0.25">
      <c r="A4869">
        <v>5</v>
      </c>
      <c r="B4869">
        <v>18</v>
      </c>
      <c r="C4869"/>
      <c r="D4869" t="s">
        <v>31</v>
      </c>
      <c r="E4869" t="s">
        <v>32</v>
      </c>
      <c r="F4869" t="s">
        <v>57</v>
      </c>
      <c r="G4869" s="118">
        <v>0.82092592592592595</v>
      </c>
      <c r="H4869" s="118">
        <v>3.4722222222222224E-4</v>
      </c>
      <c r="I4869" s="118">
        <v>9.3750000000000007E-4</v>
      </c>
      <c r="J4869" s="118">
        <v>5.0462962962962961E-3</v>
      </c>
      <c r="K4869" s="118">
        <v>5.0462962962962961E-3</v>
      </c>
    </row>
    <row r="4870" spans="1:11" x14ac:dyDescent="0.25">
      <c r="A4870">
        <v>2</v>
      </c>
      <c r="B4870">
        <v>17</v>
      </c>
      <c r="C4870"/>
      <c r="D4870" t="s">
        <v>31</v>
      </c>
      <c r="E4870" t="s">
        <v>35</v>
      </c>
      <c r="F4870" t="s">
        <v>42</v>
      </c>
      <c r="G4870" s="118">
        <v>0.82109953703703698</v>
      </c>
      <c r="H4870" s="118">
        <v>9.0277777777777784E-4</v>
      </c>
      <c r="I4870" s="118">
        <v>3.4722222222222224E-4</v>
      </c>
      <c r="J4870"/>
      <c r="K4870"/>
    </row>
    <row r="4871" spans="1:11" x14ac:dyDescent="0.25">
      <c r="A4871">
        <v>1</v>
      </c>
      <c r="B4871">
        <v>17</v>
      </c>
      <c r="C4871"/>
      <c r="D4871" t="s">
        <v>31</v>
      </c>
      <c r="E4871" t="s">
        <v>35</v>
      </c>
      <c r="F4871" t="s">
        <v>41</v>
      </c>
      <c r="G4871" s="118">
        <v>0.82123842592592589</v>
      </c>
      <c r="H4871" s="118">
        <v>1.0069444444444444E-3</v>
      </c>
      <c r="I4871" s="118">
        <v>3.4722222222222224E-4</v>
      </c>
      <c r="J4871"/>
      <c r="K4871"/>
    </row>
    <row r="4872" spans="1:11" x14ac:dyDescent="0.25">
      <c r="A4872">
        <v>3</v>
      </c>
      <c r="B4872">
        <v>17</v>
      </c>
      <c r="C4872"/>
      <c r="D4872" t="s">
        <v>31</v>
      </c>
      <c r="E4872" t="s">
        <v>32</v>
      </c>
      <c r="F4872" t="s">
        <v>49</v>
      </c>
      <c r="G4872" s="118">
        <v>0.82125000000000004</v>
      </c>
      <c r="H4872" s="118">
        <v>3.4722222222222224E-4</v>
      </c>
      <c r="I4872" s="118">
        <v>1.3541666666666667E-3</v>
      </c>
      <c r="J4872" s="118">
        <v>5.0462962962962961E-3</v>
      </c>
      <c r="K4872" s="118">
        <v>5.0462962962962961E-3</v>
      </c>
    </row>
    <row r="4873" spans="1:11" x14ac:dyDescent="0.25">
      <c r="A4873">
        <v>8</v>
      </c>
      <c r="B4873">
        <v>5</v>
      </c>
      <c r="C4873"/>
      <c r="D4873" t="s">
        <v>31</v>
      </c>
      <c r="E4873" t="s">
        <v>35</v>
      </c>
      <c r="F4873" t="s">
        <v>38</v>
      </c>
      <c r="G4873" s="118">
        <v>0.82125000000000004</v>
      </c>
      <c r="H4873" s="118">
        <v>9.1435185185185185E-4</v>
      </c>
      <c r="I4873" s="118">
        <v>3.4722222222222224E-4</v>
      </c>
      <c r="J4873"/>
      <c r="K4873"/>
    </row>
    <row r="4874" spans="1:11" x14ac:dyDescent="0.25">
      <c r="A4874">
        <v>2</v>
      </c>
      <c r="B4874">
        <v>17</v>
      </c>
      <c r="C4874"/>
      <c r="D4874" t="s">
        <v>31</v>
      </c>
      <c r="E4874" t="s">
        <v>32</v>
      </c>
      <c r="F4874" t="s">
        <v>42</v>
      </c>
      <c r="G4874" s="118">
        <v>0.82144675925925925</v>
      </c>
      <c r="H4874" s="118">
        <v>3.4722222222222224E-4</v>
      </c>
      <c r="I4874" s="118">
        <v>9.1435185185185185E-4</v>
      </c>
      <c r="J4874" s="118">
        <v>5.0462962962962961E-3</v>
      </c>
      <c r="K4874" s="118">
        <v>5.0462962962962961E-3</v>
      </c>
    </row>
    <row r="4875" spans="1:11" x14ac:dyDescent="0.25">
      <c r="A4875">
        <v>1</v>
      </c>
      <c r="B4875">
        <v>17</v>
      </c>
      <c r="C4875"/>
      <c r="D4875" t="s">
        <v>31</v>
      </c>
      <c r="E4875" t="s">
        <v>32</v>
      </c>
      <c r="F4875" t="s">
        <v>41</v>
      </c>
      <c r="G4875" s="118">
        <v>0.82158564814814816</v>
      </c>
      <c r="H4875" s="118">
        <v>3.4722222222222224E-4</v>
      </c>
      <c r="I4875" s="118">
        <v>8.564814814814815E-4</v>
      </c>
      <c r="J4875" s="118">
        <v>5.0462962962962961E-3</v>
      </c>
      <c r="K4875" s="118">
        <v>7.0717592592592594E-3</v>
      </c>
    </row>
    <row r="4876" spans="1:11" x14ac:dyDescent="0.25">
      <c r="A4876">
        <v>8</v>
      </c>
      <c r="B4876">
        <v>5</v>
      </c>
      <c r="C4876"/>
      <c r="D4876" t="s">
        <v>31</v>
      </c>
      <c r="E4876" t="s">
        <v>32</v>
      </c>
      <c r="F4876" t="s">
        <v>38</v>
      </c>
      <c r="G4876" s="118">
        <v>0.8215972222222222</v>
      </c>
      <c r="H4876" s="118">
        <v>3.4722222222222224E-4</v>
      </c>
      <c r="I4876" s="118">
        <v>1.2384259259259258E-3</v>
      </c>
      <c r="J4876" s="118">
        <v>5.0462962962962961E-3</v>
      </c>
      <c r="K4876" s="118">
        <v>5.0462962962962961E-3</v>
      </c>
    </row>
    <row r="4877" spans="1:11" x14ac:dyDescent="0.25">
      <c r="A4877">
        <v>4</v>
      </c>
      <c r="B4877">
        <v>17</v>
      </c>
      <c r="C4877"/>
      <c r="D4877" t="s">
        <v>31</v>
      </c>
      <c r="E4877" t="s">
        <v>35</v>
      </c>
      <c r="F4877" t="s">
        <v>55</v>
      </c>
      <c r="G4877" s="118">
        <v>0.82175925925925919</v>
      </c>
      <c r="H4877" s="118">
        <v>1.0069444444444444E-3</v>
      </c>
      <c r="I4877" s="118">
        <v>4.6296296296296293E-4</v>
      </c>
      <c r="J4877"/>
      <c r="K4877"/>
    </row>
    <row r="4878" spans="1:11" x14ac:dyDescent="0.25">
      <c r="A4878">
        <v>5</v>
      </c>
      <c r="B4878">
        <v>18</v>
      </c>
      <c r="C4878"/>
      <c r="D4878" t="s">
        <v>31</v>
      </c>
      <c r="E4878" t="s">
        <v>35</v>
      </c>
      <c r="F4878" t="s">
        <v>39</v>
      </c>
      <c r="G4878" s="118">
        <v>0.82186342592592598</v>
      </c>
      <c r="H4878" s="118">
        <v>9.3750000000000007E-4</v>
      </c>
      <c r="I4878" s="118">
        <v>5.2083333333333333E-4</v>
      </c>
      <c r="J4878"/>
      <c r="K4878"/>
    </row>
    <row r="4879" spans="1:11" x14ac:dyDescent="0.25">
      <c r="A4879">
        <v>9</v>
      </c>
      <c r="B4879">
        <v>4</v>
      </c>
      <c r="C4879"/>
      <c r="D4879" t="s">
        <v>31</v>
      </c>
      <c r="E4879" t="s">
        <v>35</v>
      </c>
      <c r="F4879" t="s">
        <v>50</v>
      </c>
      <c r="G4879" s="118">
        <v>0.82197916666666659</v>
      </c>
      <c r="H4879" s="118">
        <v>1.1458333333333333E-3</v>
      </c>
      <c r="I4879" s="118">
        <v>3.4722222222222224E-4</v>
      </c>
      <c r="J4879"/>
      <c r="K4879"/>
    </row>
    <row r="4880" spans="1:11" x14ac:dyDescent="0.25">
      <c r="A4880">
        <v>4</v>
      </c>
      <c r="B4880">
        <v>17</v>
      </c>
      <c r="C4880"/>
      <c r="D4880" t="s">
        <v>31</v>
      </c>
      <c r="E4880" t="s">
        <v>32</v>
      </c>
      <c r="F4880" t="s">
        <v>55</v>
      </c>
      <c r="G4880" s="118">
        <v>0.8222222222222223</v>
      </c>
      <c r="H4880" s="118">
        <v>4.6296296296296293E-4</v>
      </c>
      <c r="I4880" s="118">
        <v>4.3981481481481481E-4</v>
      </c>
      <c r="J4880" s="118">
        <v>5.0462962962962961E-3</v>
      </c>
      <c r="K4880" s="118">
        <v>5.0462962962962961E-3</v>
      </c>
    </row>
    <row r="4881" spans="1:11" x14ac:dyDescent="0.25">
      <c r="A4881">
        <v>9</v>
      </c>
      <c r="B4881">
        <v>4</v>
      </c>
      <c r="C4881"/>
      <c r="D4881" t="s">
        <v>31</v>
      </c>
      <c r="E4881" t="s">
        <v>32</v>
      </c>
      <c r="F4881" t="s">
        <v>50</v>
      </c>
      <c r="G4881" s="118">
        <v>0.82232638888888887</v>
      </c>
      <c r="H4881" s="118">
        <v>3.4722222222222224E-4</v>
      </c>
      <c r="I4881" s="118">
        <v>1.261574074074074E-3</v>
      </c>
      <c r="J4881" s="118">
        <v>5.0462962962962961E-3</v>
      </c>
      <c r="K4881" s="118">
        <v>5.0462962962962961E-3</v>
      </c>
    </row>
    <row r="4882" spans="1:11" x14ac:dyDescent="0.25">
      <c r="A4882">
        <v>2</v>
      </c>
      <c r="B4882">
        <v>17</v>
      </c>
      <c r="C4882"/>
      <c r="D4882" t="s">
        <v>31</v>
      </c>
      <c r="E4882" t="s">
        <v>35</v>
      </c>
      <c r="F4882" t="s">
        <v>48</v>
      </c>
      <c r="G4882" s="118">
        <v>0.82236111111111121</v>
      </c>
      <c r="H4882" s="118">
        <v>9.1435185185185185E-4</v>
      </c>
      <c r="I4882" s="118">
        <v>5.2083333333333333E-4</v>
      </c>
      <c r="J4882"/>
      <c r="K4882"/>
    </row>
    <row r="4883" spans="1:11" x14ac:dyDescent="0.25">
      <c r="A4883">
        <v>5</v>
      </c>
      <c r="B4883">
        <v>18</v>
      </c>
      <c r="C4883"/>
      <c r="D4883" t="s">
        <v>31</v>
      </c>
      <c r="E4883" t="s">
        <v>32</v>
      </c>
      <c r="F4883" t="s">
        <v>39</v>
      </c>
      <c r="G4883" s="118">
        <v>0.82238425925925929</v>
      </c>
      <c r="H4883" s="118">
        <v>5.2083333333333333E-4</v>
      </c>
      <c r="I4883" s="118">
        <v>1.8055555555555557E-3</v>
      </c>
      <c r="J4883" s="118">
        <v>5.0462962962962961E-3</v>
      </c>
      <c r="K4883" s="118">
        <v>5.0462962962962961E-3</v>
      </c>
    </row>
    <row r="4884" spans="1:11" x14ac:dyDescent="0.25">
      <c r="A4884">
        <v>1</v>
      </c>
      <c r="B4884">
        <v>17</v>
      </c>
      <c r="C4884"/>
      <c r="D4884" t="s">
        <v>31</v>
      </c>
      <c r="E4884" t="s">
        <v>35</v>
      </c>
      <c r="F4884" t="s">
        <v>47</v>
      </c>
      <c r="G4884" s="118">
        <v>0.8224421296296297</v>
      </c>
      <c r="H4884" s="118">
        <v>8.564814814814815E-4</v>
      </c>
      <c r="I4884" s="118">
        <v>5.2083333333333333E-4</v>
      </c>
      <c r="J4884"/>
      <c r="K4884"/>
    </row>
    <row r="4885" spans="1:11" x14ac:dyDescent="0.25">
      <c r="A4885">
        <v>3</v>
      </c>
      <c r="B4885">
        <v>17</v>
      </c>
      <c r="C4885"/>
      <c r="D4885" t="s">
        <v>31</v>
      </c>
      <c r="E4885" t="s">
        <v>35</v>
      </c>
      <c r="F4885" t="s">
        <v>33</v>
      </c>
      <c r="G4885" s="118">
        <v>0.82260416666666669</v>
      </c>
      <c r="H4885" s="118">
        <v>1.3541666666666667E-3</v>
      </c>
      <c r="I4885" s="118">
        <v>5.2083333333333333E-4</v>
      </c>
      <c r="J4885"/>
      <c r="K4885"/>
    </row>
    <row r="4886" spans="1:11" x14ac:dyDescent="0.25">
      <c r="A4886">
        <v>4</v>
      </c>
      <c r="B4886">
        <v>17</v>
      </c>
      <c r="C4886"/>
      <c r="D4886" t="s">
        <v>31</v>
      </c>
      <c r="E4886" t="s">
        <v>35</v>
      </c>
      <c r="F4886" t="s">
        <v>58</v>
      </c>
      <c r="G4886" s="118">
        <v>0.82266203703703711</v>
      </c>
      <c r="H4886" s="118">
        <v>4.3981481481481481E-4</v>
      </c>
      <c r="I4886" s="118">
        <v>5.7870370370370366E-5</v>
      </c>
      <c r="J4886"/>
      <c r="K4886"/>
    </row>
    <row r="4887" spans="1:11" x14ac:dyDescent="0.25">
      <c r="A4887">
        <v>4</v>
      </c>
      <c r="B4887">
        <v>17</v>
      </c>
      <c r="C4887"/>
      <c r="D4887" t="s">
        <v>31</v>
      </c>
      <c r="E4887" t="s">
        <v>32</v>
      </c>
      <c r="F4887" t="s">
        <v>58</v>
      </c>
      <c r="G4887" s="118">
        <v>0.8227199074074073</v>
      </c>
      <c r="H4887" s="118">
        <v>5.7870370370370366E-5</v>
      </c>
      <c r="I4887" s="118">
        <v>4.8611111111111104E-4</v>
      </c>
      <c r="J4887" s="118">
        <v>5.0462962962962961E-3</v>
      </c>
      <c r="K4887" s="118">
        <v>5.0462962962962961E-3</v>
      </c>
    </row>
    <row r="4888" spans="1:11" x14ac:dyDescent="0.25">
      <c r="A4888">
        <v>8</v>
      </c>
      <c r="B4888">
        <v>5</v>
      </c>
      <c r="C4888"/>
      <c r="D4888" t="s">
        <v>31</v>
      </c>
      <c r="E4888" t="s">
        <v>35</v>
      </c>
      <c r="F4888" t="s">
        <v>45</v>
      </c>
      <c r="G4888" s="118">
        <v>0.82283564814814814</v>
      </c>
      <c r="H4888" s="118">
        <v>1.2384259259259258E-3</v>
      </c>
      <c r="I4888" s="118">
        <v>3.4722222222222224E-4</v>
      </c>
      <c r="J4888"/>
      <c r="K4888"/>
    </row>
    <row r="4889" spans="1:11" x14ac:dyDescent="0.25">
      <c r="A4889">
        <v>2</v>
      </c>
      <c r="B4889">
        <v>17</v>
      </c>
      <c r="C4889"/>
      <c r="D4889" t="s">
        <v>31</v>
      </c>
      <c r="E4889" t="s">
        <v>32</v>
      </c>
      <c r="F4889" t="s">
        <v>48</v>
      </c>
      <c r="G4889" s="118">
        <v>0.82288194444444451</v>
      </c>
      <c r="H4889" s="118">
        <v>5.2083333333333333E-4</v>
      </c>
      <c r="I4889" s="118">
        <v>8.6805555555555551E-4</v>
      </c>
      <c r="J4889" s="118">
        <v>5.0462962962962961E-3</v>
      </c>
      <c r="K4889" s="118">
        <v>5.0462962962962961E-3</v>
      </c>
    </row>
    <row r="4890" spans="1:11" x14ac:dyDescent="0.25">
      <c r="A4890">
        <v>1</v>
      </c>
      <c r="B4890">
        <v>17</v>
      </c>
      <c r="C4890"/>
      <c r="D4890" t="s">
        <v>31</v>
      </c>
      <c r="E4890" t="s">
        <v>32</v>
      </c>
      <c r="F4890" t="s">
        <v>47</v>
      </c>
      <c r="G4890" s="118">
        <v>0.82296296296296301</v>
      </c>
      <c r="H4890" s="118">
        <v>5.2083333333333333E-4</v>
      </c>
      <c r="I4890" s="118">
        <v>8.7962962962962962E-4</v>
      </c>
      <c r="J4890" s="118">
        <v>5.0462962962962961E-3</v>
      </c>
      <c r="K4890" s="118">
        <v>7.0717592592592594E-3</v>
      </c>
    </row>
    <row r="4891" spans="1:11" x14ac:dyDescent="0.25">
      <c r="A4891">
        <v>3</v>
      </c>
      <c r="B4891">
        <v>17</v>
      </c>
      <c r="C4891"/>
      <c r="D4891" t="s">
        <v>31</v>
      </c>
      <c r="E4891" t="s">
        <v>32</v>
      </c>
      <c r="F4891" t="s">
        <v>33</v>
      </c>
      <c r="G4891" s="118">
        <v>0.823125</v>
      </c>
      <c r="H4891" s="118">
        <v>5.2083333333333333E-4</v>
      </c>
      <c r="I4891" s="118">
        <v>9.6064814814814808E-4</v>
      </c>
      <c r="J4891" s="118">
        <v>5.0462962962962961E-3</v>
      </c>
      <c r="K4891" s="118">
        <v>5.0462962962962961E-3</v>
      </c>
    </row>
    <row r="4892" spans="1:11" x14ac:dyDescent="0.25">
      <c r="A4892">
        <v>8</v>
      </c>
      <c r="B4892">
        <v>5</v>
      </c>
      <c r="C4892"/>
      <c r="D4892" t="s">
        <v>31</v>
      </c>
      <c r="E4892" t="s">
        <v>32</v>
      </c>
      <c r="F4892" t="s">
        <v>45</v>
      </c>
      <c r="G4892" s="118">
        <v>0.82318287037037041</v>
      </c>
      <c r="H4892" s="118">
        <v>3.4722222222222224E-4</v>
      </c>
      <c r="I4892" s="118">
        <v>1.0416666666666667E-3</v>
      </c>
      <c r="J4892" s="118">
        <v>5.0462962962962961E-3</v>
      </c>
      <c r="K4892" s="118">
        <v>5.0462962962962961E-3</v>
      </c>
    </row>
    <row r="4893" spans="1:11" x14ac:dyDescent="0.25">
      <c r="A4893">
        <v>4</v>
      </c>
      <c r="B4893">
        <v>17</v>
      </c>
      <c r="C4893"/>
      <c r="D4893" t="s">
        <v>31</v>
      </c>
      <c r="E4893" t="s">
        <v>35</v>
      </c>
      <c r="F4893" t="s">
        <v>40</v>
      </c>
      <c r="G4893" s="118">
        <v>0.82320601851851849</v>
      </c>
      <c r="H4893" s="118">
        <v>4.8611111111111104E-4</v>
      </c>
      <c r="I4893" s="118">
        <v>4.6296296296296293E-4</v>
      </c>
      <c r="J4893"/>
      <c r="K4893"/>
    </row>
    <row r="4894" spans="1:11" x14ac:dyDescent="0.25">
      <c r="A4894">
        <v>9</v>
      </c>
      <c r="B4894">
        <v>4</v>
      </c>
      <c r="C4894"/>
      <c r="D4894" t="s">
        <v>31</v>
      </c>
      <c r="E4894" t="s">
        <v>35</v>
      </c>
      <c r="F4894" t="s">
        <v>56</v>
      </c>
      <c r="G4894" s="118">
        <v>0.82358796296296299</v>
      </c>
      <c r="H4894" s="118">
        <v>1.261574074074074E-3</v>
      </c>
      <c r="I4894" s="118">
        <v>3.4722222222222224E-4</v>
      </c>
      <c r="J4894"/>
      <c r="K4894"/>
    </row>
    <row r="4895" spans="1:11" x14ac:dyDescent="0.25">
      <c r="A4895">
        <v>4</v>
      </c>
      <c r="B4895">
        <v>17</v>
      </c>
      <c r="C4895"/>
      <c r="D4895" t="s">
        <v>31</v>
      </c>
      <c r="E4895" t="s">
        <v>32</v>
      </c>
      <c r="F4895" t="s">
        <v>40</v>
      </c>
      <c r="G4895" s="118">
        <v>0.82366898148148149</v>
      </c>
      <c r="H4895" s="118">
        <v>4.6296296296296293E-4</v>
      </c>
      <c r="I4895" s="118">
        <v>1.0069444444444444E-3</v>
      </c>
      <c r="J4895" s="118">
        <v>5.0462962962962961E-3</v>
      </c>
      <c r="K4895" s="118">
        <v>5.0462962962962961E-3</v>
      </c>
    </row>
    <row r="4896" spans="1:11" x14ac:dyDescent="0.25">
      <c r="A4896">
        <v>2</v>
      </c>
      <c r="B4896">
        <v>17</v>
      </c>
      <c r="C4896"/>
      <c r="D4896" t="s">
        <v>31</v>
      </c>
      <c r="E4896" t="s">
        <v>35</v>
      </c>
      <c r="F4896" t="s">
        <v>54</v>
      </c>
      <c r="G4896" s="118">
        <v>0.82374999999999998</v>
      </c>
      <c r="H4896" s="118">
        <v>8.6805555555555551E-4</v>
      </c>
      <c r="I4896" s="118">
        <v>3.4722222222222224E-4</v>
      </c>
      <c r="J4896"/>
      <c r="K4896"/>
    </row>
    <row r="4897" spans="1:11" x14ac:dyDescent="0.25">
      <c r="A4897">
        <v>1</v>
      </c>
      <c r="B4897">
        <v>17</v>
      </c>
      <c r="C4897"/>
      <c r="D4897" t="s">
        <v>31</v>
      </c>
      <c r="E4897" t="s">
        <v>35</v>
      </c>
      <c r="F4897" t="s">
        <v>53</v>
      </c>
      <c r="G4897" s="118">
        <v>0.82384259259259263</v>
      </c>
      <c r="H4897" s="118">
        <v>8.7962962962962962E-4</v>
      </c>
      <c r="I4897" s="118">
        <v>3.4722222222222224E-4</v>
      </c>
      <c r="J4897"/>
      <c r="K4897"/>
    </row>
    <row r="4898" spans="1:11" x14ac:dyDescent="0.25">
      <c r="A4898">
        <v>9</v>
      </c>
      <c r="B4898">
        <v>4</v>
      </c>
      <c r="C4898"/>
      <c r="D4898" t="s">
        <v>31</v>
      </c>
      <c r="E4898" t="s">
        <v>32</v>
      </c>
      <c r="F4898" t="s">
        <v>56</v>
      </c>
      <c r="G4898" s="118">
        <v>0.82393518518518516</v>
      </c>
      <c r="H4898" s="118">
        <v>3.4722222222222224E-4</v>
      </c>
      <c r="I4898" s="118">
        <v>9.6064814814814808E-4</v>
      </c>
      <c r="J4898" s="118">
        <v>5.0462962962962961E-3</v>
      </c>
      <c r="K4898" s="118">
        <v>5.0462962962962961E-3</v>
      </c>
    </row>
    <row r="4899" spans="1:11" x14ac:dyDescent="0.25">
      <c r="A4899">
        <v>3</v>
      </c>
      <c r="B4899">
        <v>17</v>
      </c>
      <c r="C4899"/>
      <c r="D4899" t="s">
        <v>31</v>
      </c>
      <c r="E4899" t="s">
        <v>35</v>
      </c>
      <c r="F4899" t="s">
        <v>36</v>
      </c>
      <c r="G4899" s="118">
        <v>0.82408564814814811</v>
      </c>
      <c r="H4899" s="118">
        <v>9.6064814814814808E-4</v>
      </c>
      <c r="I4899" s="118">
        <v>3.4722222222222224E-4</v>
      </c>
      <c r="J4899"/>
      <c r="K4899"/>
    </row>
    <row r="4900" spans="1:11" x14ac:dyDescent="0.25">
      <c r="A4900">
        <v>2</v>
      </c>
      <c r="B4900">
        <v>17</v>
      </c>
      <c r="C4900"/>
      <c r="D4900" t="s">
        <v>31</v>
      </c>
      <c r="E4900" t="s">
        <v>32</v>
      </c>
      <c r="F4900" t="s">
        <v>54</v>
      </c>
      <c r="G4900" s="118">
        <v>0.82409722222222215</v>
      </c>
      <c r="H4900" s="118">
        <v>3.4722222222222224E-4</v>
      </c>
      <c r="I4900" s="118">
        <v>1.1921296296296296E-3</v>
      </c>
      <c r="J4900" s="118">
        <v>5.0462962962962961E-3</v>
      </c>
      <c r="K4900" s="118">
        <v>5.0462962962962961E-3</v>
      </c>
    </row>
    <row r="4901" spans="1:11" x14ac:dyDescent="0.25">
      <c r="A4901">
        <v>1</v>
      </c>
      <c r="B4901">
        <v>17</v>
      </c>
      <c r="C4901"/>
      <c r="D4901" t="s">
        <v>31</v>
      </c>
      <c r="E4901" t="s">
        <v>32</v>
      </c>
      <c r="F4901" t="s">
        <v>53</v>
      </c>
      <c r="G4901" s="118">
        <v>0.82418981481481479</v>
      </c>
      <c r="H4901" s="118">
        <v>3.4722222222222224E-4</v>
      </c>
      <c r="I4901" s="118">
        <v>8.449074074074075E-4</v>
      </c>
      <c r="J4901" s="118">
        <v>5.0462962962962961E-3</v>
      </c>
      <c r="K4901" s="118">
        <v>7.0717592592592594E-3</v>
      </c>
    </row>
    <row r="4902" spans="1:11" x14ac:dyDescent="0.25">
      <c r="A4902">
        <v>5</v>
      </c>
      <c r="B4902">
        <v>18</v>
      </c>
      <c r="C4902"/>
      <c r="D4902" t="s">
        <v>31</v>
      </c>
      <c r="E4902" t="s">
        <v>35</v>
      </c>
      <c r="F4902" t="s">
        <v>46</v>
      </c>
      <c r="G4902" s="118">
        <v>0.82418981481481479</v>
      </c>
      <c r="H4902" s="118">
        <v>1.8055555555555557E-3</v>
      </c>
      <c r="I4902" s="118">
        <v>3.4722222222222224E-4</v>
      </c>
      <c r="J4902"/>
      <c r="K4902"/>
    </row>
    <row r="4903" spans="1:11" x14ac:dyDescent="0.25">
      <c r="A4903">
        <v>8</v>
      </c>
      <c r="B4903">
        <v>5</v>
      </c>
      <c r="C4903"/>
      <c r="D4903" t="s">
        <v>31</v>
      </c>
      <c r="E4903" t="s">
        <v>35</v>
      </c>
      <c r="F4903" t="s">
        <v>52</v>
      </c>
      <c r="G4903" s="118">
        <v>0.82422453703703702</v>
      </c>
      <c r="H4903" s="118">
        <v>1.0416666666666667E-3</v>
      </c>
      <c r="I4903" s="118">
        <v>3.4722222222222224E-4</v>
      </c>
      <c r="J4903"/>
      <c r="K4903"/>
    </row>
    <row r="4904" spans="1:11" x14ac:dyDescent="0.25">
      <c r="A4904">
        <v>3</v>
      </c>
      <c r="B4904">
        <v>17</v>
      </c>
      <c r="C4904"/>
      <c r="D4904" t="s">
        <v>31</v>
      </c>
      <c r="E4904" t="s">
        <v>32</v>
      </c>
      <c r="F4904" t="s">
        <v>36</v>
      </c>
      <c r="G4904" s="118">
        <v>0.82443287037037039</v>
      </c>
      <c r="H4904" s="118">
        <v>3.4722222222222224E-4</v>
      </c>
      <c r="I4904" s="118">
        <v>1.0995370370370371E-3</v>
      </c>
      <c r="J4904" s="118">
        <v>5.0462962962962961E-3</v>
      </c>
      <c r="K4904" s="118">
        <v>5.0462962962962961E-3</v>
      </c>
    </row>
    <row r="4905" spans="1:11" x14ac:dyDescent="0.25">
      <c r="A4905">
        <v>5</v>
      </c>
      <c r="B4905">
        <v>18</v>
      </c>
      <c r="C4905"/>
      <c r="D4905" t="s">
        <v>31</v>
      </c>
      <c r="E4905" t="s">
        <v>32</v>
      </c>
      <c r="F4905" t="s">
        <v>46</v>
      </c>
      <c r="G4905" s="118">
        <v>0.82453703703703696</v>
      </c>
      <c r="H4905" s="118">
        <v>3.4722222222222224E-4</v>
      </c>
      <c r="I4905" s="118">
        <v>9.1435185185185185E-4</v>
      </c>
      <c r="J4905" s="118">
        <v>5.0462962962962961E-3</v>
      </c>
      <c r="K4905" s="118">
        <v>5.0462962962962961E-3</v>
      </c>
    </row>
    <row r="4906" spans="1:11" x14ac:dyDescent="0.25">
      <c r="A4906">
        <v>8</v>
      </c>
      <c r="B4906">
        <v>5</v>
      </c>
      <c r="C4906"/>
      <c r="D4906" t="s">
        <v>31</v>
      </c>
      <c r="E4906" t="s">
        <v>32</v>
      </c>
      <c r="F4906" t="s">
        <v>52</v>
      </c>
      <c r="G4906" s="118">
        <v>0.8245717592592593</v>
      </c>
      <c r="H4906" s="118">
        <v>3.4722222222222224E-4</v>
      </c>
      <c r="I4906" s="118">
        <v>1.0532407407407407E-3</v>
      </c>
      <c r="J4906" s="118">
        <v>5.0462962962962961E-3</v>
      </c>
      <c r="K4906" s="118">
        <v>5.0462962962962961E-3</v>
      </c>
    </row>
    <row r="4907" spans="1:11" x14ac:dyDescent="0.25">
      <c r="A4907">
        <v>4</v>
      </c>
      <c r="B4907">
        <v>17</v>
      </c>
      <c r="C4907"/>
      <c r="D4907" t="s">
        <v>31</v>
      </c>
      <c r="E4907" t="s">
        <v>35</v>
      </c>
      <c r="F4907" t="s">
        <v>44</v>
      </c>
      <c r="G4907" s="118">
        <v>0.82467592592592587</v>
      </c>
      <c r="H4907" s="118">
        <v>1.0069444444444444E-3</v>
      </c>
      <c r="I4907" s="118">
        <v>3.4722222222222224E-4</v>
      </c>
      <c r="J4907"/>
      <c r="K4907"/>
    </row>
    <row r="4908" spans="1:11" x14ac:dyDescent="0.25">
      <c r="A4908">
        <v>9</v>
      </c>
      <c r="B4908">
        <v>4</v>
      </c>
      <c r="C4908"/>
      <c r="D4908" t="s">
        <v>31</v>
      </c>
      <c r="E4908" t="s">
        <v>35</v>
      </c>
      <c r="F4908" t="s">
        <v>37</v>
      </c>
      <c r="G4908" s="118">
        <v>0.82489583333333327</v>
      </c>
      <c r="H4908" s="118">
        <v>9.6064814814814808E-4</v>
      </c>
      <c r="I4908" s="118">
        <v>3.4722222222222224E-4</v>
      </c>
      <c r="J4908"/>
      <c r="K4908"/>
    </row>
    <row r="4909" spans="1:11" x14ac:dyDescent="0.25">
      <c r="A4909">
        <v>4</v>
      </c>
      <c r="B4909">
        <v>17</v>
      </c>
      <c r="C4909"/>
      <c r="D4909" t="s">
        <v>31</v>
      </c>
      <c r="E4909" t="s">
        <v>32</v>
      </c>
      <c r="F4909" t="s">
        <v>44</v>
      </c>
      <c r="G4909" s="118">
        <v>0.82502314814814814</v>
      </c>
      <c r="H4909" s="118">
        <v>3.4722222222222224E-4</v>
      </c>
      <c r="I4909" s="118">
        <v>9.2592592592592585E-4</v>
      </c>
      <c r="J4909" s="118">
        <v>5.0462962962962961E-3</v>
      </c>
      <c r="K4909" s="118">
        <v>5.0462962962962961E-3</v>
      </c>
    </row>
    <row r="4910" spans="1:11" x14ac:dyDescent="0.25">
      <c r="A4910">
        <v>1</v>
      </c>
      <c r="B4910">
        <v>17</v>
      </c>
      <c r="C4910"/>
      <c r="D4910" t="s">
        <v>31</v>
      </c>
      <c r="E4910" t="s">
        <v>35</v>
      </c>
      <c r="F4910" t="s">
        <v>34</v>
      </c>
      <c r="G4910" s="118">
        <v>0.82503472222222218</v>
      </c>
      <c r="H4910" s="118">
        <v>8.449074074074075E-4</v>
      </c>
      <c r="I4910" s="118">
        <v>3.4722222222222224E-4</v>
      </c>
      <c r="J4910"/>
      <c r="K4910"/>
    </row>
    <row r="4911" spans="1:11" x14ac:dyDescent="0.25">
      <c r="A4911">
        <v>9</v>
      </c>
      <c r="B4911">
        <v>4</v>
      </c>
      <c r="C4911"/>
      <c r="D4911" t="s">
        <v>31</v>
      </c>
      <c r="E4911" t="s">
        <v>32</v>
      </c>
      <c r="F4911" t="s">
        <v>37</v>
      </c>
      <c r="G4911" s="118">
        <v>0.82524305555555555</v>
      </c>
      <c r="H4911" s="118">
        <v>3.4722222222222224E-4</v>
      </c>
      <c r="I4911" s="118">
        <v>9.0277777777777784E-4</v>
      </c>
      <c r="J4911" s="118">
        <v>5.0462962962962961E-3</v>
      </c>
      <c r="K4911" s="118">
        <v>5.0462962962962961E-3</v>
      </c>
    </row>
    <row r="4912" spans="1:11" x14ac:dyDescent="0.25">
      <c r="A4912">
        <v>2</v>
      </c>
      <c r="B4912">
        <v>17</v>
      </c>
      <c r="C4912"/>
      <c r="D4912" t="s">
        <v>31</v>
      </c>
      <c r="E4912" t="s">
        <v>35</v>
      </c>
      <c r="F4912" t="s">
        <v>92</v>
      </c>
      <c r="G4912" s="118">
        <v>0.82528935185185182</v>
      </c>
      <c r="H4912" s="118">
        <v>1.1921296296296296E-3</v>
      </c>
      <c r="I4912" s="118">
        <v>2.0138888888888888E-3</v>
      </c>
      <c r="J4912"/>
      <c r="K4912"/>
    </row>
    <row r="4913" spans="1:11" x14ac:dyDescent="0.25">
      <c r="A4913">
        <v>1</v>
      </c>
      <c r="B4913">
        <v>17</v>
      </c>
      <c r="C4913"/>
      <c r="D4913" t="s">
        <v>31</v>
      </c>
      <c r="E4913" t="s">
        <v>32</v>
      </c>
      <c r="F4913" t="s">
        <v>34</v>
      </c>
      <c r="G4913" s="118">
        <v>0.82538194444444446</v>
      </c>
      <c r="H4913" s="118">
        <v>3.4722222222222224E-4</v>
      </c>
      <c r="I4913" s="118">
        <v>9.1435185185185185E-4</v>
      </c>
      <c r="J4913" s="118">
        <v>5.0462962962962961E-3</v>
      </c>
      <c r="K4913" s="118">
        <v>7.0717592592592594E-3</v>
      </c>
    </row>
    <row r="4914" spans="1:11" x14ac:dyDescent="0.25">
      <c r="A4914">
        <v>5</v>
      </c>
      <c r="B4914">
        <v>18</v>
      </c>
      <c r="C4914"/>
      <c r="D4914" t="s">
        <v>31</v>
      </c>
      <c r="E4914" t="s">
        <v>35</v>
      </c>
      <c r="F4914" t="s">
        <v>51</v>
      </c>
      <c r="G4914" s="118">
        <v>0.82545138888888892</v>
      </c>
      <c r="H4914" s="118">
        <v>9.1435185185185185E-4</v>
      </c>
      <c r="I4914" s="118">
        <v>3.4722222222222224E-4</v>
      </c>
      <c r="J4914"/>
      <c r="K4914"/>
    </row>
    <row r="4915" spans="1:11" x14ac:dyDescent="0.25">
      <c r="A4915">
        <v>3</v>
      </c>
      <c r="B4915">
        <v>17</v>
      </c>
      <c r="C4915"/>
      <c r="D4915" t="s">
        <v>31</v>
      </c>
      <c r="E4915" t="s">
        <v>35</v>
      </c>
      <c r="F4915" t="s">
        <v>43</v>
      </c>
      <c r="G4915" s="118">
        <v>0.82553240740740741</v>
      </c>
      <c r="H4915" s="118">
        <v>1.0995370370370371E-3</v>
      </c>
      <c r="I4915" s="118">
        <v>3.4722222222222224E-4</v>
      </c>
      <c r="J4915"/>
      <c r="K4915"/>
    </row>
    <row r="4916" spans="1:11" x14ac:dyDescent="0.25">
      <c r="A4916">
        <v>8</v>
      </c>
      <c r="B4916">
        <v>5</v>
      </c>
      <c r="C4916"/>
      <c r="D4916" t="s">
        <v>31</v>
      </c>
      <c r="E4916" t="s">
        <v>35</v>
      </c>
      <c r="F4916" t="s">
        <v>57</v>
      </c>
      <c r="G4916" s="118">
        <v>0.82562500000000005</v>
      </c>
      <c r="H4916" s="118">
        <v>1.0532407407407407E-3</v>
      </c>
      <c r="I4916" s="118">
        <v>3.4722222222222224E-4</v>
      </c>
      <c r="J4916"/>
      <c r="K4916"/>
    </row>
    <row r="4917" spans="1:11" x14ac:dyDescent="0.25">
      <c r="A4917">
        <v>5</v>
      </c>
      <c r="B4917">
        <v>18</v>
      </c>
      <c r="C4917"/>
      <c r="D4917" t="s">
        <v>31</v>
      </c>
      <c r="E4917" t="s">
        <v>32</v>
      </c>
      <c r="F4917" t="s">
        <v>51</v>
      </c>
      <c r="G4917" s="118">
        <v>0.82579861111111119</v>
      </c>
      <c r="H4917" s="118">
        <v>3.4722222222222224E-4</v>
      </c>
      <c r="I4917" s="118">
        <v>1.0069444444444444E-3</v>
      </c>
      <c r="J4917" s="118">
        <v>5.0462962962962961E-3</v>
      </c>
      <c r="K4917" s="118">
        <v>5.0462962962962961E-3</v>
      </c>
    </row>
    <row r="4918" spans="1:11" x14ac:dyDescent="0.25">
      <c r="A4918">
        <v>3</v>
      </c>
      <c r="B4918">
        <v>17</v>
      </c>
      <c r="C4918"/>
      <c r="D4918" t="s">
        <v>31</v>
      </c>
      <c r="E4918" t="s">
        <v>32</v>
      </c>
      <c r="F4918" t="s">
        <v>43</v>
      </c>
      <c r="G4918" s="118">
        <v>0.82587962962962969</v>
      </c>
      <c r="H4918" s="118">
        <v>3.4722222222222224E-4</v>
      </c>
      <c r="I4918" s="118">
        <v>1.1458333333333333E-3</v>
      </c>
      <c r="J4918" s="118">
        <v>5.0462962962962961E-3</v>
      </c>
      <c r="K4918" s="118">
        <v>5.0462962962962961E-3</v>
      </c>
    </row>
    <row r="4919" spans="1:11" x14ac:dyDescent="0.25">
      <c r="A4919">
        <v>4</v>
      </c>
      <c r="B4919">
        <v>17</v>
      </c>
      <c r="C4919"/>
      <c r="D4919" t="s">
        <v>31</v>
      </c>
      <c r="E4919" t="s">
        <v>35</v>
      </c>
      <c r="F4919" t="s">
        <v>49</v>
      </c>
      <c r="G4919" s="118">
        <v>0.82594907407407403</v>
      </c>
      <c r="H4919" s="118">
        <v>9.2592592592592585E-4</v>
      </c>
      <c r="I4919" s="118">
        <v>3.4722222222222224E-4</v>
      </c>
      <c r="J4919"/>
      <c r="K4919"/>
    </row>
    <row r="4920" spans="1:11" x14ac:dyDescent="0.25">
      <c r="A4920">
        <v>8</v>
      </c>
      <c r="B4920">
        <v>5</v>
      </c>
      <c r="C4920"/>
      <c r="D4920" t="s">
        <v>31</v>
      </c>
      <c r="E4920" t="s">
        <v>32</v>
      </c>
      <c r="F4920" t="s">
        <v>57</v>
      </c>
      <c r="G4920" s="118">
        <v>0.82597222222222222</v>
      </c>
      <c r="H4920" s="118">
        <v>3.4722222222222224E-4</v>
      </c>
      <c r="I4920" s="118">
        <v>9.3750000000000007E-4</v>
      </c>
      <c r="J4920" s="118">
        <v>5.0462962962962961E-3</v>
      </c>
      <c r="K4920" s="118">
        <v>5.0462962962962961E-3</v>
      </c>
    </row>
    <row r="4921" spans="1:11" x14ac:dyDescent="0.25">
      <c r="A4921">
        <v>9</v>
      </c>
      <c r="B4921">
        <v>4</v>
      </c>
      <c r="C4921"/>
      <c r="D4921" t="s">
        <v>31</v>
      </c>
      <c r="E4921" t="s">
        <v>35</v>
      </c>
      <c r="F4921" t="s">
        <v>42</v>
      </c>
      <c r="G4921" s="118">
        <v>0.82614583333333336</v>
      </c>
      <c r="H4921" s="118">
        <v>9.0277777777777784E-4</v>
      </c>
      <c r="I4921" s="118">
        <v>3.4722222222222224E-4</v>
      </c>
      <c r="J4921"/>
      <c r="K4921"/>
    </row>
    <row r="4922" spans="1:11" x14ac:dyDescent="0.25">
      <c r="A4922">
        <v>1</v>
      </c>
      <c r="B4922">
        <v>17</v>
      </c>
      <c r="C4922"/>
      <c r="D4922" t="s">
        <v>31</v>
      </c>
      <c r="E4922" t="s">
        <v>35</v>
      </c>
      <c r="F4922" t="s">
        <v>38</v>
      </c>
      <c r="G4922" s="118">
        <v>0.8262962962962962</v>
      </c>
      <c r="H4922" s="118">
        <v>9.1435185185185185E-4</v>
      </c>
      <c r="I4922" s="118">
        <v>3.4722222222222224E-4</v>
      </c>
      <c r="J4922"/>
      <c r="K4922"/>
    </row>
    <row r="4923" spans="1:11" x14ac:dyDescent="0.25">
      <c r="A4923">
        <v>4</v>
      </c>
      <c r="B4923">
        <v>17</v>
      </c>
      <c r="C4923"/>
      <c r="D4923" t="s">
        <v>31</v>
      </c>
      <c r="E4923" t="s">
        <v>32</v>
      </c>
      <c r="F4923" t="s">
        <v>49</v>
      </c>
      <c r="G4923" s="118">
        <v>0.8262962962962962</v>
      </c>
      <c r="H4923" s="118">
        <v>3.4722222222222224E-4</v>
      </c>
      <c r="I4923" s="118">
        <v>1.3541666666666667E-3</v>
      </c>
      <c r="J4923" s="118">
        <v>5.0462962962962961E-3</v>
      </c>
      <c r="K4923" s="118">
        <v>5.0462962962962961E-3</v>
      </c>
    </row>
    <row r="4924" spans="1:11" x14ac:dyDescent="0.25">
      <c r="A4924">
        <v>9</v>
      </c>
      <c r="B4924">
        <v>4</v>
      </c>
      <c r="C4924"/>
      <c r="D4924" t="s">
        <v>31</v>
      </c>
      <c r="E4924" t="s">
        <v>32</v>
      </c>
      <c r="F4924" t="s">
        <v>42</v>
      </c>
      <c r="G4924" s="118">
        <v>0.82649305555555552</v>
      </c>
      <c r="H4924" s="118">
        <v>3.4722222222222224E-4</v>
      </c>
      <c r="I4924" s="118">
        <v>9.1435185185185185E-4</v>
      </c>
      <c r="J4924" s="118">
        <v>5.0462962962962961E-3</v>
      </c>
      <c r="K4924" s="118">
        <v>5.0462962962962961E-3</v>
      </c>
    </row>
    <row r="4925" spans="1:11" x14ac:dyDescent="0.25">
      <c r="A4925">
        <v>1</v>
      </c>
      <c r="B4925">
        <v>17</v>
      </c>
      <c r="C4925"/>
      <c r="D4925" t="s">
        <v>31</v>
      </c>
      <c r="E4925" t="s">
        <v>32</v>
      </c>
      <c r="F4925" t="s">
        <v>38</v>
      </c>
      <c r="G4925" s="118">
        <v>0.82664351851851858</v>
      </c>
      <c r="H4925" s="118">
        <v>3.4722222222222224E-4</v>
      </c>
      <c r="I4925" s="118">
        <v>1.2384259259259258E-3</v>
      </c>
      <c r="J4925" s="118">
        <v>5.0462962962962961E-3</v>
      </c>
      <c r="K4925" s="118">
        <v>7.0717592592592594E-3</v>
      </c>
    </row>
    <row r="4926" spans="1:11" x14ac:dyDescent="0.25">
      <c r="A4926">
        <v>5</v>
      </c>
      <c r="B4926">
        <v>18</v>
      </c>
      <c r="C4926"/>
      <c r="D4926" t="s">
        <v>31</v>
      </c>
      <c r="E4926" t="s">
        <v>35</v>
      </c>
      <c r="F4926" t="s">
        <v>55</v>
      </c>
      <c r="G4926" s="118">
        <v>0.82680555555555557</v>
      </c>
      <c r="H4926" s="118">
        <v>1.0069444444444444E-3</v>
      </c>
      <c r="I4926" s="118">
        <v>4.6296296296296293E-4</v>
      </c>
      <c r="J4926"/>
      <c r="K4926"/>
    </row>
    <row r="4927" spans="1:11" x14ac:dyDescent="0.25">
      <c r="A4927">
        <v>8</v>
      </c>
      <c r="B4927">
        <v>5</v>
      </c>
      <c r="C4927"/>
      <c r="D4927" t="s">
        <v>31</v>
      </c>
      <c r="E4927" t="s">
        <v>35</v>
      </c>
      <c r="F4927" t="s">
        <v>39</v>
      </c>
      <c r="G4927" s="118">
        <v>0.82690972222222225</v>
      </c>
      <c r="H4927" s="118">
        <v>9.3750000000000007E-4</v>
      </c>
      <c r="I4927" s="118">
        <v>5.2083333333333333E-4</v>
      </c>
      <c r="J4927"/>
      <c r="K4927"/>
    </row>
    <row r="4928" spans="1:11" x14ac:dyDescent="0.25">
      <c r="A4928">
        <v>3</v>
      </c>
      <c r="B4928">
        <v>17</v>
      </c>
      <c r="C4928"/>
      <c r="D4928" t="s">
        <v>31</v>
      </c>
      <c r="E4928" t="s">
        <v>35</v>
      </c>
      <c r="F4928" t="s">
        <v>50</v>
      </c>
      <c r="G4928" s="118">
        <v>0.82702546296296298</v>
      </c>
      <c r="H4928" s="118">
        <v>1.1458333333333333E-3</v>
      </c>
      <c r="I4928" s="118">
        <v>3.4722222222222224E-4</v>
      </c>
      <c r="J4928"/>
      <c r="K4928"/>
    </row>
    <row r="4929" spans="1:11" x14ac:dyDescent="0.25">
      <c r="A4929">
        <v>5</v>
      </c>
      <c r="B4929">
        <v>18</v>
      </c>
      <c r="C4929"/>
      <c r="D4929" t="s">
        <v>31</v>
      </c>
      <c r="E4929" t="s">
        <v>32</v>
      </c>
      <c r="F4929" t="s">
        <v>55</v>
      </c>
      <c r="G4929" s="118">
        <v>0.82726851851851846</v>
      </c>
      <c r="H4929" s="118">
        <v>4.6296296296296293E-4</v>
      </c>
      <c r="I4929" s="118">
        <v>4.3981481481481481E-4</v>
      </c>
      <c r="J4929" s="118">
        <v>5.0462962962962961E-3</v>
      </c>
      <c r="K4929" s="118">
        <v>5.0462962962962961E-3</v>
      </c>
    </row>
    <row r="4930" spans="1:11" x14ac:dyDescent="0.25">
      <c r="A4930">
        <v>2</v>
      </c>
      <c r="B4930">
        <v>18</v>
      </c>
      <c r="C4930"/>
      <c r="D4930" t="s">
        <v>31</v>
      </c>
      <c r="E4930" t="s">
        <v>32</v>
      </c>
      <c r="F4930" t="s">
        <v>92</v>
      </c>
      <c r="G4930" s="118">
        <v>0.8273032407407408</v>
      </c>
      <c r="H4930" s="118">
        <v>2.0138888888888888E-3</v>
      </c>
      <c r="I4930" s="118">
        <v>1.0069444444444444E-3</v>
      </c>
      <c r="J4930" s="118">
        <v>7.0717592592592594E-3</v>
      </c>
      <c r="K4930" s="118">
        <v>7.0717592592592594E-3</v>
      </c>
    </row>
    <row r="4931" spans="1:11" x14ac:dyDescent="0.25">
      <c r="A4931">
        <v>3</v>
      </c>
      <c r="B4931">
        <v>17</v>
      </c>
      <c r="C4931"/>
      <c r="D4931" t="s">
        <v>31</v>
      </c>
      <c r="E4931" t="s">
        <v>32</v>
      </c>
      <c r="F4931" t="s">
        <v>50</v>
      </c>
      <c r="G4931" s="118">
        <v>0.82737268518518514</v>
      </c>
      <c r="H4931" s="118">
        <v>3.4722222222222224E-4</v>
      </c>
      <c r="I4931" s="118">
        <v>1.261574074074074E-3</v>
      </c>
      <c r="J4931" s="118">
        <v>5.0462962962962961E-3</v>
      </c>
      <c r="K4931" s="118">
        <v>5.0462962962962961E-3</v>
      </c>
    </row>
    <row r="4932" spans="1:11" x14ac:dyDescent="0.25">
      <c r="A4932">
        <v>9</v>
      </c>
      <c r="B4932">
        <v>4</v>
      </c>
      <c r="C4932"/>
      <c r="D4932" t="s">
        <v>31</v>
      </c>
      <c r="E4932" t="s">
        <v>35</v>
      </c>
      <c r="F4932" t="s">
        <v>48</v>
      </c>
      <c r="G4932" s="118">
        <v>0.82740740740740737</v>
      </c>
      <c r="H4932" s="118">
        <v>9.1435185185185185E-4</v>
      </c>
      <c r="I4932" s="118">
        <v>5.2083333333333333E-4</v>
      </c>
      <c r="J4932"/>
      <c r="K4932"/>
    </row>
    <row r="4933" spans="1:11" x14ac:dyDescent="0.25">
      <c r="A4933">
        <v>8</v>
      </c>
      <c r="B4933">
        <v>5</v>
      </c>
      <c r="C4933"/>
      <c r="D4933" t="s">
        <v>31</v>
      </c>
      <c r="E4933" t="s">
        <v>32</v>
      </c>
      <c r="F4933" t="s">
        <v>39</v>
      </c>
      <c r="G4933" s="118">
        <v>0.82743055555555556</v>
      </c>
      <c r="H4933" s="118">
        <v>5.2083333333333333E-4</v>
      </c>
      <c r="I4933" s="118">
        <v>1.8055555555555557E-3</v>
      </c>
      <c r="J4933" s="118">
        <v>5.0462962962962961E-3</v>
      </c>
      <c r="K4933" s="118">
        <v>5.0462962962962961E-3</v>
      </c>
    </row>
    <row r="4934" spans="1:11" x14ac:dyDescent="0.25">
      <c r="A4934">
        <v>4</v>
      </c>
      <c r="B4934">
        <v>17</v>
      </c>
      <c r="C4934"/>
      <c r="D4934" t="s">
        <v>31</v>
      </c>
      <c r="E4934" t="s">
        <v>35</v>
      </c>
      <c r="F4934" t="s">
        <v>33</v>
      </c>
      <c r="G4934" s="118">
        <v>0.82765046296296296</v>
      </c>
      <c r="H4934" s="118">
        <v>1.3541666666666667E-3</v>
      </c>
      <c r="I4934" s="118">
        <v>5.2083333333333333E-4</v>
      </c>
      <c r="J4934"/>
      <c r="K4934"/>
    </row>
    <row r="4935" spans="1:11" x14ac:dyDescent="0.25">
      <c r="A4935">
        <v>5</v>
      </c>
      <c r="B4935">
        <v>18</v>
      </c>
      <c r="C4935"/>
      <c r="D4935" t="s">
        <v>31</v>
      </c>
      <c r="E4935" t="s">
        <v>35</v>
      </c>
      <c r="F4935" t="s">
        <v>58</v>
      </c>
      <c r="G4935" s="118">
        <v>0.82770833333333327</v>
      </c>
      <c r="H4935" s="118">
        <v>4.3981481481481481E-4</v>
      </c>
      <c r="I4935" s="118">
        <v>5.7870370370370366E-5</v>
      </c>
      <c r="J4935"/>
      <c r="K4935"/>
    </row>
    <row r="4936" spans="1:11" x14ac:dyDescent="0.25">
      <c r="A4936">
        <v>5</v>
      </c>
      <c r="B4936">
        <v>18</v>
      </c>
      <c r="C4936"/>
      <c r="D4936" t="s">
        <v>31</v>
      </c>
      <c r="E4936" t="s">
        <v>32</v>
      </c>
      <c r="F4936" t="s">
        <v>58</v>
      </c>
      <c r="G4936" s="118">
        <v>0.82776620370370368</v>
      </c>
      <c r="H4936" s="118">
        <v>5.7870370370370366E-5</v>
      </c>
      <c r="I4936" s="118">
        <v>4.8611111111111104E-4</v>
      </c>
      <c r="J4936" s="118">
        <v>5.0462962962962961E-3</v>
      </c>
      <c r="K4936" s="118">
        <v>5.0462962962962961E-3</v>
      </c>
    </row>
    <row r="4937" spans="1:11" x14ac:dyDescent="0.25">
      <c r="A4937">
        <v>1</v>
      </c>
      <c r="B4937">
        <v>17</v>
      </c>
      <c r="C4937"/>
      <c r="D4937" t="s">
        <v>31</v>
      </c>
      <c r="E4937" t="s">
        <v>35</v>
      </c>
      <c r="F4937" t="s">
        <v>45</v>
      </c>
      <c r="G4937" s="118">
        <v>0.82788194444444441</v>
      </c>
      <c r="H4937" s="118">
        <v>1.2384259259259258E-3</v>
      </c>
      <c r="I4937" s="118">
        <v>3.4722222222222224E-4</v>
      </c>
      <c r="J4937"/>
      <c r="K4937"/>
    </row>
    <row r="4938" spans="1:11" x14ac:dyDescent="0.25">
      <c r="A4938">
        <v>9</v>
      </c>
      <c r="B4938">
        <v>4</v>
      </c>
      <c r="C4938"/>
      <c r="D4938" t="s">
        <v>31</v>
      </c>
      <c r="E4938" t="s">
        <v>32</v>
      </c>
      <c r="F4938" t="s">
        <v>48</v>
      </c>
      <c r="G4938" s="118">
        <v>0.82792824074074067</v>
      </c>
      <c r="H4938" s="118">
        <v>5.2083333333333333E-4</v>
      </c>
      <c r="I4938" s="118">
        <v>8.6805555555555551E-4</v>
      </c>
      <c r="J4938" s="118">
        <v>5.0462962962962961E-3</v>
      </c>
      <c r="K4938" s="118">
        <v>5.0462962962962961E-3</v>
      </c>
    </row>
    <row r="4939" spans="1:11" x14ac:dyDescent="0.25">
      <c r="A4939">
        <v>4</v>
      </c>
      <c r="B4939">
        <v>17</v>
      </c>
      <c r="C4939"/>
      <c r="D4939" t="s">
        <v>31</v>
      </c>
      <c r="E4939" t="s">
        <v>32</v>
      </c>
      <c r="F4939" t="s">
        <v>33</v>
      </c>
      <c r="G4939" s="118">
        <v>0.82817129629629627</v>
      </c>
      <c r="H4939" s="118">
        <v>5.2083333333333333E-4</v>
      </c>
      <c r="I4939" s="118">
        <v>9.6064814814814808E-4</v>
      </c>
      <c r="J4939" s="118">
        <v>5.0462962962962961E-3</v>
      </c>
      <c r="K4939" s="118">
        <v>5.0462962962962961E-3</v>
      </c>
    </row>
    <row r="4940" spans="1:11" x14ac:dyDescent="0.25">
      <c r="A4940">
        <v>1</v>
      </c>
      <c r="B4940">
        <v>17</v>
      </c>
      <c r="C4940"/>
      <c r="D4940" t="s">
        <v>31</v>
      </c>
      <c r="E4940" t="s">
        <v>32</v>
      </c>
      <c r="F4940" t="s">
        <v>45</v>
      </c>
      <c r="G4940" s="118">
        <v>0.82822916666666668</v>
      </c>
      <c r="H4940" s="118">
        <v>3.4722222222222224E-4</v>
      </c>
      <c r="I4940" s="118">
        <v>1.0416666666666667E-3</v>
      </c>
      <c r="J4940" s="118">
        <v>5.0462962962962961E-3</v>
      </c>
      <c r="K4940" s="118">
        <v>7.0717592592592594E-3</v>
      </c>
    </row>
    <row r="4941" spans="1:11" x14ac:dyDescent="0.25">
      <c r="A4941">
        <v>5</v>
      </c>
      <c r="B4941">
        <v>18</v>
      </c>
      <c r="C4941"/>
      <c r="D4941" t="s">
        <v>31</v>
      </c>
      <c r="E4941" t="s">
        <v>35</v>
      </c>
      <c r="F4941" t="s">
        <v>40</v>
      </c>
      <c r="G4941" s="118">
        <v>0.82825231481481476</v>
      </c>
      <c r="H4941" s="118">
        <v>4.8611111111111104E-4</v>
      </c>
      <c r="I4941" s="118">
        <v>4.6296296296296293E-4</v>
      </c>
      <c r="J4941"/>
      <c r="K4941"/>
    </row>
    <row r="4942" spans="1:11" x14ac:dyDescent="0.25">
      <c r="A4942">
        <v>2</v>
      </c>
      <c r="B4942">
        <v>18</v>
      </c>
      <c r="C4942"/>
      <c r="D4942" t="s">
        <v>31</v>
      </c>
      <c r="E4942" t="s">
        <v>35</v>
      </c>
      <c r="F4942" t="s">
        <v>41</v>
      </c>
      <c r="G4942" s="118">
        <v>0.82831018518518518</v>
      </c>
      <c r="H4942" s="118">
        <v>1.0069444444444444E-3</v>
      </c>
      <c r="I4942" s="118">
        <v>3.4722222222222224E-4</v>
      </c>
      <c r="J4942"/>
      <c r="K4942"/>
    </row>
    <row r="4943" spans="1:11" x14ac:dyDescent="0.25">
      <c r="A4943">
        <v>3</v>
      </c>
      <c r="B4943">
        <v>17</v>
      </c>
      <c r="C4943"/>
      <c r="D4943" t="s">
        <v>31</v>
      </c>
      <c r="E4943" t="s">
        <v>35</v>
      </c>
      <c r="F4943" t="s">
        <v>56</v>
      </c>
      <c r="G4943" s="118">
        <v>0.82863425925925915</v>
      </c>
      <c r="H4943" s="118">
        <v>1.261574074074074E-3</v>
      </c>
      <c r="I4943" s="118">
        <v>3.4722222222222224E-4</v>
      </c>
      <c r="J4943"/>
      <c r="K4943"/>
    </row>
    <row r="4944" spans="1:11" x14ac:dyDescent="0.25">
      <c r="A4944">
        <v>2</v>
      </c>
      <c r="B4944">
        <v>18</v>
      </c>
      <c r="C4944"/>
      <c r="D4944" t="s">
        <v>31</v>
      </c>
      <c r="E4944" t="s">
        <v>32</v>
      </c>
      <c r="F4944" t="s">
        <v>41</v>
      </c>
      <c r="G4944" s="118">
        <v>0.82865740740740745</v>
      </c>
      <c r="H4944" s="118">
        <v>3.4722222222222224E-4</v>
      </c>
      <c r="I4944" s="118">
        <v>8.564814814814815E-4</v>
      </c>
      <c r="J4944" s="118">
        <v>7.0717592592592594E-3</v>
      </c>
      <c r="K4944" s="118">
        <v>7.0717592592592594E-3</v>
      </c>
    </row>
    <row r="4945" spans="1:11" x14ac:dyDescent="0.25">
      <c r="A4945">
        <v>5</v>
      </c>
      <c r="B4945">
        <v>18</v>
      </c>
      <c r="C4945"/>
      <c r="D4945" t="s">
        <v>31</v>
      </c>
      <c r="E4945" t="s">
        <v>32</v>
      </c>
      <c r="F4945" t="s">
        <v>40</v>
      </c>
      <c r="G4945" s="118">
        <v>0.82871527777777787</v>
      </c>
      <c r="H4945" s="118">
        <v>4.6296296296296293E-4</v>
      </c>
      <c r="I4945" s="118">
        <v>1.0069444444444444E-3</v>
      </c>
      <c r="J4945" s="118">
        <v>5.0462962962962961E-3</v>
      </c>
      <c r="K4945" s="118">
        <v>5.0462962962962961E-3</v>
      </c>
    </row>
    <row r="4946" spans="1:11" x14ac:dyDescent="0.25">
      <c r="A4946">
        <v>9</v>
      </c>
      <c r="B4946">
        <v>4</v>
      </c>
      <c r="C4946"/>
      <c r="D4946" t="s">
        <v>31</v>
      </c>
      <c r="E4946" t="s">
        <v>35</v>
      </c>
      <c r="F4946" t="s">
        <v>54</v>
      </c>
      <c r="G4946" s="118">
        <v>0.82879629629629636</v>
      </c>
      <c r="H4946" s="118">
        <v>8.6805555555555551E-4</v>
      </c>
      <c r="I4946" s="118">
        <v>3.4722222222222224E-4</v>
      </c>
      <c r="J4946"/>
      <c r="K4946"/>
    </row>
    <row r="4947" spans="1:11" x14ac:dyDescent="0.25">
      <c r="A4947">
        <v>3</v>
      </c>
      <c r="B4947">
        <v>17</v>
      </c>
      <c r="C4947"/>
      <c r="D4947" t="s">
        <v>31</v>
      </c>
      <c r="E4947" t="s">
        <v>32</v>
      </c>
      <c r="F4947" t="s">
        <v>56</v>
      </c>
      <c r="G4947" s="118">
        <v>0.82898148148148154</v>
      </c>
      <c r="H4947" s="118">
        <v>3.4722222222222224E-4</v>
      </c>
      <c r="I4947" s="118">
        <v>9.6064814814814808E-4</v>
      </c>
      <c r="J4947" s="118">
        <v>5.0462962962962961E-3</v>
      </c>
      <c r="K4947" s="118">
        <v>5.0462962962962961E-3</v>
      </c>
    </row>
    <row r="4948" spans="1:11" x14ac:dyDescent="0.25">
      <c r="A4948">
        <v>4</v>
      </c>
      <c r="B4948">
        <v>17</v>
      </c>
      <c r="C4948"/>
      <c r="D4948" t="s">
        <v>31</v>
      </c>
      <c r="E4948" t="s">
        <v>35</v>
      </c>
      <c r="F4948" t="s">
        <v>36</v>
      </c>
      <c r="G4948" s="118">
        <v>0.82913194444444438</v>
      </c>
      <c r="H4948" s="118">
        <v>9.6064814814814808E-4</v>
      </c>
      <c r="I4948" s="118">
        <v>3.4722222222222224E-4</v>
      </c>
      <c r="J4948"/>
      <c r="K4948"/>
    </row>
    <row r="4949" spans="1:11" x14ac:dyDescent="0.25">
      <c r="A4949">
        <v>9</v>
      </c>
      <c r="B4949">
        <v>4</v>
      </c>
      <c r="C4949"/>
      <c r="D4949" t="s">
        <v>31</v>
      </c>
      <c r="E4949" t="s">
        <v>32</v>
      </c>
      <c r="F4949" t="s">
        <v>54</v>
      </c>
      <c r="G4949" s="118">
        <v>0.82914351851851853</v>
      </c>
      <c r="H4949" s="118">
        <v>3.4722222222222224E-4</v>
      </c>
      <c r="I4949" s="118">
        <v>1.7592592592592592E-3</v>
      </c>
      <c r="J4949" s="118">
        <v>5.0462962962962961E-3</v>
      </c>
      <c r="K4949" s="118">
        <v>5.0462962962962961E-3</v>
      </c>
    </row>
    <row r="4950" spans="1:11" x14ac:dyDescent="0.25">
      <c r="A4950">
        <v>8</v>
      </c>
      <c r="B4950">
        <v>5</v>
      </c>
      <c r="C4950"/>
      <c r="D4950" t="s">
        <v>31</v>
      </c>
      <c r="E4950" t="s">
        <v>35</v>
      </c>
      <c r="F4950" t="s">
        <v>46</v>
      </c>
      <c r="G4950" s="118">
        <v>0.82923611111111117</v>
      </c>
      <c r="H4950" s="118">
        <v>1.8055555555555557E-3</v>
      </c>
      <c r="I4950" s="118">
        <v>3.4722222222222224E-4</v>
      </c>
      <c r="J4950"/>
      <c r="K4950"/>
    </row>
    <row r="4951" spans="1:11" x14ac:dyDescent="0.25">
      <c r="A4951">
        <v>1</v>
      </c>
      <c r="B4951">
        <v>17</v>
      </c>
      <c r="C4951"/>
      <c r="D4951" t="s">
        <v>31</v>
      </c>
      <c r="E4951" t="s">
        <v>35</v>
      </c>
      <c r="F4951" t="s">
        <v>52</v>
      </c>
      <c r="G4951" s="118">
        <v>0.82927083333333329</v>
      </c>
      <c r="H4951" s="118">
        <v>1.0416666666666667E-3</v>
      </c>
      <c r="I4951" s="118">
        <v>3.4722222222222224E-4</v>
      </c>
      <c r="J4951"/>
      <c r="K4951"/>
    </row>
    <row r="4952" spans="1:11" x14ac:dyDescent="0.25">
      <c r="A4952">
        <v>4</v>
      </c>
      <c r="B4952">
        <v>17</v>
      </c>
      <c r="C4952"/>
      <c r="D4952" t="s">
        <v>31</v>
      </c>
      <c r="E4952" t="s">
        <v>32</v>
      </c>
      <c r="F4952" t="s">
        <v>36</v>
      </c>
      <c r="G4952" s="118">
        <v>0.82947916666666666</v>
      </c>
      <c r="H4952" s="118">
        <v>3.4722222222222224E-4</v>
      </c>
      <c r="I4952" s="118">
        <v>1.0995370370370371E-3</v>
      </c>
      <c r="J4952" s="118">
        <v>5.0462962962962961E-3</v>
      </c>
      <c r="K4952" s="118">
        <v>5.0462962962962961E-3</v>
      </c>
    </row>
    <row r="4953" spans="1:11" x14ac:dyDescent="0.25">
      <c r="A4953">
        <v>2</v>
      </c>
      <c r="B4953">
        <v>18</v>
      </c>
      <c r="C4953"/>
      <c r="D4953" t="s">
        <v>31</v>
      </c>
      <c r="E4953" t="s">
        <v>35</v>
      </c>
      <c r="F4953" t="s">
        <v>47</v>
      </c>
      <c r="G4953" s="118">
        <v>0.82951388888888899</v>
      </c>
      <c r="H4953" s="118">
        <v>8.564814814814815E-4</v>
      </c>
      <c r="I4953" s="118">
        <v>5.2083333333333333E-4</v>
      </c>
      <c r="J4953"/>
      <c r="K4953"/>
    </row>
    <row r="4954" spans="1:11" x14ac:dyDescent="0.25">
      <c r="A4954">
        <v>8</v>
      </c>
      <c r="B4954">
        <v>5</v>
      </c>
      <c r="C4954"/>
      <c r="D4954" t="s">
        <v>31</v>
      </c>
      <c r="E4954" t="s">
        <v>32</v>
      </c>
      <c r="F4954" t="s">
        <v>46</v>
      </c>
      <c r="G4954" s="118">
        <v>0.82958333333333334</v>
      </c>
      <c r="H4954" s="118">
        <v>3.4722222222222224E-4</v>
      </c>
      <c r="I4954" s="118">
        <v>9.1435185185185185E-4</v>
      </c>
      <c r="J4954" s="118">
        <v>5.0462962962962961E-3</v>
      </c>
      <c r="K4954" s="118">
        <v>5.0462962962962961E-3</v>
      </c>
    </row>
    <row r="4955" spans="1:11" x14ac:dyDescent="0.25">
      <c r="A4955">
        <v>1</v>
      </c>
      <c r="B4955">
        <v>17</v>
      </c>
      <c r="C4955"/>
      <c r="D4955" t="s">
        <v>31</v>
      </c>
      <c r="E4955" t="s">
        <v>32</v>
      </c>
      <c r="F4955" t="s">
        <v>52</v>
      </c>
      <c r="G4955" s="118">
        <v>0.82961805555555557</v>
      </c>
      <c r="H4955" s="118">
        <v>3.4722222222222224E-4</v>
      </c>
      <c r="I4955" s="118">
        <v>1.0532407407407407E-3</v>
      </c>
      <c r="J4955" s="118">
        <v>5.0462962962962961E-3</v>
      </c>
      <c r="K4955" s="118">
        <v>7.0717592592592594E-3</v>
      </c>
    </row>
    <row r="4956" spans="1:11" x14ac:dyDescent="0.25">
      <c r="A4956">
        <v>5</v>
      </c>
      <c r="B4956">
        <v>18</v>
      </c>
      <c r="C4956"/>
      <c r="D4956" t="s">
        <v>31</v>
      </c>
      <c r="E4956" t="s">
        <v>35</v>
      </c>
      <c r="F4956" t="s">
        <v>44</v>
      </c>
      <c r="G4956" s="118">
        <v>0.82972222222222225</v>
      </c>
      <c r="H4956" s="118">
        <v>1.0069444444444444E-3</v>
      </c>
      <c r="I4956" s="118">
        <v>3.4722222222222224E-4</v>
      </c>
      <c r="J4956"/>
      <c r="K4956"/>
    </row>
    <row r="4957" spans="1:11" x14ac:dyDescent="0.25">
      <c r="A4957">
        <v>3</v>
      </c>
      <c r="B4957">
        <v>17</v>
      </c>
      <c r="C4957"/>
      <c r="D4957" t="s">
        <v>31</v>
      </c>
      <c r="E4957" t="s">
        <v>35</v>
      </c>
      <c r="F4957" t="s">
        <v>37</v>
      </c>
      <c r="G4957" s="118">
        <v>0.82994212962962965</v>
      </c>
      <c r="H4957" s="118">
        <v>9.6064814814814808E-4</v>
      </c>
      <c r="I4957" s="118">
        <v>3.4722222222222224E-4</v>
      </c>
      <c r="J4957"/>
      <c r="K4957"/>
    </row>
    <row r="4958" spans="1:11" x14ac:dyDescent="0.25">
      <c r="A4958">
        <v>2</v>
      </c>
      <c r="B4958">
        <v>18</v>
      </c>
      <c r="C4958"/>
      <c r="D4958" t="s">
        <v>31</v>
      </c>
      <c r="E4958" t="s">
        <v>32</v>
      </c>
      <c r="F4958" t="s">
        <v>47</v>
      </c>
      <c r="G4958" s="118">
        <v>0.8300347222222223</v>
      </c>
      <c r="H4958" s="118">
        <v>5.2083333333333333E-4</v>
      </c>
      <c r="I4958" s="118">
        <v>8.7962962962962962E-4</v>
      </c>
      <c r="J4958" s="118">
        <v>7.0717592592592594E-3</v>
      </c>
      <c r="K4958" s="118">
        <v>7.0717592592592594E-3</v>
      </c>
    </row>
    <row r="4959" spans="1:11" x14ac:dyDescent="0.25">
      <c r="A4959">
        <v>5</v>
      </c>
      <c r="B4959">
        <v>18</v>
      </c>
      <c r="C4959"/>
      <c r="D4959" t="s">
        <v>31</v>
      </c>
      <c r="E4959" t="s">
        <v>32</v>
      </c>
      <c r="F4959" t="s">
        <v>44</v>
      </c>
      <c r="G4959" s="118">
        <v>0.83006944444444442</v>
      </c>
      <c r="H4959" s="118">
        <v>3.4722222222222224E-4</v>
      </c>
      <c r="I4959" s="118">
        <v>9.2592592592592585E-4</v>
      </c>
      <c r="J4959" s="118">
        <v>5.0462962962962961E-3</v>
      </c>
      <c r="K4959" s="118">
        <v>5.0462962962962961E-3</v>
      </c>
    </row>
    <row r="4960" spans="1:11" x14ac:dyDescent="0.25">
      <c r="A4960">
        <v>3</v>
      </c>
      <c r="B4960">
        <v>17</v>
      </c>
      <c r="C4960"/>
      <c r="D4960" t="s">
        <v>31</v>
      </c>
      <c r="E4960" t="s">
        <v>32</v>
      </c>
      <c r="F4960" t="s">
        <v>37</v>
      </c>
      <c r="G4960" s="118">
        <v>0.83028935185185182</v>
      </c>
      <c r="H4960" s="118">
        <v>3.4722222222222224E-4</v>
      </c>
      <c r="I4960" s="118">
        <v>9.0277777777777784E-4</v>
      </c>
      <c r="J4960" s="118">
        <v>5.0462962962962961E-3</v>
      </c>
      <c r="K4960" s="118">
        <v>5.0462962962962961E-3</v>
      </c>
    </row>
    <row r="4961" spans="1:11" x14ac:dyDescent="0.25">
      <c r="A4961">
        <v>8</v>
      </c>
      <c r="B4961">
        <v>5</v>
      </c>
      <c r="C4961"/>
      <c r="D4961" t="s">
        <v>31</v>
      </c>
      <c r="E4961" t="s">
        <v>35</v>
      </c>
      <c r="F4961" t="s">
        <v>51</v>
      </c>
      <c r="G4961" s="118">
        <v>0.83049768518518519</v>
      </c>
      <c r="H4961" s="118">
        <v>9.1435185185185185E-4</v>
      </c>
      <c r="I4961" s="118">
        <v>3.4722222222222224E-4</v>
      </c>
      <c r="J4961"/>
      <c r="K4961"/>
    </row>
    <row r="4962" spans="1:11" x14ac:dyDescent="0.25">
      <c r="A4962">
        <v>4</v>
      </c>
      <c r="B4962">
        <v>17</v>
      </c>
      <c r="C4962"/>
      <c r="D4962" t="s">
        <v>31</v>
      </c>
      <c r="E4962" t="s">
        <v>35</v>
      </c>
      <c r="F4962" t="s">
        <v>43</v>
      </c>
      <c r="G4962" s="118">
        <v>0.83057870370370368</v>
      </c>
      <c r="H4962" s="118">
        <v>1.0995370370370371E-3</v>
      </c>
      <c r="I4962" s="118">
        <v>3.4722222222222224E-4</v>
      </c>
      <c r="J4962"/>
      <c r="K4962"/>
    </row>
    <row r="4963" spans="1:11" x14ac:dyDescent="0.25">
      <c r="A4963">
        <v>1</v>
      </c>
      <c r="B4963">
        <v>17</v>
      </c>
      <c r="C4963"/>
      <c r="D4963" t="s">
        <v>31</v>
      </c>
      <c r="E4963" t="s">
        <v>35</v>
      </c>
      <c r="F4963" t="s">
        <v>57</v>
      </c>
      <c r="G4963" s="118">
        <v>0.83067129629629621</v>
      </c>
      <c r="H4963" s="118">
        <v>1.0532407407407407E-3</v>
      </c>
      <c r="I4963" s="118">
        <v>3.4722222222222224E-4</v>
      </c>
      <c r="J4963"/>
      <c r="K4963"/>
    </row>
    <row r="4964" spans="1:11" x14ac:dyDescent="0.25">
      <c r="A4964">
        <v>8</v>
      </c>
      <c r="B4964">
        <v>5</v>
      </c>
      <c r="C4964"/>
      <c r="D4964" t="s">
        <v>31</v>
      </c>
      <c r="E4964" t="s">
        <v>32</v>
      </c>
      <c r="F4964" t="s">
        <v>51</v>
      </c>
      <c r="G4964" s="118">
        <v>0.83084490740740735</v>
      </c>
      <c r="H4964" s="118">
        <v>3.4722222222222224E-4</v>
      </c>
      <c r="I4964" s="118">
        <v>1.0069444444444444E-3</v>
      </c>
      <c r="J4964" s="118">
        <v>5.0462962962962961E-3</v>
      </c>
      <c r="K4964" s="118">
        <v>5.0462962962962961E-3</v>
      </c>
    </row>
    <row r="4965" spans="1:11" x14ac:dyDescent="0.25">
      <c r="A4965">
        <v>9</v>
      </c>
      <c r="B4965">
        <v>4</v>
      </c>
      <c r="C4965"/>
      <c r="D4965" t="s">
        <v>31</v>
      </c>
      <c r="E4965" t="s">
        <v>35</v>
      </c>
      <c r="F4965" t="s">
        <v>92</v>
      </c>
      <c r="G4965" s="118">
        <v>0.83090277777777777</v>
      </c>
      <c r="H4965" s="118">
        <v>1.7592592592592592E-3</v>
      </c>
      <c r="I4965" s="118">
        <v>3.472222222222222E-3</v>
      </c>
      <c r="J4965"/>
      <c r="K4965"/>
    </row>
    <row r="4966" spans="1:11" x14ac:dyDescent="0.25">
      <c r="A4966">
        <v>2</v>
      </c>
      <c r="B4966">
        <v>18</v>
      </c>
      <c r="C4966"/>
      <c r="D4966" t="s">
        <v>31</v>
      </c>
      <c r="E4966" t="s">
        <v>35</v>
      </c>
      <c r="F4966" t="s">
        <v>53</v>
      </c>
      <c r="G4966" s="118">
        <v>0.83091435185185192</v>
      </c>
      <c r="H4966" s="118">
        <v>8.7962962962962962E-4</v>
      </c>
      <c r="I4966" s="118">
        <v>3.4722222222222224E-4</v>
      </c>
      <c r="J4966"/>
      <c r="K4966"/>
    </row>
    <row r="4967" spans="1:11" x14ac:dyDescent="0.25">
      <c r="A4967">
        <v>4</v>
      </c>
      <c r="B4967">
        <v>17</v>
      </c>
      <c r="C4967"/>
      <c r="D4967" t="s">
        <v>31</v>
      </c>
      <c r="E4967" t="s">
        <v>32</v>
      </c>
      <c r="F4967" t="s">
        <v>43</v>
      </c>
      <c r="G4967" s="118">
        <v>0.83092592592592596</v>
      </c>
      <c r="H4967" s="118">
        <v>3.4722222222222224E-4</v>
      </c>
      <c r="I4967" s="118">
        <v>1.1458333333333333E-3</v>
      </c>
      <c r="J4967" s="118">
        <v>5.0462962962962961E-3</v>
      </c>
      <c r="K4967" s="118">
        <v>5.0462962962962961E-3</v>
      </c>
    </row>
    <row r="4968" spans="1:11" x14ac:dyDescent="0.25">
      <c r="A4968">
        <v>5</v>
      </c>
      <c r="B4968">
        <v>18</v>
      </c>
      <c r="C4968"/>
      <c r="D4968" t="s">
        <v>31</v>
      </c>
      <c r="E4968" t="s">
        <v>35</v>
      </c>
      <c r="F4968" t="s">
        <v>49</v>
      </c>
      <c r="G4968" s="118">
        <v>0.83099537037037041</v>
      </c>
      <c r="H4968" s="118">
        <v>9.2592592592592585E-4</v>
      </c>
      <c r="I4968" s="118">
        <v>3.4722222222222224E-4</v>
      </c>
      <c r="J4968"/>
      <c r="K4968"/>
    </row>
    <row r="4969" spans="1:11" x14ac:dyDescent="0.25">
      <c r="A4969">
        <v>1</v>
      </c>
      <c r="B4969">
        <v>17</v>
      </c>
      <c r="C4969"/>
      <c r="D4969" t="s">
        <v>31</v>
      </c>
      <c r="E4969" t="s">
        <v>32</v>
      </c>
      <c r="F4969" t="s">
        <v>57</v>
      </c>
      <c r="G4969" s="118">
        <v>0.83101851851851849</v>
      </c>
      <c r="H4969" s="118">
        <v>3.4722222222222224E-4</v>
      </c>
      <c r="I4969" s="118">
        <v>9.3750000000000007E-4</v>
      </c>
      <c r="J4969" s="118">
        <v>5.0462962962962961E-3</v>
      </c>
      <c r="K4969" s="118">
        <v>7.0717592592592594E-3</v>
      </c>
    </row>
    <row r="4970" spans="1:11" x14ac:dyDescent="0.25">
      <c r="A4970">
        <v>3</v>
      </c>
      <c r="B4970">
        <v>17</v>
      </c>
      <c r="C4970"/>
      <c r="D4970" t="s">
        <v>31</v>
      </c>
      <c r="E4970" t="s">
        <v>35</v>
      </c>
      <c r="F4970" t="s">
        <v>42</v>
      </c>
      <c r="G4970" s="118">
        <v>0.83119212962962974</v>
      </c>
      <c r="H4970" s="118">
        <v>9.0277777777777784E-4</v>
      </c>
      <c r="I4970" s="118">
        <v>3.4722222222222224E-4</v>
      </c>
      <c r="J4970"/>
      <c r="K4970"/>
    </row>
    <row r="4971" spans="1:11" x14ac:dyDescent="0.25">
      <c r="A4971">
        <v>2</v>
      </c>
      <c r="B4971">
        <v>18</v>
      </c>
      <c r="C4971"/>
      <c r="D4971" t="s">
        <v>31</v>
      </c>
      <c r="E4971" t="s">
        <v>32</v>
      </c>
      <c r="F4971" t="s">
        <v>53</v>
      </c>
      <c r="G4971" s="118">
        <v>0.83126157407407408</v>
      </c>
      <c r="H4971" s="118">
        <v>3.4722222222222224E-4</v>
      </c>
      <c r="I4971" s="118">
        <v>8.449074074074075E-4</v>
      </c>
      <c r="J4971" s="118">
        <v>7.0717592592592594E-3</v>
      </c>
      <c r="K4971" s="118">
        <v>7.0717592592592594E-3</v>
      </c>
    </row>
    <row r="4972" spans="1:11" x14ac:dyDescent="0.25">
      <c r="A4972">
        <v>5</v>
      </c>
      <c r="B4972">
        <v>18</v>
      </c>
      <c r="C4972"/>
      <c r="D4972" t="s">
        <v>31</v>
      </c>
      <c r="E4972" t="s">
        <v>32</v>
      </c>
      <c r="F4972" t="s">
        <v>49</v>
      </c>
      <c r="G4972" s="118">
        <v>0.83134259259259258</v>
      </c>
      <c r="H4972" s="118">
        <v>3.4722222222222224E-4</v>
      </c>
      <c r="I4972" s="118">
        <v>1.3541666666666667E-3</v>
      </c>
      <c r="J4972" s="118">
        <v>5.0462962962962961E-3</v>
      </c>
      <c r="K4972" s="118">
        <v>5.0462962962962961E-3</v>
      </c>
    </row>
    <row r="4973" spans="1:11" x14ac:dyDescent="0.25">
      <c r="A4973">
        <v>3</v>
      </c>
      <c r="B4973">
        <v>17</v>
      </c>
      <c r="C4973"/>
      <c r="D4973" t="s">
        <v>31</v>
      </c>
      <c r="E4973" t="s">
        <v>32</v>
      </c>
      <c r="F4973" t="s">
        <v>42</v>
      </c>
      <c r="G4973" s="118">
        <v>0.8315393518518519</v>
      </c>
      <c r="H4973" s="118">
        <v>3.4722222222222224E-4</v>
      </c>
      <c r="I4973" s="118">
        <v>9.1435185185185185E-4</v>
      </c>
      <c r="J4973" s="118">
        <v>5.0462962962962961E-3</v>
      </c>
      <c r="K4973" s="118">
        <v>5.0462962962962961E-3</v>
      </c>
    </row>
    <row r="4974" spans="1:11" x14ac:dyDescent="0.25">
      <c r="A4974">
        <v>8</v>
      </c>
      <c r="B4974">
        <v>5</v>
      </c>
      <c r="C4974"/>
      <c r="D4974" t="s">
        <v>31</v>
      </c>
      <c r="E4974" t="s">
        <v>35</v>
      </c>
      <c r="F4974" t="s">
        <v>55</v>
      </c>
      <c r="G4974" s="118">
        <v>0.83185185185185195</v>
      </c>
      <c r="H4974" s="118">
        <v>1.0069444444444444E-3</v>
      </c>
      <c r="I4974" s="118">
        <v>4.6296296296296293E-4</v>
      </c>
      <c r="J4974"/>
      <c r="K4974"/>
    </row>
    <row r="4975" spans="1:11" x14ac:dyDescent="0.25">
      <c r="A4975">
        <v>1</v>
      </c>
      <c r="B4975">
        <v>17</v>
      </c>
      <c r="C4975"/>
      <c r="D4975" t="s">
        <v>31</v>
      </c>
      <c r="E4975" t="s">
        <v>35</v>
      </c>
      <c r="F4975" t="s">
        <v>39</v>
      </c>
      <c r="G4975" s="118">
        <v>0.83195601851851853</v>
      </c>
      <c r="H4975" s="118">
        <v>9.3750000000000007E-4</v>
      </c>
      <c r="I4975" s="118">
        <v>5.2083333333333333E-4</v>
      </c>
      <c r="J4975"/>
      <c r="K4975"/>
    </row>
    <row r="4976" spans="1:11" x14ac:dyDescent="0.25">
      <c r="A4976">
        <v>4</v>
      </c>
      <c r="B4976">
        <v>17</v>
      </c>
      <c r="C4976"/>
      <c r="D4976" t="s">
        <v>31</v>
      </c>
      <c r="E4976" t="s">
        <v>35</v>
      </c>
      <c r="F4976" t="s">
        <v>50</v>
      </c>
      <c r="G4976" s="118">
        <v>0.83207175925925936</v>
      </c>
      <c r="H4976" s="118">
        <v>1.1458333333333333E-3</v>
      </c>
      <c r="I4976" s="118">
        <v>3.4722222222222224E-4</v>
      </c>
      <c r="J4976"/>
      <c r="K4976"/>
    </row>
    <row r="4977" spans="1:11" x14ac:dyDescent="0.25">
      <c r="A4977">
        <v>2</v>
      </c>
      <c r="B4977">
        <v>18</v>
      </c>
      <c r="C4977"/>
      <c r="D4977" t="s">
        <v>31</v>
      </c>
      <c r="E4977" t="s">
        <v>35</v>
      </c>
      <c r="F4977" t="s">
        <v>34</v>
      </c>
      <c r="G4977" s="118">
        <v>0.83210648148148147</v>
      </c>
      <c r="H4977" s="118">
        <v>8.449074074074075E-4</v>
      </c>
      <c r="I4977" s="118">
        <v>3.4722222222222224E-4</v>
      </c>
      <c r="J4977"/>
      <c r="K4977"/>
    </row>
    <row r="4978" spans="1:11" x14ac:dyDescent="0.25">
      <c r="A4978">
        <v>8</v>
      </c>
      <c r="B4978">
        <v>5</v>
      </c>
      <c r="C4978"/>
      <c r="D4978" t="s">
        <v>31</v>
      </c>
      <c r="E4978" t="s">
        <v>32</v>
      </c>
      <c r="F4978" t="s">
        <v>55</v>
      </c>
      <c r="G4978" s="118">
        <v>0.83231481481481484</v>
      </c>
      <c r="H4978" s="118">
        <v>4.6296296296296293E-4</v>
      </c>
      <c r="I4978" s="118">
        <v>4.3981481481481481E-4</v>
      </c>
      <c r="J4978" s="118">
        <v>5.0462962962962961E-3</v>
      </c>
      <c r="K4978" s="118">
        <v>5.0462962962962961E-3</v>
      </c>
    </row>
    <row r="4979" spans="1:11" x14ac:dyDescent="0.25">
      <c r="A4979">
        <v>4</v>
      </c>
      <c r="B4979">
        <v>17</v>
      </c>
      <c r="C4979"/>
      <c r="D4979" t="s">
        <v>31</v>
      </c>
      <c r="E4979" t="s">
        <v>32</v>
      </c>
      <c r="F4979" t="s">
        <v>50</v>
      </c>
      <c r="G4979" s="118">
        <v>0.83241898148148152</v>
      </c>
      <c r="H4979" s="118">
        <v>3.4722222222222224E-4</v>
      </c>
      <c r="I4979" s="118">
        <v>1.261574074074074E-3</v>
      </c>
      <c r="J4979" s="118">
        <v>5.0462962962962961E-3</v>
      </c>
      <c r="K4979" s="118">
        <v>5.0462962962962961E-3</v>
      </c>
    </row>
    <row r="4980" spans="1:11" x14ac:dyDescent="0.25">
      <c r="A4980">
        <v>2</v>
      </c>
      <c r="B4980">
        <v>18</v>
      </c>
      <c r="C4980"/>
      <c r="D4980" t="s">
        <v>31</v>
      </c>
      <c r="E4980" t="s">
        <v>32</v>
      </c>
      <c r="F4980" t="s">
        <v>34</v>
      </c>
      <c r="G4980" s="118">
        <v>0.83245370370370375</v>
      </c>
      <c r="H4980" s="118">
        <v>3.4722222222222224E-4</v>
      </c>
      <c r="I4980" s="118">
        <v>9.1435185185185185E-4</v>
      </c>
      <c r="J4980" s="118">
        <v>7.0717592592592594E-3</v>
      </c>
      <c r="K4980" s="118">
        <v>7.0717592592592594E-3</v>
      </c>
    </row>
    <row r="4981" spans="1:11" x14ac:dyDescent="0.25">
      <c r="A4981">
        <v>3</v>
      </c>
      <c r="B4981">
        <v>17</v>
      </c>
      <c r="C4981"/>
      <c r="D4981" t="s">
        <v>31</v>
      </c>
      <c r="E4981" t="s">
        <v>35</v>
      </c>
      <c r="F4981" t="s">
        <v>48</v>
      </c>
      <c r="G4981" s="118">
        <v>0.83245370370370375</v>
      </c>
      <c r="H4981" s="118">
        <v>9.1435185185185185E-4</v>
      </c>
      <c r="I4981" s="118">
        <v>5.2083333333333333E-4</v>
      </c>
      <c r="J4981"/>
      <c r="K4981"/>
    </row>
    <row r="4982" spans="1:11" x14ac:dyDescent="0.25">
      <c r="A4982">
        <v>1</v>
      </c>
      <c r="B4982">
        <v>17</v>
      </c>
      <c r="C4982"/>
      <c r="D4982" t="s">
        <v>31</v>
      </c>
      <c r="E4982" t="s">
        <v>32</v>
      </c>
      <c r="F4982" t="s">
        <v>39</v>
      </c>
      <c r="G4982" s="118">
        <v>0.83247685185185183</v>
      </c>
      <c r="H4982" s="118">
        <v>5.2083333333333333E-4</v>
      </c>
      <c r="I4982" s="118">
        <v>1.8055555555555557E-3</v>
      </c>
      <c r="J4982" s="118">
        <v>5.0462962962962961E-3</v>
      </c>
      <c r="K4982" s="118">
        <v>7.0717592592592594E-3</v>
      </c>
    </row>
    <row r="4983" spans="1:11" x14ac:dyDescent="0.25">
      <c r="A4983">
        <v>5</v>
      </c>
      <c r="B4983">
        <v>18</v>
      </c>
      <c r="C4983"/>
      <c r="D4983" t="s">
        <v>31</v>
      </c>
      <c r="E4983" t="s">
        <v>35</v>
      </c>
      <c r="F4983" t="s">
        <v>33</v>
      </c>
      <c r="G4983" s="118">
        <v>0.83269675925925923</v>
      </c>
      <c r="H4983" s="118">
        <v>1.3541666666666667E-3</v>
      </c>
      <c r="I4983" s="118">
        <v>5.2083333333333333E-4</v>
      </c>
      <c r="J4983"/>
      <c r="K4983"/>
    </row>
    <row r="4984" spans="1:11" x14ac:dyDescent="0.25">
      <c r="A4984">
        <v>8</v>
      </c>
      <c r="B4984">
        <v>5</v>
      </c>
      <c r="C4984"/>
      <c r="D4984" t="s">
        <v>31</v>
      </c>
      <c r="E4984" t="s">
        <v>35</v>
      </c>
      <c r="F4984" t="s">
        <v>58</v>
      </c>
      <c r="G4984" s="118">
        <v>0.83275462962962965</v>
      </c>
      <c r="H4984" s="118">
        <v>4.3981481481481481E-4</v>
      </c>
      <c r="I4984" s="118">
        <v>5.7870370370370366E-5</v>
      </c>
      <c r="J4984"/>
      <c r="K4984"/>
    </row>
    <row r="4985" spans="1:11" x14ac:dyDescent="0.25">
      <c r="A4985">
        <v>8</v>
      </c>
      <c r="B4985">
        <v>5</v>
      </c>
      <c r="C4985"/>
      <c r="D4985" t="s">
        <v>31</v>
      </c>
      <c r="E4985" t="s">
        <v>32</v>
      </c>
      <c r="F4985" t="s">
        <v>58</v>
      </c>
      <c r="G4985" s="118">
        <v>0.83281250000000007</v>
      </c>
      <c r="H4985" s="118">
        <v>5.7870370370370366E-5</v>
      </c>
      <c r="I4985" s="118">
        <v>4.8611111111111104E-4</v>
      </c>
      <c r="J4985" s="118">
        <v>5.0462962962962961E-3</v>
      </c>
      <c r="K4985" s="118">
        <v>5.0462962962962961E-3</v>
      </c>
    </row>
    <row r="4986" spans="1:11" x14ac:dyDescent="0.25">
      <c r="A4986">
        <v>3</v>
      </c>
      <c r="B4986">
        <v>17</v>
      </c>
      <c r="C4986"/>
      <c r="D4986" t="s">
        <v>31</v>
      </c>
      <c r="E4986" t="s">
        <v>32</v>
      </c>
      <c r="F4986" t="s">
        <v>48</v>
      </c>
      <c r="G4986" s="118">
        <v>0.83297453703703705</v>
      </c>
      <c r="H4986" s="118">
        <v>5.2083333333333333E-4</v>
      </c>
      <c r="I4986" s="118">
        <v>8.6805555555555551E-4</v>
      </c>
      <c r="J4986" s="118">
        <v>5.0462962962962961E-3</v>
      </c>
      <c r="K4986" s="118">
        <v>5.0462962962962961E-3</v>
      </c>
    </row>
    <row r="4987" spans="1:11" x14ac:dyDescent="0.25">
      <c r="A4987">
        <v>5</v>
      </c>
      <c r="B4987">
        <v>18</v>
      </c>
      <c r="C4987"/>
      <c r="D4987" t="s">
        <v>31</v>
      </c>
      <c r="E4987" t="s">
        <v>32</v>
      </c>
      <c r="F4987" t="s">
        <v>33</v>
      </c>
      <c r="G4987" s="118">
        <v>0.83321759259259265</v>
      </c>
      <c r="H4987" s="118">
        <v>5.2083333333333333E-4</v>
      </c>
      <c r="I4987" s="118">
        <v>9.6064814814814808E-4</v>
      </c>
      <c r="J4987" s="118">
        <v>5.0462962962962961E-3</v>
      </c>
      <c r="K4987" s="118">
        <v>5.0462962962962961E-3</v>
      </c>
    </row>
    <row r="4988" spans="1:11" x14ac:dyDescent="0.25">
      <c r="A4988">
        <v>8</v>
      </c>
      <c r="B4988">
        <v>5</v>
      </c>
      <c r="C4988"/>
      <c r="D4988" t="s">
        <v>31</v>
      </c>
      <c r="E4988" t="s">
        <v>35</v>
      </c>
      <c r="F4988" t="s">
        <v>40</v>
      </c>
      <c r="G4988" s="118">
        <v>0.83329861111111114</v>
      </c>
      <c r="H4988" s="118">
        <v>4.8611111111111104E-4</v>
      </c>
      <c r="I4988" s="118">
        <v>4.6296296296296293E-4</v>
      </c>
      <c r="J4988"/>
      <c r="K4988"/>
    </row>
    <row r="4989" spans="1:11" x14ac:dyDescent="0.25">
      <c r="A4989">
        <v>2</v>
      </c>
      <c r="B4989">
        <v>18</v>
      </c>
      <c r="C4989"/>
      <c r="D4989" t="s">
        <v>31</v>
      </c>
      <c r="E4989" t="s">
        <v>35</v>
      </c>
      <c r="F4989" t="s">
        <v>38</v>
      </c>
      <c r="G4989" s="118">
        <v>0.83336805555555549</v>
      </c>
      <c r="H4989" s="118">
        <v>9.1435185185185185E-4</v>
      </c>
      <c r="I4989" s="118">
        <v>3.4722222222222224E-4</v>
      </c>
      <c r="J4989"/>
      <c r="K4989"/>
    </row>
    <row r="4990" spans="1:11" x14ac:dyDescent="0.25">
      <c r="A4990">
        <v>4</v>
      </c>
      <c r="B4990">
        <v>17</v>
      </c>
      <c r="C4990"/>
      <c r="D4990" t="s">
        <v>31</v>
      </c>
      <c r="E4990" t="s">
        <v>35</v>
      </c>
      <c r="F4990" t="s">
        <v>56</v>
      </c>
      <c r="G4990" s="118">
        <v>0.83368055555555554</v>
      </c>
      <c r="H4990" s="118">
        <v>1.261574074074074E-3</v>
      </c>
      <c r="I4990" s="118">
        <v>3.4722222222222224E-4</v>
      </c>
      <c r="J4990"/>
      <c r="K4990"/>
    </row>
    <row r="4991" spans="1:11" x14ac:dyDescent="0.25">
      <c r="A4991">
        <v>2</v>
      </c>
      <c r="B4991">
        <v>18</v>
      </c>
      <c r="C4991"/>
      <c r="D4991" t="s">
        <v>31</v>
      </c>
      <c r="E4991" t="s">
        <v>32</v>
      </c>
      <c r="F4991" t="s">
        <v>38</v>
      </c>
      <c r="G4991" s="118">
        <v>0.83371527777777776</v>
      </c>
      <c r="H4991" s="118">
        <v>3.4722222222222224E-4</v>
      </c>
      <c r="I4991" s="118">
        <v>1.2384259259259258E-3</v>
      </c>
      <c r="J4991" s="118">
        <v>7.0717592592592594E-3</v>
      </c>
      <c r="K4991" s="118">
        <v>7.0717592592592594E-3</v>
      </c>
    </row>
    <row r="4992" spans="1:11" x14ac:dyDescent="0.25">
      <c r="A4992">
        <v>8</v>
      </c>
      <c r="B4992">
        <v>5</v>
      </c>
      <c r="C4992"/>
      <c r="D4992" t="s">
        <v>31</v>
      </c>
      <c r="E4992" t="s">
        <v>32</v>
      </c>
      <c r="F4992" t="s">
        <v>40</v>
      </c>
      <c r="G4992" s="118">
        <v>0.83376157407407403</v>
      </c>
      <c r="H4992" s="118">
        <v>4.6296296296296293E-4</v>
      </c>
      <c r="I4992" s="118">
        <v>1.0069444444444444E-3</v>
      </c>
      <c r="J4992" s="118">
        <v>5.0462962962962961E-3</v>
      </c>
      <c r="K4992" s="118">
        <v>5.0462962962962961E-3</v>
      </c>
    </row>
    <row r="4993" spans="1:11" x14ac:dyDescent="0.25">
      <c r="A4993">
        <v>3</v>
      </c>
      <c r="B4993">
        <v>17</v>
      </c>
      <c r="C4993"/>
      <c r="D4993" t="s">
        <v>31</v>
      </c>
      <c r="E4993" t="s">
        <v>35</v>
      </c>
      <c r="F4993" t="s">
        <v>54</v>
      </c>
      <c r="G4993" s="118">
        <v>0.83384259259259252</v>
      </c>
      <c r="H4993" s="118">
        <v>8.6805555555555551E-4</v>
      </c>
      <c r="I4993" s="118">
        <v>3.4722222222222224E-4</v>
      </c>
      <c r="J4993"/>
      <c r="K4993"/>
    </row>
    <row r="4994" spans="1:11" x14ac:dyDescent="0.25">
      <c r="A4994">
        <v>4</v>
      </c>
      <c r="B4994">
        <v>17</v>
      </c>
      <c r="C4994"/>
      <c r="D4994" t="s">
        <v>31</v>
      </c>
      <c r="E4994" t="s">
        <v>32</v>
      </c>
      <c r="F4994" t="s">
        <v>56</v>
      </c>
      <c r="G4994" s="118">
        <v>0.8340277777777777</v>
      </c>
      <c r="H4994" s="118">
        <v>3.4722222222222224E-4</v>
      </c>
      <c r="I4994" s="118">
        <v>9.6064814814814808E-4</v>
      </c>
      <c r="J4994" s="118">
        <v>5.0462962962962961E-3</v>
      </c>
      <c r="K4994" s="118">
        <v>5.0462962962962961E-3</v>
      </c>
    </row>
    <row r="4995" spans="1:11" x14ac:dyDescent="0.25">
      <c r="A4995">
        <v>5</v>
      </c>
      <c r="B4995">
        <v>18</v>
      </c>
      <c r="C4995"/>
      <c r="D4995" t="s">
        <v>31</v>
      </c>
      <c r="E4995" t="s">
        <v>35</v>
      </c>
      <c r="F4995" t="s">
        <v>36</v>
      </c>
      <c r="G4995" s="118">
        <v>0.83417824074074076</v>
      </c>
      <c r="H4995" s="118">
        <v>9.6064814814814808E-4</v>
      </c>
      <c r="I4995" s="118">
        <v>3.4722222222222224E-4</v>
      </c>
      <c r="J4995"/>
      <c r="K4995"/>
    </row>
    <row r="4996" spans="1:11" x14ac:dyDescent="0.25">
      <c r="A4996">
        <v>3</v>
      </c>
      <c r="B4996">
        <v>17</v>
      </c>
      <c r="C4996"/>
      <c r="D4996" t="s">
        <v>31</v>
      </c>
      <c r="E4996" t="s">
        <v>32</v>
      </c>
      <c r="F4996" t="s">
        <v>54</v>
      </c>
      <c r="G4996" s="118">
        <v>0.83418981481481491</v>
      </c>
      <c r="H4996" s="118">
        <v>3.4722222222222224E-4</v>
      </c>
      <c r="I4996" s="118">
        <v>1.1921296296296296E-3</v>
      </c>
      <c r="J4996" s="118">
        <v>5.0462962962962961E-3</v>
      </c>
      <c r="K4996" s="118">
        <v>5.0462962962962961E-3</v>
      </c>
    </row>
    <row r="4997" spans="1:11" x14ac:dyDescent="0.25">
      <c r="A4997">
        <v>1</v>
      </c>
      <c r="B4997">
        <v>17</v>
      </c>
      <c r="C4997"/>
      <c r="D4997" t="s">
        <v>31</v>
      </c>
      <c r="E4997" t="s">
        <v>35</v>
      </c>
      <c r="F4997" t="s">
        <v>46</v>
      </c>
      <c r="G4997" s="118">
        <v>0.83428240740740733</v>
      </c>
      <c r="H4997" s="118">
        <v>1.8055555555555557E-3</v>
      </c>
      <c r="I4997" s="118">
        <v>3.4722222222222224E-4</v>
      </c>
      <c r="J4997"/>
      <c r="K4997"/>
    </row>
    <row r="4998" spans="1:11" x14ac:dyDescent="0.25">
      <c r="A4998">
        <v>9</v>
      </c>
      <c r="B4998">
        <v>5</v>
      </c>
      <c r="C4998"/>
      <c r="D4998" t="s">
        <v>31</v>
      </c>
      <c r="E4998" t="s">
        <v>32</v>
      </c>
      <c r="F4998" t="s">
        <v>92</v>
      </c>
      <c r="G4998" s="118">
        <v>0.83437499999999998</v>
      </c>
      <c r="H4998" s="118">
        <v>3.472222222222222E-3</v>
      </c>
      <c r="I4998" s="118">
        <v>1.0069444444444444E-3</v>
      </c>
      <c r="J4998" s="118">
        <v>7.0717592592592594E-3</v>
      </c>
      <c r="K4998" s="118">
        <v>7.0717592592592594E-3</v>
      </c>
    </row>
    <row r="4999" spans="1:11" x14ac:dyDescent="0.25">
      <c r="A4999">
        <v>5</v>
      </c>
      <c r="B4999">
        <v>18</v>
      </c>
      <c r="C4999"/>
      <c r="D4999" t="s">
        <v>31</v>
      </c>
      <c r="E4999" t="s">
        <v>32</v>
      </c>
      <c r="F4999" t="s">
        <v>36</v>
      </c>
      <c r="G4999" s="118">
        <v>0.83452546296296293</v>
      </c>
      <c r="H4999" s="118">
        <v>3.4722222222222224E-4</v>
      </c>
      <c r="I4999" s="118">
        <v>1.0995370370370371E-3</v>
      </c>
      <c r="J4999" s="118">
        <v>5.0462962962962961E-3</v>
      </c>
      <c r="K4999" s="118">
        <v>5.0462962962962961E-3</v>
      </c>
    </row>
    <row r="5000" spans="1:11" x14ac:dyDescent="0.25">
      <c r="A5000">
        <v>1</v>
      </c>
      <c r="B5000">
        <v>17</v>
      </c>
      <c r="C5000"/>
      <c r="D5000" t="s">
        <v>31</v>
      </c>
      <c r="E5000" t="s">
        <v>32</v>
      </c>
      <c r="F5000" t="s">
        <v>46</v>
      </c>
      <c r="G5000" s="118">
        <v>0.83462962962962972</v>
      </c>
      <c r="H5000" s="118">
        <v>3.4722222222222224E-4</v>
      </c>
      <c r="I5000" s="118">
        <v>9.1435185185185185E-4</v>
      </c>
      <c r="J5000" s="118">
        <v>5.0462962962962961E-3</v>
      </c>
      <c r="K5000" s="118">
        <v>7.0717592592592594E-3</v>
      </c>
    </row>
    <row r="5001" spans="1:11" x14ac:dyDescent="0.25">
      <c r="A5001">
        <v>8</v>
      </c>
      <c r="B5001">
        <v>5</v>
      </c>
      <c r="C5001"/>
      <c r="D5001" t="s">
        <v>31</v>
      </c>
      <c r="E5001" t="s">
        <v>35</v>
      </c>
      <c r="F5001" t="s">
        <v>44</v>
      </c>
      <c r="G5001" s="118">
        <v>0.83476851851851841</v>
      </c>
      <c r="H5001" s="118">
        <v>1.0069444444444444E-3</v>
      </c>
      <c r="I5001" s="118">
        <v>3.4722222222222224E-4</v>
      </c>
      <c r="J5001"/>
      <c r="K5001"/>
    </row>
    <row r="5002" spans="1:11" x14ac:dyDescent="0.25">
      <c r="A5002">
        <v>2</v>
      </c>
      <c r="B5002">
        <v>18</v>
      </c>
      <c r="C5002"/>
      <c r="D5002" t="s">
        <v>31</v>
      </c>
      <c r="E5002" t="s">
        <v>35</v>
      </c>
      <c r="F5002" t="s">
        <v>45</v>
      </c>
      <c r="G5002" s="118">
        <v>0.8349537037037037</v>
      </c>
      <c r="H5002" s="118">
        <v>1.2384259259259258E-3</v>
      </c>
      <c r="I5002" s="118">
        <v>3.4722222222222224E-4</v>
      </c>
      <c r="J5002"/>
      <c r="K5002"/>
    </row>
    <row r="5003" spans="1:11" x14ac:dyDescent="0.25">
      <c r="A5003">
        <v>4</v>
      </c>
      <c r="B5003">
        <v>17</v>
      </c>
      <c r="C5003"/>
      <c r="D5003" t="s">
        <v>31</v>
      </c>
      <c r="E5003" t="s">
        <v>35</v>
      </c>
      <c r="F5003" t="s">
        <v>37</v>
      </c>
      <c r="G5003" s="118">
        <v>0.83498842592592604</v>
      </c>
      <c r="H5003" s="118">
        <v>9.6064814814814808E-4</v>
      </c>
      <c r="I5003" s="118">
        <v>3.4722222222222224E-4</v>
      </c>
      <c r="J5003"/>
      <c r="K5003"/>
    </row>
    <row r="5004" spans="1:11" x14ac:dyDescent="0.25">
      <c r="A5004">
        <v>8</v>
      </c>
      <c r="B5004">
        <v>5</v>
      </c>
      <c r="C5004"/>
      <c r="D5004" t="s">
        <v>31</v>
      </c>
      <c r="E5004" t="s">
        <v>32</v>
      </c>
      <c r="F5004" t="s">
        <v>44</v>
      </c>
      <c r="G5004" s="118">
        <v>0.8351157407407408</v>
      </c>
      <c r="H5004" s="118">
        <v>3.4722222222222224E-4</v>
      </c>
      <c r="I5004" s="118">
        <v>9.2592592592592585E-4</v>
      </c>
      <c r="J5004" s="118">
        <v>5.0462962962962961E-3</v>
      </c>
      <c r="K5004" s="118">
        <v>5.0462962962962961E-3</v>
      </c>
    </row>
    <row r="5005" spans="1:11" x14ac:dyDescent="0.25">
      <c r="A5005">
        <v>2</v>
      </c>
      <c r="B5005">
        <v>18</v>
      </c>
      <c r="C5005"/>
      <c r="D5005" t="s">
        <v>31</v>
      </c>
      <c r="E5005" t="s">
        <v>32</v>
      </c>
      <c r="F5005" t="s">
        <v>45</v>
      </c>
      <c r="G5005" s="118">
        <v>0.83530092592592586</v>
      </c>
      <c r="H5005" s="118">
        <v>3.4722222222222224E-4</v>
      </c>
      <c r="I5005" s="118">
        <v>1.0416666666666667E-3</v>
      </c>
      <c r="J5005" s="118">
        <v>7.0717592592592594E-3</v>
      </c>
      <c r="K5005" s="118">
        <v>7.0717592592592594E-3</v>
      </c>
    </row>
    <row r="5006" spans="1:11" x14ac:dyDescent="0.25">
      <c r="A5006">
        <v>4</v>
      </c>
      <c r="B5006">
        <v>17</v>
      </c>
      <c r="C5006"/>
      <c r="D5006" t="s">
        <v>31</v>
      </c>
      <c r="E5006" t="s">
        <v>32</v>
      </c>
      <c r="F5006" t="s">
        <v>37</v>
      </c>
      <c r="G5006" s="118">
        <v>0.8353356481481482</v>
      </c>
      <c r="H5006" s="118">
        <v>3.4722222222222224E-4</v>
      </c>
      <c r="I5006" s="118">
        <v>9.0277777777777784E-4</v>
      </c>
      <c r="J5006" s="118">
        <v>5.0462962962962961E-3</v>
      </c>
      <c r="K5006" s="118">
        <v>5.0462962962962961E-3</v>
      </c>
    </row>
    <row r="5007" spans="1:11" x14ac:dyDescent="0.25">
      <c r="A5007">
        <v>3</v>
      </c>
      <c r="B5007">
        <v>17</v>
      </c>
      <c r="C5007"/>
      <c r="D5007" t="s">
        <v>31</v>
      </c>
      <c r="E5007" t="s">
        <v>35</v>
      </c>
      <c r="F5007" t="s">
        <v>92</v>
      </c>
      <c r="G5007" s="118">
        <v>0.83538194444444447</v>
      </c>
      <c r="H5007" s="118">
        <v>1.1921296296296296E-3</v>
      </c>
      <c r="I5007"/>
      <c r="J5007"/>
      <c r="K5007"/>
    </row>
    <row r="5008" spans="1:11" x14ac:dyDescent="0.25">
      <c r="A5008">
        <v>9</v>
      </c>
      <c r="B5008">
        <v>5</v>
      </c>
      <c r="C5008"/>
      <c r="D5008" t="s">
        <v>31</v>
      </c>
      <c r="E5008" t="s">
        <v>35</v>
      </c>
      <c r="F5008" t="s">
        <v>41</v>
      </c>
      <c r="G5008" s="118">
        <v>0.83538194444444447</v>
      </c>
      <c r="H5008" s="118">
        <v>1.0069444444444444E-3</v>
      </c>
      <c r="I5008" s="118">
        <v>3.4722222222222224E-4</v>
      </c>
      <c r="J5008"/>
      <c r="K5008"/>
    </row>
    <row r="5009" spans="1:11" x14ac:dyDescent="0.25">
      <c r="A5009">
        <v>1</v>
      </c>
      <c r="B5009">
        <v>17</v>
      </c>
      <c r="C5009"/>
      <c r="D5009" t="s">
        <v>31</v>
      </c>
      <c r="E5009" t="s">
        <v>35</v>
      </c>
      <c r="F5009" t="s">
        <v>51</v>
      </c>
      <c r="G5009" s="118">
        <v>0.83554398148148146</v>
      </c>
      <c r="H5009" s="118">
        <v>9.1435185185185185E-4</v>
      </c>
      <c r="I5009" s="118">
        <v>3.4722222222222224E-4</v>
      </c>
      <c r="J5009"/>
      <c r="K5009"/>
    </row>
    <row r="5010" spans="1:11" x14ac:dyDescent="0.25">
      <c r="A5010">
        <v>5</v>
      </c>
      <c r="B5010">
        <v>18</v>
      </c>
      <c r="C5010"/>
      <c r="D5010" t="s">
        <v>31</v>
      </c>
      <c r="E5010" t="s">
        <v>35</v>
      </c>
      <c r="F5010" t="s">
        <v>43</v>
      </c>
      <c r="G5010" s="118">
        <v>0.83562499999999995</v>
      </c>
      <c r="H5010" s="118">
        <v>1.0995370370370371E-3</v>
      </c>
      <c r="I5010" s="118">
        <v>3.4722222222222224E-4</v>
      </c>
      <c r="J5010"/>
      <c r="K5010"/>
    </row>
    <row r="5011" spans="1:11" x14ac:dyDescent="0.25">
      <c r="A5011">
        <v>9</v>
      </c>
      <c r="B5011">
        <v>5</v>
      </c>
      <c r="C5011"/>
      <c r="D5011" t="s">
        <v>31</v>
      </c>
      <c r="E5011" t="s">
        <v>32</v>
      </c>
      <c r="F5011" t="s">
        <v>41</v>
      </c>
      <c r="G5011" s="118">
        <v>0.83572916666666675</v>
      </c>
      <c r="H5011" s="118">
        <v>3.4722222222222224E-4</v>
      </c>
      <c r="I5011" s="118">
        <v>8.564814814814815E-4</v>
      </c>
      <c r="J5011" s="118">
        <v>7.0717592592592594E-3</v>
      </c>
      <c r="K5011" s="118">
        <v>7.0717592592592594E-3</v>
      </c>
    </row>
    <row r="5012" spans="1:11" x14ac:dyDescent="0.25">
      <c r="A5012">
        <v>1</v>
      </c>
      <c r="B5012">
        <v>17</v>
      </c>
      <c r="C5012"/>
      <c r="D5012" t="s">
        <v>31</v>
      </c>
      <c r="E5012" t="s">
        <v>32</v>
      </c>
      <c r="F5012" t="s">
        <v>51</v>
      </c>
      <c r="G5012" s="118">
        <v>0.83589120370370373</v>
      </c>
      <c r="H5012" s="118">
        <v>3.4722222222222224E-4</v>
      </c>
      <c r="I5012" s="118">
        <v>1.0069444444444444E-3</v>
      </c>
      <c r="J5012" s="118">
        <v>5.0462962962962961E-3</v>
      </c>
      <c r="K5012" s="118">
        <v>7.0717592592592594E-3</v>
      </c>
    </row>
    <row r="5013" spans="1:11" x14ac:dyDescent="0.25">
      <c r="A5013">
        <v>5</v>
      </c>
      <c r="B5013">
        <v>18</v>
      </c>
      <c r="C5013"/>
      <c r="D5013" t="s">
        <v>31</v>
      </c>
      <c r="E5013" t="s">
        <v>32</v>
      </c>
      <c r="F5013" t="s">
        <v>43</v>
      </c>
      <c r="G5013" s="118">
        <v>0.83597222222222223</v>
      </c>
      <c r="H5013" s="118">
        <v>3.4722222222222224E-4</v>
      </c>
      <c r="I5013" s="118">
        <v>1.1458333333333333E-3</v>
      </c>
      <c r="J5013" s="118">
        <v>5.0462962962962961E-3</v>
      </c>
      <c r="K5013" s="118">
        <v>5.0462962962962961E-3</v>
      </c>
    </row>
    <row r="5014" spans="1:11" x14ac:dyDescent="0.25">
      <c r="A5014">
        <v>8</v>
      </c>
      <c r="B5014">
        <v>5</v>
      </c>
      <c r="C5014"/>
      <c r="D5014" t="s">
        <v>31</v>
      </c>
      <c r="E5014" t="s">
        <v>35</v>
      </c>
      <c r="F5014" t="s">
        <v>49</v>
      </c>
      <c r="G5014" s="118">
        <v>0.83604166666666668</v>
      </c>
      <c r="H5014" s="118">
        <v>9.2592592592592585E-4</v>
      </c>
      <c r="I5014" s="118">
        <v>3.4722222222222224E-4</v>
      </c>
      <c r="J5014"/>
      <c r="K5014"/>
    </row>
    <row r="5015" spans="1:11" x14ac:dyDescent="0.25">
      <c r="A5015">
        <v>4</v>
      </c>
      <c r="B5015">
        <v>17</v>
      </c>
      <c r="C5015"/>
      <c r="D5015" t="s">
        <v>31</v>
      </c>
      <c r="E5015" t="s">
        <v>35</v>
      </c>
      <c r="F5015" t="s">
        <v>42</v>
      </c>
      <c r="G5015" s="118">
        <v>0.8362384259259259</v>
      </c>
      <c r="H5015" s="118">
        <v>9.0277777777777784E-4</v>
      </c>
      <c r="I5015" s="118">
        <v>3.4722222222222224E-4</v>
      </c>
      <c r="J5015"/>
      <c r="K5015"/>
    </row>
    <row r="5016" spans="1:11" x14ac:dyDescent="0.25">
      <c r="A5016">
        <v>2</v>
      </c>
      <c r="B5016">
        <v>18</v>
      </c>
      <c r="C5016"/>
      <c r="D5016" t="s">
        <v>31</v>
      </c>
      <c r="E5016" t="s">
        <v>35</v>
      </c>
      <c r="F5016" t="s">
        <v>52</v>
      </c>
      <c r="G5016" s="118">
        <v>0.83634259259259258</v>
      </c>
      <c r="H5016" s="118">
        <v>1.0416666666666667E-3</v>
      </c>
      <c r="I5016" s="118">
        <v>3.4722222222222224E-4</v>
      </c>
      <c r="J5016"/>
      <c r="K5016"/>
    </row>
    <row r="5017" spans="1:11" x14ac:dyDescent="0.25">
      <c r="A5017">
        <v>8</v>
      </c>
      <c r="B5017">
        <v>5</v>
      </c>
      <c r="C5017"/>
      <c r="D5017" t="s">
        <v>31</v>
      </c>
      <c r="E5017" t="s">
        <v>32</v>
      </c>
      <c r="F5017" t="s">
        <v>49</v>
      </c>
      <c r="G5017" s="118">
        <v>0.83638888888888896</v>
      </c>
      <c r="H5017" s="118">
        <v>3.4722222222222224E-4</v>
      </c>
      <c r="I5017" s="118">
        <v>1.3541666666666667E-3</v>
      </c>
      <c r="J5017" s="118">
        <v>5.0462962962962961E-3</v>
      </c>
      <c r="K5017" s="118">
        <v>5.0462962962962961E-3</v>
      </c>
    </row>
    <row r="5018" spans="1:11" x14ac:dyDescent="0.25">
      <c r="A5018">
        <v>4</v>
      </c>
      <c r="B5018">
        <v>17</v>
      </c>
      <c r="C5018"/>
      <c r="D5018" t="s">
        <v>31</v>
      </c>
      <c r="E5018" t="s">
        <v>32</v>
      </c>
      <c r="F5018" t="s">
        <v>42</v>
      </c>
      <c r="G5018" s="118">
        <v>0.83658564814814806</v>
      </c>
      <c r="H5018" s="118">
        <v>3.4722222222222224E-4</v>
      </c>
      <c r="I5018" s="118">
        <v>9.1435185185185185E-4</v>
      </c>
      <c r="J5018" s="118">
        <v>5.0462962962962961E-3</v>
      </c>
      <c r="K5018" s="118">
        <v>5.0462962962962961E-3</v>
      </c>
    </row>
    <row r="5019" spans="1:11" x14ac:dyDescent="0.25">
      <c r="A5019">
        <v>9</v>
      </c>
      <c r="B5019">
        <v>5</v>
      </c>
      <c r="C5019"/>
      <c r="D5019" t="s">
        <v>31</v>
      </c>
      <c r="E5019" t="s">
        <v>35</v>
      </c>
      <c r="F5019" t="s">
        <v>47</v>
      </c>
      <c r="G5019" s="118">
        <v>0.83658564814814806</v>
      </c>
      <c r="H5019" s="118">
        <v>8.564814814814815E-4</v>
      </c>
      <c r="I5019" s="118">
        <v>5.2083333333333333E-4</v>
      </c>
      <c r="J5019"/>
      <c r="K5019"/>
    </row>
    <row r="5020" spans="1:11" x14ac:dyDescent="0.25">
      <c r="A5020">
        <v>2</v>
      </c>
      <c r="B5020">
        <v>18</v>
      </c>
      <c r="C5020"/>
      <c r="D5020" t="s">
        <v>31</v>
      </c>
      <c r="E5020" t="s">
        <v>32</v>
      </c>
      <c r="F5020" t="s">
        <v>52</v>
      </c>
      <c r="G5020" s="118">
        <v>0.83668981481481486</v>
      </c>
      <c r="H5020" s="118">
        <v>3.4722222222222224E-4</v>
      </c>
      <c r="I5020" s="118">
        <v>1.0532407407407407E-3</v>
      </c>
      <c r="J5020" s="118">
        <v>7.0717592592592594E-3</v>
      </c>
      <c r="K5020" s="118">
        <v>7.0717592592592594E-3</v>
      </c>
    </row>
    <row r="5021" spans="1:11" x14ac:dyDescent="0.25">
      <c r="A5021">
        <v>1</v>
      </c>
      <c r="B5021">
        <v>17</v>
      </c>
      <c r="C5021"/>
      <c r="D5021" t="s">
        <v>31</v>
      </c>
      <c r="E5021" t="s">
        <v>35</v>
      </c>
      <c r="F5021" t="s">
        <v>55</v>
      </c>
      <c r="G5021" s="118">
        <v>0.83689814814814811</v>
      </c>
      <c r="H5021" s="118">
        <v>1.0069444444444444E-3</v>
      </c>
      <c r="I5021" s="118">
        <v>4.6296296296296293E-4</v>
      </c>
      <c r="J5021"/>
      <c r="K5021"/>
    </row>
    <row r="5022" spans="1:11" x14ac:dyDescent="0.25">
      <c r="A5022">
        <v>9</v>
      </c>
      <c r="B5022">
        <v>5</v>
      </c>
      <c r="C5022"/>
      <c r="D5022" t="s">
        <v>31</v>
      </c>
      <c r="E5022" t="s">
        <v>32</v>
      </c>
      <c r="F5022" t="s">
        <v>47</v>
      </c>
      <c r="G5022" s="118">
        <v>0.83710648148148159</v>
      </c>
      <c r="H5022" s="118">
        <v>5.2083333333333333E-4</v>
      </c>
      <c r="I5022" s="118">
        <v>8.7962962962962962E-4</v>
      </c>
      <c r="J5022" s="118">
        <v>7.0717592592592594E-3</v>
      </c>
      <c r="K5022" s="118">
        <v>7.0717592592592594E-3</v>
      </c>
    </row>
    <row r="5023" spans="1:11" x14ac:dyDescent="0.25">
      <c r="A5023">
        <v>5</v>
      </c>
      <c r="B5023">
        <v>18</v>
      </c>
      <c r="C5023"/>
      <c r="D5023" t="s">
        <v>31</v>
      </c>
      <c r="E5023" t="s">
        <v>35</v>
      </c>
      <c r="F5023" t="s">
        <v>50</v>
      </c>
      <c r="G5023" s="118">
        <v>0.83711805555555552</v>
      </c>
      <c r="H5023" s="118">
        <v>1.1458333333333333E-3</v>
      </c>
      <c r="I5023" s="118">
        <v>3.4722222222222224E-4</v>
      </c>
      <c r="J5023"/>
      <c r="K5023"/>
    </row>
    <row r="5024" spans="1:11" x14ac:dyDescent="0.25">
      <c r="A5024">
        <v>1</v>
      </c>
      <c r="B5024">
        <v>17</v>
      </c>
      <c r="C5024"/>
      <c r="D5024" t="s">
        <v>31</v>
      </c>
      <c r="E5024" t="s">
        <v>32</v>
      </c>
      <c r="F5024" t="s">
        <v>55</v>
      </c>
      <c r="G5024" s="118">
        <v>0.83736111111111111</v>
      </c>
      <c r="H5024" s="118">
        <v>4.6296296296296293E-4</v>
      </c>
      <c r="I5024" s="118">
        <v>4.3981481481481481E-4</v>
      </c>
      <c r="J5024" s="118">
        <v>5.0462962962962961E-3</v>
      </c>
      <c r="K5024" s="118">
        <v>7.0717592592592594E-3</v>
      </c>
    </row>
    <row r="5025" spans="1:11" x14ac:dyDescent="0.25">
      <c r="A5025">
        <v>5</v>
      </c>
      <c r="B5025">
        <v>18</v>
      </c>
      <c r="C5025"/>
      <c r="D5025" t="s">
        <v>31</v>
      </c>
      <c r="E5025" t="s">
        <v>32</v>
      </c>
      <c r="F5025" t="s">
        <v>50</v>
      </c>
      <c r="G5025" s="118">
        <v>0.83746527777777768</v>
      </c>
      <c r="H5025" s="118">
        <v>3.4722222222222224E-4</v>
      </c>
      <c r="I5025" s="118">
        <v>1.261574074074074E-3</v>
      </c>
      <c r="J5025" s="118">
        <v>5.0462962962962961E-3</v>
      </c>
      <c r="K5025" s="118">
        <v>5.0462962962962961E-3</v>
      </c>
    </row>
    <row r="5026" spans="1:11" x14ac:dyDescent="0.25">
      <c r="A5026">
        <v>4</v>
      </c>
      <c r="B5026">
        <v>17</v>
      </c>
      <c r="C5026"/>
      <c r="D5026" t="s">
        <v>31</v>
      </c>
      <c r="E5026" t="s">
        <v>35</v>
      </c>
      <c r="F5026" t="s">
        <v>48</v>
      </c>
      <c r="G5026" s="118">
        <v>0.83750000000000002</v>
      </c>
      <c r="H5026" s="118">
        <v>9.1435185185185185E-4</v>
      </c>
      <c r="I5026" s="118">
        <v>5.2083333333333333E-4</v>
      </c>
      <c r="J5026"/>
      <c r="K5026"/>
    </row>
    <row r="5027" spans="1:11" x14ac:dyDescent="0.25">
      <c r="A5027">
        <v>2</v>
      </c>
      <c r="B5027">
        <v>18</v>
      </c>
      <c r="C5027"/>
      <c r="D5027" t="s">
        <v>31</v>
      </c>
      <c r="E5027" t="s">
        <v>35</v>
      </c>
      <c r="F5027" t="s">
        <v>57</v>
      </c>
      <c r="G5027" s="118">
        <v>0.8377430555555555</v>
      </c>
      <c r="H5027" s="118">
        <v>1.0532407407407407E-3</v>
      </c>
      <c r="I5027" s="118">
        <v>3.4722222222222224E-4</v>
      </c>
      <c r="J5027"/>
      <c r="K5027"/>
    </row>
    <row r="5028" spans="1:11" x14ac:dyDescent="0.25">
      <c r="A5028">
        <v>8</v>
      </c>
      <c r="B5028">
        <v>5</v>
      </c>
      <c r="C5028"/>
      <c r="D5028" t="s">
        <v>31</v>
      </c>
      <c r="E5028" t="s">
        <v>35</v>
      </c>
      <c r="F5028" t="s">
        <v>33</v>
      </c>
      <c r="G5028" s="118">
        <v>0.8377430555555555</v>
      </c>
      <c r="H5028" s="118">
        <v>1.3541666666666667E-3</v>
      </c>
      <c r="I5028" s="118">
        <v>5.2083333333333333E-4</v>
      </c>
      <c r="J5028"/>
      <c r="K5028"/>
    </row>
    <row r="5029" spans="1:11" x14ac:dyDescent="0.25">
      <c r="A5029">
        <v>1</v>
      </c>
      <c r="B5029">
        <v>17</v>
      </c>
      <c r="C5029"/>
      <c r="D5029" t="s">
        <v>31</v>
      </c>
      <c r="E5029" t="s">
        <v>35</v>
      </c>
      <c r="F5029" t="s">
        <v>58</v>
      </c>
      <c r="G5029" s="118">
        <v>0.83780092592592592</v>
      </c>
      <c r="H5029" s="118">
        <v>4.3981481481481481E-4</v>
      </c>
      <c r="I5029" s="118">
        <v>5.7870370370370366E-5</v>
      </c>
      <c r="J5029"/>
      <c r="K5029"/>
    </row>
    <row r="5030" spans="1:11" x14ac:dyDescent="0.25">
      <c r="A5030">
        <v>1</v>
      </c>
      <c r="B5030">
        <v>17</v>
      </c>
      <c r="C5030"/>
      <c r="D5030" t="s">
        <v>31</v>
      </c>
      <c r="E5030" t="s">
        <v>32</v>
      </c>
      <c r="F5030" t="s">
        <v>58</v>
      </c>
      <c r="G5030" s="118">
        <v>0.83785879629629623</v>
      </c>
      <c r="H5030" s="118">
        <v>5.7870370370370366E-5</v>
      </c>
      <c r="I5030" s="118">
        <v>4.8611111111111104E-4</v>
      </c>
      <c r="J5030" s="118">
        <v>5.0462962962962961E-3</v>
      </c>
      <c r="K5030" s="118">
        <v>7.0717592592592594E-3</v>
      </c>
    </row>
    <row r="5031" spans="1:11" x14ac:dyDescent="0.25">
      <c r="A5031">
        <v>9</v>
      </c>
      <c r="B5031">
        <v>5</v>
      </c>
      <c r="C5031"/>
      <c r="D5031" t="s">
        <v>31</v>
      </c>
      <c r="E5031" t="s">
        <v>35</v>
      </c>
      <c r="F5031" t="s">
        <v>53</v>
      </c>
      <c r="G5031" s="118">
        <v>0.83798611111111121</v>
      </c>
      <c r="H5031" s="118">
        <v>8.7962962962962962E-4</v>
      </c>
      <c r="I5031" s="118">
        <v>3.4722222222222224E-4</v>
      </c>
      <c r="J5031"/>
      <c r="K5031"/>
    </row>
    <row r="5032" spans="1:11" x14ac:dyDescent="0.25">
      <c r="A5032">
        <v>4</v>
      </c>
      <c r="B5032">
        <v>17</v>
      </c>
      <c r="C5032"/>
      <c r="D5032" t="s">
        <v>31</v>
      </c>
      <c r="E5032" t="s">
        <v>32</v>
      </c>
      <c r="F5032" t="s">
        <v>48</v>
      </c>
      <c r="G5032" s="118">
        <v>0.83802083333333333</v>
      </c>
      <c r="H5032" s="118">
        <v>5.2083333333333333E-4</v>
      </c>
      <c r="I5032" s="118">
        <v>8.6805555555555551E-4</v>
      </c>
      <c r="J5032" s="118">
        <v>5.0462962962962961E-3</v>
      </c>
      <c r="K5032" s="118">
        <v>5.0462962962962961E-3</v>
      </c>
    </row>
    <row r="5033" spans="1:11" x14ac:dyDescent="0.25">
      <c r="A5033">
        <v>2</v>
      </c>
      <c r="B5033">
        <v>18</v>
      </c>
      <c r="C5033"/>
      <c r="D5033" t="s">
        <v>31</v>
      </c>
      <c r="E5033" t="s">
        <v>32</v>
      </c>
      <c r="F5033" t="s">
        <v>57</v>
      </c>
      <c r="G5033" s="118">
        <v>0.83809027777777778</v>
      </c>
      <c r="H5033" s="118">
        <v>3.4722222222222224E-4</v>
      </c>
      <c r="I5033" s="118">
        <v>9.3750000000000007E-4</v>
      </c>
      <c r="J5033" s="118">
        <v>7.0717592592592594E-3</v>
      </c>
      <c r="K5033" s="118">
        <v>7.0717592592592594E-3</v>
      </c>
    </row>
    <row r="5034" spans="1:11" x14ac:dyDescent="0.25">
      <c r="A5034">
        <v>8</v>
      </c>
      <c r="B5034">
        <v>5</v>
      </c>
      <c r="C5034"/>
      <c r="D5034" t="s">
        <v>31</v>
      </c>
      <c r="E5034" t="s">
        <v>32</v>
      </c>
      <c r="F5034" t="s">
        <v>33</v>
      </c>
      <c r="G5034" s="118">
        <v>0.83826388888888881</v>
      </c>
      <c r="H5034" s="118">
        <v>5.2083333333333333E-4</v>
      </c>
      <c r="I5034" s="118">
        <v>9.6064814814814808E-4</v>
      </c>
      <c r="J5034" s="118">
        <v>5.0462962962962961E-3</v>
      </c>
      <c r="K5034" s="118">
        <v>5.0462962962962961E-3</v>
      </c>
    </row>
    <row r="5035" spans="1:11" x14ac:dyDescent="0.25">
      <c r="A5035">
        <v>9</v>
      </c>
      <c r="B5035">
        <v>5</v>
      </c>
      <c r="C5035"/>
      <c r="D5035" t="s">
        <v>31</v>
      </c>
      <c r="E5035" t="s">
        <v>32</v>
      </c>
      <c r="F5035" t="s">
        <v>53</v>
      </c>
      <c r="G5035" s="118">
        <v>0.83833333333333337</v>
      </c>
      <c r="H5035" s="118">
        <v>3.4722222222222224E-4</v>
      </c>
      <c r="I5035" s="118">
        <v>8.449074074074075E-4</v>
      </c>
      <c r="J5035" s="118">
        <v>7.0717592592592594E-3</v>
      </c>
      <c r="K5035" s="118">
        <v>7.0717592592592594E-3</v>
      </c>
    </row>
    <row r="5036" spans="1:11" x14ac:dyDescent="0.25">
      <c r="A5036">
        <v>1</v>
      </c>
      <c r="B5036">
        <v>17</v>
      </c>
      <c r="C5036"/>
      <c r="D5036" t="s">
        <v>31</v>
      </c>
      <c r="E5036" t="s">
        <v>35</v>
      </c>
      <c r="F5036" t="s">
        <v>40</v>
      </c>
      <c r="G5036" s="118">
        <v>0.8383449074074073</v>
      </c>
      <c r="H5036" s="118">
        <v>4.8611111111111104E-4</v>
      </c>
      <c r="I5036" s="118">
        <v>4.6296296296296293E-4</v>
      </c>
      <c r="J5036"/>
      <c r="K5036"/>
    </row>
    <row r="5037" spans="1:11" x14ac:dyDescent="0.25">
      <c r="A5037">
        <v>5</v>
      </c>
      <c r="B5037">
        <v>18</v>
      </c>
      <c r="C5037"/>
      <c r="D5037" t="s">
        <v>31</v>
      </c>
      <c r="E5037" t="s">
        <v>35</v>
      </c>
      <c r="F5037" t="s">
        <v>56</v>
      </c>
      <c r="G5037" s="118">
        <v>0.83872685185185192</v>
      </c>
      <c r="H5037" s="118">
        <v>1.261574074074074E-3</v>
      </c>
      <c r="I5037" s="118">
        <v>3.4722222222222224E-4</v>
      </c>
      <c r="J5037"/>
      <c r="K5037"/>
    </row>
    <row r="5038" spans="1:11" x14ac:dyDescent="0.25">
      <c r="A5038">
        <v>1</v>
      </c>
      <c r="B5038">
        <v>17</v>
      </c>
      <c r="C5038"/>
      <c r="D5038" t="s">
        <v>31</v>
      </c>
      <c r="E5038" t="s">
        <v>32</v>
      </c>
      <c r="F5038" t="s">
        <v>40</v>
      </c>
      <c r="G5038" s="118">
        <v>0.83880787037037041</v>
      </c>
      <c r="H5038" s="118">
        <v>4.6296296296296293E-4</v>
      </c>
      <c r="I5038" s="118">
        <v>1.0069444444444444E-3</v>
      </c>
      <c r="J5038" s="118">
        <v>5.0462962962962961E-3</v>
      </c>
      <c r="K5038" s="118">
        <v>7.0717592592592594E-3</v>
      </c>
    </row>
    <row r="5039" spans="1:11" x14ac:dyDescent="0.25">
      <c r="A5039">
        <v>4</v>
      </c>
      <c r="B5039">
        <v>17</v>
      </c>
      <c r="C5039"/>
      <c r="D5039" t="s">
        <v>31</v>
      </c>
      <c r="E5039" t="s">
        <v>35</v>
      </c>
      <c r="F5039" t="s">
        <v>54</v>
      </c>
      <c r="G5039" s="118">
        <v>0.83888888888888891</v>
      </c>
      <c r="H5039" s="118">
        <v>8.6805555555555551E-4</v>
      </c>
      <c r="I5039" s="118">
        <v>3.4722222222222224E-4</v>
      </c>
      <c r="J5039"/>
      <c r="K5039"/>
    </row>
    <row r="5040" spans="1:11" x14ac:dyDescent="0.25">
      <c r="A5040">
        <v>2</v>
      </c>
      <c r="B5040">
        <v>18</v>
      </c>
      <c r="C5040"/>
      <c r="D5040" t="s">
        <v>31</v>
      </c>
      <c r="E5040" t="s">
        <v>35</v>
      </c>
      <c r="F5040" t="s">
        <v>39</v>
      </c>
      <c r="G5040" s="118">
        <v>0.83902777777777782</v>
      </c>
      <c r="H5040" s="118">
        <v>9.3750000000000007E-4</v>
      </c>
      <c r="I5040" s="118">
        <v>5.2083333333333333E-4</v>
      </c>
      <c r="J5040"/>
      <c r="K5040"/>
    </row>
    <row r="5041" spans="1:11" x14ac:dyDescent="0.25">
      <c r="A5041">
        <v>5</v>
      </c>
      <c r="B5041">
        <v>18</v>
      </c>
      <c r="C5041"/>
      <c r="D5041" t="s">
        <v>31</v>
      </c>
      <c r="E5041" t="s">
        <v>32</v>
      </c>
      <c r="F5041" t="s">
        <v>56</v>
      </c>
      <c r="G5041" s="118">
        <v>0.83907407407407408</v>
      </c>
      <c r="H5041" s="118">
        <v>3.4722222222222224E-4</v>
      </c>
      <c r="I5041" s="118">
        <v>9.6064814814814808E-4</v>
      </c>
      <c r="J5041" s="118">
        <v>5.0462962962962961E-3</v>
      </c>
      <c r="K5041" s="118">
        <v>5.0462962962962961E-3</v>
      </c>
    </row>
    <row r="5042" spans="1:11" x14ac:dyDescent="0.25">
      <c r="A5042">
        <v>9</v>
      </c>
      <c r="B5042">
        <v>5</v>
      </c>
      <c r="C5042"/>
      <c r="D5042" t="s">
        <v>31</v>
      </c>
      <c r="E5042" t="s">
        <v>35</v>
      </c>
      <c r="F5042" t="s">
        <v>34</v>
      </c>
      <c r="G5042" s="118">
        <v>0.83917824074074077</v>
      </c>
      <c r="H5042" s="118">
        <v>8.449074074074075E-4</v>
      </c>
      <c r="I5042" s="118">
        <v>3.4722222222222224E-4</v>
      </c>
      <c r="J5042"/>
      <c r="K5042"/>
    </row>
    <row r="5043" spans="1:11" x14ac:dyDescent="0.25">
      <c r="A5043">
        <v>8</v>
      </c>
      <c r="B5043">
        <v>5</v>
      </c>
      <c r="C5043"/>
      <c r="D5043" t="s">
        <v>31</v>
      </c>
      <c r="E5043" t="s">
        <v>35</v>
      </c>
      <c r="F5043" t="s">
        <v>36</v>
      </c>
      <c r="G5043" s="118">
        <v>0.83922453703703714</v>
      </c>
      <c r="H5043" s="118">
        <v>9.6064814814814808E-4</v>
      </c>
      <c r="I5043" s="118">
        <v>3.4722222222222224E-4</v>
      </c>
      <c r="J5043"/>
      <c r="K5043"/>
    </row>
    <row r="5044" spans="1:11" x14ac:dyDescent="0.25">
      <c r="A5044">
        <v>4</v>
      </c>
      <c r="B5044">
        <v>17</v>
      </c>
      <c r="C5044"/>
      <c r="D5044" t="s">
        <v>31</v>
      </c>
      <c r="E5044" t="s">
        <v>32</v>
      </c>
      <c r="F5044" t="s">
        <v>54</v>
      </c>
      <c r="G5044" s="118">
        <v>0.83923611111111107</v>
      </c>
      <c r="H5044" s="118">
        <v>3.4722222222222224E-4</v>
      </c>
      <c r="I5044" s="118">
        <v>1.1921296296296296E-3</v>
      </c>
      <c r="J5044" s="118">
        <v>5.0462962962962961E-3</v>
      </c>
      <c r="K5044" s="118">
        <v>5.0462962962962961E-3</v>
      </c>
    </row>
    <row r="5045" spans="1:11" x14ac:dyDescent="0.25">
      <c r="A5045">
        <v>9</v>
      </c>
      <c r="B5045">
        <v>5</v>
      </c>
      <c r="C5045"/>
      <c r="D5045" t="s">
        <v>31</v>
      </c>
      <c r="E5045" t="s">
        <v>32</v>
      </c>
      <c r="F5045" t="s">
        <v>34</v>
      </c>
      <c r="G5045" s="118">
        <v>0.83952546296296304</v>
      </c>
      <c r="H5045" s="118">
        <v>3.4722222222222224E-4</v>
      </c>
      <c r="I5045" s="118">
        <v>9.1435185185185185E-4</v>
      </c>
      <c r="J5045" s="118">
        <v>7.0717592592592594E-3</v>
      </c>
      <c r="K5045" s="118">
        <v>7.0717592592592594E-3</v>
      </c>
    </row>
    <row r="5046" spans="1:11" x14ac:dyDescent="0.25">
      <c r="A5046">
        <v>2</v>
      </c>
      <c r="B5046">
        <v>18</v>
      </c>
      <c r="C5046"/>
      <c r="D5046" t="s">
        <v>31</v>
      </c>
      <c r="E5046" t="s">
        <v>32</v>
      </c>
      <c r="F5046" t="s">
        <v>39</v>
      </c>
      <c r="G5046" s="118">
        <v>0.83954861111111112</v>
      </c>
      <c r="H5046" s="118">
        <v>5.2083333333333333E-4</v>
      </c>
      <c r="I5046" s="118">
        <v>1.8055555555555557E-3</v>
      </c>
      <c r="J5046" s="118">
        <v>7.0717592592592594E-3</v>
      </c>
      <c r="K5046" s="118">
        <v>7.0717592592592594E-3</v>
      </c>
    </row>
    <row r="5047" spans="1:11" x14ac:dyDescent="0.25">
      <c r="A5047">
        <v>8</v>
      </c>
      <c r="B5047">
        <v>5</v>
      </c>
      <c r="C5047"/>
      <c r="D5047" t="s">
        <v>31</v>
      </c>
      <c r="E5047" t="s">
        <v>32</v>
      </c>
      <c r="F5047" t="s">
        <v>36</v>
      </c>
      <c r="G5047" s="118">
        <v>0.83957175925925931</v>
      </c>
      <c r="H5047" s="118">
        <v>3.4722222222222224E-4</v>
      </c>
      <c r="I5047" s="118">
        <v>1.0995370370370371E-3</v>
      </c>
      <c r="J5047" s="118">
        <v>5.0462962962962961E-3</v>
      </c>
      <c r="K5047" s="118">
        <v>5.0462962962962961E-3</v>
      </c>
    </row>
    <row r="5048" spans="1:11" x14ac:dyDescent="0.25">
      <c r="A5048">
        <v>1</v>
      </c>
      <c r="B5048">
        <v>17</v>
      </c>
      <c r="C5048"/>
      <c r="D5048" t="s">
        <v>31</v>
      </c>
      <c r="E5048" t="s">
        <v>35</v>
      </c>
      <c r="F5048" t="s">
        <v>44</v>
      </c>
      <c r="G5048" s="118">
        <v>0.83981481481481479</v>
      </c>
      <c r="H5048" s="118">
        <v>1.0069444444444444E-3</v>
      </c>
      <c r="I5048" s="118">
        <v>3.4722222222222224E-4</v>
      </c>
      <c r="J5048"/>
      <c r="K5048"/>
    </row>
    <row r="5049" spans="1:11" x14ac:dyDescent="0.25">
      <c r="A5049">
        <v>5</v>
      </c>
      <c r="B5049">
        <v>18</v>
      </c>
      <c r="C5049"/>
      <c r="D5049" t="s">
        <v>31</v>
      </c>
      <c r="E5049" t="s">
        <v>35</v>
      </c>
      <c r="F5049" t="s">
        <v>37</v>
      </c>
      <c r="G5049" s="118">
        <v>0.8400347222222222</v>
      </c>
      <c r="H5049" s="118">
        <v>9.6064814814814808E-4</v>
      </c>
      <c r="I5049" s="118">
        <v>3.4722222222222224E-4</v>
      </c>
      <c r="J5049"/>
      <c r="K5049"/>
    </row>
    <row r="5050" spans="1:11" x14ac:dyDescent="0.25">
      <c r="A5050">
        <v>1</v>
      </c>
      <c r="B5050">
        <v>17</v>
      </c>
      <c r="C5050"/>
      <c r="D5050" t="s">
        <v>31</v>
      </c>
      <c r="E5050" t="s">
        <v>32</v>
      </c>
      <c r="F5050" t="s">
        <v>44</v>
      </c>
      <c r="G5050" s="118">
        <v>0.84016203703703696</v>
      </c>
      <c r="H5050" s="118">
        <v>3.4722222222222224E-4</v>
      </c>
      <c r="I5050" s="118">
        <v>9.2592592592592585E-4</v>
      </c>
      <c r="J5050" s="118">
        <v>5.0462962962962961E-3</v>
      </c>
      <c r="K5050" s="118">
        <v>7.0717592592592594E-3</v>
      </c>
    </row>
    <row r="5051" spans="1:11" x14ac:dyDescent="0.25">
      <c r="A5051">
        <v>5</v>
      </c>
      <c r="B5051">
        <v>18</v>
      </c>
      <c r="C5051"/>
      <c r="D5051" t="s">
        <v>31</v>
      </c>
      <c r="E5051" t="s">
        <v>32</v>
      </c>
      <c r="F5051" t="s">
        <v>37</v>
      </c>
      <c r="G5051" s="118">
        <v>0.84038194444444436</v>
      </c>
      <c r="H5051" s="118">
        <v>3.4722222222222224E-4</v>
      </c>
      <c r="I5051" s="118">
        <v>9.0277777777777784E-4</v>
      </c>
      <c r="J5051" s="118">
        <v>5.0462962962962961E-3</v>
      </c>
      <c r="K5051" s="118">
        <v>5.0462962962962961E-3</v>
      </c>
    </row>
    <row r="5052" spans="1:11" x14ac:dyDescent="0.25">
      <c r="A5052">
        <v>4</v>
      </c>
      <c r="B5052">
        <v>17</v>
      </c>
      <c r="C5052"/>
      <c r="D5052" t="s">
        <v>31</v>
      </c>
      <c r="E5052" t="s">
        <v>35</v>
      </c>
      <c r="F5052" t="s">
        <v>92</v>
      </c>
      <c r="G5052" s="118">
        <v>0.84042824074074074</v>
      </c>
      <c r="H5052" s="118">
        <v>1.1921296296296296E-3</v>
      </c>
      <c r="I5052" s="118">
        <v>1.0185185185185186E-3</v>
      </c>
      <c r="J5052"/>
      <c r="K5052"/>
    </row>
    <row r="5053" spans="1:11" x14ac:dyDescent="0.25">
      <c r="A5053">
        <v>9</v>
      </c>
      <c r="B5053">
        <v>5</v>
      </c>
      <c r="C5053"/>
      <c r="D5053" t="s">
        <v>31</v>
      </c>
      <c r="E5053" t="s">
        <v>35</v>
      </c>
      <c r="F5053" t="s">
        <v>38</v>
      </c>
      <c r="G5053" s="118">
        <v>0.84043981481481478</v>
      </c>
      <c r="H5053" s="118">
        <v>9.1435185185185185E-4</v>
      </c>
      <c r="I5053" s="118">
        <v>3.4722222222222224E-4</v>
      </c>
      <c r="J5053"/>
      <c r="K5053"/>
    </row>
    <row r="5054" spans="1:11" x14ac:dyDescent="0.25">
      <c r="A5054">
        <v>8</v>
      </c>
      <c r="B5054">
        <v>5</v>
      </c>
      <c r="C5054"/>
      <c r="D5054" t="s">
        <v>31</v>
      </c>
      <c r="E5054" t="s">
        <v>35</v>
      </c>
      <c r="F5054" t="s">
        <v>43</v>
      </c>
      <c r="G5054" s="118">
        <v>0.84067129629629633</v>
      </c>
      <c r="H5054" s="118">
        <v>1.0995370370370371E-3</v>
      </c>
      <c r="I5054" s="118">
        <v>3.4722222222222224E-4</v>
      </c>
      <c r="J5054"/>
      <c r="K5054"/>
    </row>
    <row r="5055" spans="1:11" x14ac:dyDescent="0.25">
      <c r="A5055">
        <v>9</v>
      </c>
      <c r="B5055">
        <v>5</v>
      </c>
      <c r="C5055"/>
      <c r="D5055" t="s">
        <v>31</v>
      </c>
      <c r="E5055" t="s">
        <v>32</v>
      </c>
      <c r="F5055" t="s">
        <v>38</v>
      </c>
      <c r="G5055" s="118">
        <v>0.84078703703703705</v>
      </c>
      <c r="H5055" s="118">
        <v>3.4722222222222224E-4</v>
      </c>
      <c r="I5055" s="118">
        <v>1.2384259259259258E-3</v>
      </c>
      <c r="J5055" s="118">
        <v>7.0717592592592594E-3</v>
      </c>
      <c r="K5055" s="118">
        <v>7.0717592592592594E-3</v>
      </c>
    </row>
    <row r="5056" spans="1:11" x14ac:dyDescent="0.25">
      <c r="A5056">
        <v>8</v>
      </c>
      <c r="B5056">
        <v>5</v>
      </c>
      <c r="C5056"/>
      <c r="D5056" t="s">
        <v>31</v>
      </c>
      <c r="E5056" t="s">
        <v>32</v>
      </c>
      <c r="F5056" t="s">
        <v>43</v>
      </c>
      <c r="G5056" s="118">
        <v>0.8410185185185185</v>
      </c>
      <c r="H5056" s="118">
        <v>3.4722222222222224E-4</v>
      </c>
      <c r="I5056" s="118">
        <v>1.1458333333333333E-3</v>
      </c>
      <c r="J5056" s="118">
        <v>5.0462962962962961E-3</v>
      </c>
      <c r="K5056" s="118">
        <v>5.0462962962962961E-3</v>
      </c>
    </row>
    <row r="5057" spans="1:11" x14ac:dyDescent="0.25">
      <c r="A5057">
        <v>1</v>
      </c>
      <c r="B5057">
        <v>17</v>
      </c>
      <c r="C5057"/>
      <c r="D5057" t="s">
        <v>31</v>
      </c>
      <c r="E5057" t="s">
        <v>35</v>
      </c>
      <c r="F5057" t="s">
        <v>49</v>
      </c>
      <c r="G5057" s="118">
        <v>0.84108796296296295</v>
      </c>
      <c r="H5057" s="118">
        <v>9.2592592592592585E-4</v>
      </c>
      <c r="I5057" s="118">
        <v>3.4722222222222224E-4</v>
      </c>
      <c r="J5057"/>
      <c r="K5057"/>
    </row>
    <row r="5058" spans="1:11" x14ac:dyDescent="0.25">
      <c r="A5058">
        <v>5</v>
      </c>
      <c r="B5058">
        <v>18</v>
      </c>
      <c r="C5058"/>
      <c r="D5058" t="s">
        <v>31</v>
      </c>
      <c r="E5058" t="s">
        <v>35</v>
      </c>
      <c r="F5058" t="s">
        <v>42</v>
      </c>
      <c r="G5058" s="118">
        <v>0.84128472222222228</v>
      </c>
      <c r="H5058" s="118">
        <v>9.0277777777777784E-4</v>
      </c>
      <c r="I5058" s="118">
        <v>3.4722222222222224E-4</v>
      </c>
      <c r="J5058"/>
      <c r="K5058"/>
    </row>
    <row r="5059" spans="1:11" x14ac:dyDescent="0.25">
      <c r="A5059">
        <v>2</v>
      </c>
      <c r="B5059">
        <v>18</v>
      </c>
      <c r="C5059"/>
      <c r="D5059" t="s">
        <v>31</v>
      </c>
      <c r="E5059" t="s">
        <v>35</v>
      </c>
      <c r="F5059" t="s">
        <v>46</v>
      </c>
      <c r="G5059" s="118">
        <v>0.84135416666666663</v>
      </c>
      <c r="H5059" s="118">
        <v>1.8055555555555557E-3</v>
      </c>
      <c r="I5059" s="118">
        <v>3.4722222222222224E-4</v>
      </c>
      <c r="J5059"/>
      <c r="K5059"/>
    </row>
    <row r="5060" spans="1:11" x14ac:dyDescent="0.25">
      <c r="A5060">
        <v>1</v>
      </c>
      <c r="B5060">
        <v>17</v>
      </c>
      <c r="C5060"/>
      <c r="D5060" t="s">
        <v>31</v>
      </c>
      <c r="E5060" t="s">
        <v>32</v>
      </c>
      <c r="F5060" t="s">
        <v>49</v>
      </c>
      <c r="G5060" s="118">
        <v>0.84143518518518512</v>
      </c>
      <c r="H5060" s="118">
        <v>3.4722222222222224E-4</v>
      </c>
      <c r="I5060" s="118">
        <v>1.3541666666666667E-3</v>
      </c>
      <c r="J5060" s="118">
        <v>5.0462962962962961E-3</v>
      </c>
      <c r="K5060" s="118">
        <v>7.0717592592592594E-3</v>
      </c>
    </row>
    <row r="5061" spans="1:11" x14ac:dyDescent="0.25">
      <c r="A5061">
        <v>4</v>
      </c>
      <c r="B5061">
        <v>18</v>
      </c>
      <c r="C5061"/>
      <c r="D5061" t="s">
        <v>31</v>
      </c>
      <c r="E5061" t="s">
        <v>32</v>
      </c>
      <c r="F5061" t="s">
        <v>92</v>
      </c>
      <c r="G5061" s="118">
        <v>0.84144675925925927</v>
      </c>
      <c r="H5061" s="118">
        <v>1.0185185185185186E-3</v>
      </c>
      <c r="I5061" s="118">
        <v>1.0069444444444444E-3</v>
      </c>
      <c r="J5061" s="118">
        <v>7.0717592592592594E-3</v>
      </c>
      <c r="K5061" s="118">
        <v>7.0717592592592594E-3</v>
      </c>
    </row>
    <row r="5062" spans="1:11" x14ac:dyDescent="0.25">
      <c r="A5062">
        <v>5</v>
      </c>
      <c r="B5062">
        <v>18</v>
      </c>
      <c r="C5062"/>
      <c r="D5062" t="s">
        <v>31</v>
      </c>
      <c r="E5062" t="s">
        <v>32</v>
      </c>
      <c r="F5062" t="s">
        <v>42</v>
      </c>
      <c r="G5062" s="118">
        <v>0.84163194444444445</v>
      </c>
      <c r="H5062" s="118">
        <v>3.4722222222222224E-4</v>
      </c>
      <c r="I5062" s="118">
        <v>9.1435185185185185E-4</v>
      </c>
      <c r="J5062" s="118">
        <v>5.0462962962962961E-3</v>
      </c>
      <c r="K5062" s="118">
        <v>5.0462962962962961E-3</v>
      </c>
    </row>
    <row r="5063" spans="1:11" x14ac:dyDescent="0.25">
      <c r="A5063">
        <v>2</v>
      </c>
      <c r="B5063">
        <v>18</v>
      </c>
      <c r="C5063"/>
      <c r="D5063" t="s">
        <v>31</v>
      </c>
      <c r="E5063" t="s">
        <v>32</v>
      </c>
      <c r="F5063" t="s">
        <v>46</v>
      </c>
      <c r="G5063" s="118">
        <v>0.84170138888888879</v>
      </c>
      <c r="H5063" s="118">
        <v>3.4722222222222224E-4</v>
      </c>
      <c r="I5063" s="118">
        <v>9.1435185185185185E-4</v>
      </c>
      <c r="J5063" s="118">
        <v>7.0717592592592594E-3</v>
      </c>
      <c r="K5063" s="118">
        <v>7.0717592592592594E-3</v>
      </c>
    </row>
    <row r="5064" spans="1:11" x14ac:dyDescent="0.25">
      <c r="A5064">
        <v>9</v>
      </c>
      <c r="B5064">
        <v>5</v>
      </c>
      <c r="C5064"/>
      <c r="D5064" t="s">
        <v>31</v>
      </c>
      <c r="E5064" t="s">
        <v>35</v>
      </c>
      <c r="F5064" t="s">
        <v>45</v>
      </c>
      <c r="G5064" s="118">
        <v>0.84202546296296299</v>
      </c>
      <c r="H5064" s="118">
        <v>1.2384259259259258E-3</v>
      </c>
      <c r="I5064" s="118">
        <v>3.4722222222222224E-4</v>
      </c>
      <c r="J5064"/>
      <c r="K5064"/>
    </row>
    <row r="5065" spans="1:11" x14ac:dyDescent="0.25">
      <c r="A5065">
        <v>8</v>
      </c>
      <c r="B5065">
        <v>5</v>
      </c>
      <c r="C5065"/>
      <c r="D5065" t="s">
        <v>31</v>
      </c>
      <c r="E5065" t="s">
        <v>35</v>
      </c>
      <c r="F5065" t="s">
        <v>50</v>
      </c>
      <c r="G5065" s="118">
        <v>0.8421643518518519</v>
      </c>
      <c r="H5065" s="118">
        <v>1.1458333333333333E-3</v>
      </c>
      <c r="I5065" s="118">
        <v>3.4722222222222224E-4</v>
      </c>
      <c r="J5065"/>
      <c r="K5065"/>
    </row>
    <row r="5066" spans="1:11" x14ac:dyDescent="0.25">
      <c r="A5066">
        <v>9</v>
      </c>
      <c r="B5066">
        <v>5</v>
      </c>
      <c r="C5066"/>
      <c r="D5066" t="s">
        <v>31</v>
      </c>
      <c r="E5066" t="s">
        <v>32</v>
      </c>
      <c r="F5066" t="s">
        <v>45</v>
      </c>
      <c r="G5066" s="118">
        <v>0.84237268518518515</v>
      </c>
      <c r="H5066" s="118">
        <v>3.4722222222222224E-4</v>
      </c>
      <c r="I5066" s="118">
        <v>1.0416666666666667E-3</v>
      </c>
      <c r="J5066" s="118">
        <v>7.0717592592592594E-3</v>
      </c>
      <c r="K5066" s="118">
        <v>7.0717592592592594E-3</v>
      </c>
    </row>
    <row r="5067" spans="1:11" x14ac:dyDescent="0.25">
      <c r="A5067">
        <v>4</v>
      </c>
      <c r="B5067">
        <v>18</v>
      </c>
      <c r="C5067"/>
      <c r="D5067" t="s">
        <v>31</v>
      </c>
      <c r="E5067" t="s">
        <v>35</v>
      </c>
      <c r="F5067" t="s">
        <v>41</v>
      </c>
      <c r="G5067" s="118">
        <v>0.84245370370370365</v>
      </c>
      <c r="H5067" s="118">
        <v>1.0069444444444444E-3</v>
      </c>
      <c r="I5067" s="118">
        <v>3.4722222222222224E-4</v>
      </c>
      <c r="J5067"/>
      <c r="K5067"/>
    </row>
    <row r="5068" spans="1:11" x14ac:dyDescent="0.25">
      <c r="A5068">
        <v>8</v>
      </c>
      <c r="B5068">
        <v>5</v>
      </c>
      <c r="C5068"/>
      <c r="D5068" t="s">
        <v>31</v>
      </c>
      <c r="E5068" t="s">
        <v>32</v>
      </c>
      <c r="F5068" t="s">
        <v>50</v>
      </c>
      <c r="G5068" s="118">
        <v>0.84251157407407407</v>
      </c>
      <c r="H5068" s="118">
        <v>3.4722222222222224E-4</v>
      </c>
      <c r="I5068" s="118">
        <v>1.261574074074074E-3</v>
      </c>
      <c r="J5068" s="118">
        <v>5.0462962962962961E-3</v>
      </c>
      <c r="K5068" s="118">
        <v>5.0462962962962961E-3</v>
      </c>
    </row>
    <row r="5069" spans="1:11" x14ac:dyDescent="0.25">
      <c r="A5069">
        <v>5</v>
      </c>
      <c r="B5069">
        <v>18</v>
      </c>
      <c r="C5069"/>
      <c r="D5069" t="s">
        <v>31</v>
      </c>
      <c r="E5069" t="s">
        <v>35</v>
      </c>
      <c r="F5069" t="s">
        <v>48</v>
      </c>
      <c r="G5069" s="118">
        <v>0.84254629629629629</v>
      </c>
      <c r="H5069" s="118">
        <v>9.1435185185185185E-4</v>
      </c>
      <c r="I5069" s="118">
        <v>5.2083333333333333E-4</v>
      </c>
      <c r="J5069"/>
      <c r="K5069"/>
    </row>
    <row r="5070" spans="1:11" x14ac:dyDescent="0.25">
      <c r="A5070">
        <v>2</v>
      </c>
      <c r="B5070">
        <v>18</v>
      </c>
      <c r="C5070"/>
      <c r="D5070" t="s">
        <v>31</v>
      </c>
      <c r="E5070" t="s">
        <v>35</v>
      </c>
      <c r="F5070" t="s">
        <v>51</v>
      </c>
      <c r="G5070" s="118">
        <v>0.84261574074074075</v>
      </c>
      <c r="H5070" s="118">
        <v>9.1435185185185185E-4</v>
      </c>
      <c r="I5070" s="118">
        <v>3.4722222222222224E-4</v>
      </c>
      <c r="J5070"/>
      <c r="K5070"/>
    </row>
    <row r="5071" spans="1:11" x14ac:dyDescent="0.25">
      <c r="A5071">
        <v>1</v>
      </c>
      <c r="B5071">
        <v>17</v>
      </c>
      <c r="C5071"/>
      <c r="D5071" t="s">
        <v>31</v>
      </c>
      <c r="E5071" t="s">
        <v>35</v>
      </c>
      <c r="F5071" t="s">
        <v>33</v>
      </c>
      <c r="G5071" s="118">
        <v>0.84278935185185189</v>
      </c>
      <c r="H5071" s="118">
        <v>1.3541666666666667E-3</v>
      </c>
      <c r="I5071" s="118">
        <v>5.2083333333333333E-4</v>
      </c>
      <c r="J5071"/>
      <c r="K5071"/>
    </row>
    <row r="5072" spans="1:11" x14ac:dyDescent="0.25">
      <c r="A5072">
        <v>4</v>
      </c>
      <c r="B5072">
        <v>18</v>
      </c>
      <c r="C5072"/>
      <c r="D5072" t="s">
        <v>31</v>
      </c>
      <c r="E5072" t="s">
        <v>32</v>
      </c>
      <c r="F5072" t="s">
        <v>41</v>
      </c>
      <c r="G5072" s="118">
        <v>0.84280092592592604</v>
      </c>
      <c r="H5072" s="118">
        <v>3.4722222222222224E-4</v>
      </c>
      <c r="I5072" s="118">
        <v>8.564814814814815E-4</v>
      </c>
      <c r="J5072" s="118">
        <v>7.0717592592592594E-3</v>
      </c>
      <c r="K5072" s="118">
        <v>7.0717592592592594E-3</v>
      </c>
    </row>
    <row r="5073" spans="1:11" x14ac:dyDescent="0.25">
      <c r="A5073">
        <v>2</v>
      </c>
      <c r="B5073">
        <v>18</v>
      </c>
      <c r="C5073"/>
      <c r="D5073" t="s">
        <v>31</v>
      </c>
      <c r="E5073" t="s">
        <v>32</v>
      </c>
      <c r="F5073" t="s">
        <v>51</v>
      </c>
      <c r="G5073" s="118">
        <v>0.84296296296296302</v>
      </c>
      <c r="H5073" s="118">
        <v>3.4722222222222224E-4</v>
      </c>
      <c r="I5073" s="118">
        <v>1.0069444444444444E-3</v>
      </c>
      <c r="J5073" s="118">
        <v>7.0717592592592594E-3</v>
      </c>
      <c r="K5073" s="118">
        <v>7.0717592592592594E-3</v>
      </c>
    </row>
    <row r="5074" spans="1:11" x14ac:dyDescent="0.25">
      <c r="A5074">
        <v>5</v>
      </c>
      <c r="B5074">
        <v>18</v>
      </c>
      <c r="C5074"/>
      <c r="D5074" t="s">
        <v>31</v>
      </c>
      <c r="E5074" t="s">
        <v>32</v>
      </c>
      <c r="F5074" t="s">
        <v>48</v>
      </c>
      <c r="G5074" s="118">
        <v>0.8430671296296296</v>
      </c>
      <c r="H5074" s="118">
        <v>5.2083333333333333E-4</v>
      </c>
      <c r="I5074" s="118">
        <v>8.6805555555555551E-4</v>
      </c>
      <c r="J5074" s="118">
        <v>5.0462962962962961E-3</v>
      </c>
      <c r="K5074" s="118">
        <v>5.0462962962962961E-3</v>
      </c>
    </row>
    <row r="5075" spans="1:11" x14ac:dyDescent="0.25">
      <c r="A5075">
        <v>1</v>
      </c>
      <c r="B5075">
        <v>17</v>
      </c>
      <c r="C5075"/>
      <c r="D5075" t="s">
        <v>31</v>
      </c>
      <c r="E5075" t="s">
        <v>32</v>
      </c>
      <c r="F5075" t="s">
        <v>33</v>
      </c>
      <c r="G5075" s="118">
        <v>0.84331018518518519</v>
      </c>
      <c r="H5075" s="118">
        <v>5.2083333333333333E-4</v>
      </c>
      <c r="I5075" s="118">
        <v>9.6064814814814808E-4</v>
      </c>
      <c r="J5075" s="118">
        <v>5.0462962962962961E-3</v>
      </c>
      <c r="K5075" s="118">
        <v>7.0717592592592594E-3</v>
      </c>
    </row>
    <row r="5076" spans="1:11" x14ac:dyDescent="0.25">
      <c r="A5076">
        <v>9</v>
      </c>
      <c r="B5076">
        <v>5</v>
      </c>
      <c r="C5076"/>
      <c r="D5076" t="s">
        <v>31</v>
      </c>
      <c r="E5076" t="s">
        <v>35</v>
      </c>
      <c r="F5076" t="s">
        <v>52</v>
      </c>
      <c r="G5076" s="118">
        <v>0.84341435185185187</v>
      </c>
      <c r="H5076" s="118">
        <v>1.0416666666666667E-3</v>
      </c>
      <c r="I5076" s="118">
        <v>3.4722222222222224E-4</v>
      </c>
      <c r="J5076"/>
      <c r="K5076"/>
    </row>
    <row r="5077" spans="1:11" x14ac:dyDescent="0.25">
      <c r="A5077">
        <v>4</v>
      </c>
      <c r="B5077">
        <v>18</v>
      </c>
      <c r="C5077"/>
      <c r="D5077" t="s">
        <v>31</v>
      </c>
      <c r="E5077" t="s">
        <v>35</v>
      </c>
      <c r="F5077" t="s">
        <v>47</v>
      </c>
      <c r="G5077" s="118">
        <v>0.84365740740740736</v>
      </c>
      <c r="H5077" s="118">
        <v>8.564814814814815E-4</v>
      </c>
      <c r="I5077" s="118">
        <v>5.2083333333333333E-4</v>
      </c>
      <c r="J5077"/>
      <c r="K5077"/>
    </row>
    <row r="5078" spans="1:11" x14ac:dyDescent="0.25">
      <c r="A5078">
        <v>9</v>
      </c>
      <c r="B5078">
        <v>5</v>
      </c>
      <c r="C5078"/>
      <c r="D5078" t="s">
        <v>31</v>
      </c>
      <c r="E5078" t="s">
        <v>32</v>
      </c>
      <c r="F5078" t="s">
        <v>52</v>
      </c>
      <c r="G5078" s="118">
        <v>0.84376157407407415</v>
      </c>
      <c r="H5078" s="118">
        <v>3.4722222222222224E-4</v>
      </c>
      <c r="I5078" s="118">
        <v>1.0532407407407407E-3</v>
      </c>
      <c r="J5078" s="118">
        <v>7.0717592592592594E-3</v>
      </c>
      <c r="K5078" s="118">
        <v>7.0717592592592594E-3</v>
      </c>
    </row>
    <row r="5079" spans="1:11" x14ac:dyDescent="0.25">
      <c r="A5079">
        <v>8</v>
      </c>
      <c r="B5079">
        <v>5</v>
      </c>
      <c r="C5079"/>
      <c r="D5079" t="s">
        <v>31</v>
      </c>
      <c r="E5079" t="s">
        <v>35</v>
      </c>
      <c r="F5079" t="s">
        <v>56</v>
      </c>
      <c r="G5079" s="118">
        <v>0.84377314814814808</v>
      </c>
      <c r="H5079" s="118">
        <v>1.261574074074074E-3</v>
      </c>
      <c r="I5079" s="118">
        <v>3.4722222222222224E-4</v>
      </c>
      <c r="J5079"/>
      <c r="K5079"/>
    </row>
    <row r="5080" spans="1:11" x14ac:dyDescent="0.25">
      <c r="A5080">
        <v>5</v>
      </c>
      <c r="B5080">
        <v>18</v>
      </c>
      <c r="C5080"/>
      <c r="D5080" t="s">
        <v>31</v>
      </c>
      <c r="E5080" t="s">
        <v>35</v>
      </c>
      <c r="F5080" t="s">
        <v>54</v>
      </c>
      <c r="G5080" s="118">
        <v>0.84393518518518518</v>
      </c>
      <c r="H5080" s="118">
        <v>8.6805555555555551E-4</v>
      </c>
      <c r="I5080" s="118">
        <v>3.4722222222222224E-4</v>
      </c>
      <c r="J5080"/>
      <c r="K5080"/>
    </row>
    <row r="5081" spans="1:11" x14ac:dyDescent="0.25">
      <c r="A5081">
        <v>2</v>
      </c>
      <c r="B5081">
        <v>18</v>
      </c>
      <c r="C5081"/>
      <c r="D5081" t="s">
        <v>31</v>
      </c>
      <c r="E5081" t="s">
        <v>35</v>
      </c>
      <c r="F5081" t="s">
        <v>55</v>
      </c>
      <c r="G5081" s="118">
        <v>0.8439699074074074</v>
      </c>
      <c r="H5081" s="118">
        <v>1.0069444444444444E-3</v>
      </c>
      <c r="I5081" s="118">
        <v>4.6296296296296293E-4</v>
      </c>
      <c r="J5081"/>
      <c r="K5081"/>
    </row>
    <row r="5082" spans="1:11" x14ac:dyDescent="0.25">
      <c r="A5082">
        <v>8</v>
      </c>
      <c r="B5082">
        <v>5</v>
      </c>
      <c r="C5082"/>
      <c r="D5082" t="s">
        <v>31</v>
      </c>
      <c r="E5082" t="s">
        <v>32</v>
      </c>
      <c r="F5082" t="s">
        <v>56</v>
      </c>
      <c r="G5082" s="118">
        <v>0.84412037037037047</v>
      </c>
      <c r="H5082" s="118">
        <v>3.4722222222222224E-4</v>
      </c>
      <c r="I5082" s="118">
        <v>9.6064814814814808E-4</v>
      </c>
      <c r="J5082" s="118">
        <v>5.0462962962962961E-3</v>
      </c>
      <c r="K5082" s="118">
        <v>5.0462962962962961E-3</v>
      </c>
    </row>
    <row r="5083" spans="1:11" x14ac:dyDescent="0.25">
      <c r="A5083">
        <v>4</v>
      </c>
      <c r="B5083">
        <v>18</v>
      </c>
      <c r="C5083"/>
      <c r="D5083" t="s">
        <v>31</v>
      </c>
      <c r="E5083" t="s">
        <v>32</v>
      </c>
      <c r="F5083" t="s">
        <v>47</v>
      </c>
      <c r="G5083" s="118">
        <v>0.84417824074074066</v>
      </c>
      <c r="H5083" s="118">
        <v>5.2083333333333333E-4</v>
      </c>
      <c r="I5083" s="118">
        <v>8.7962962962962962E-4</v>
      </c>
      <c r="J5083" s="118">
        <v>7.0717592592592594E-3</v>
      </c>
      <c r="K5083" s="118">
        <v>7.0717592592592594E-3</v>
      </c>
    </row>
    <row r="5084" spans="1:11" x14ac:dyDescent="0.25">
      <c r="A5084">
        <v>1</v>
      </c>
      <c r="B5084">
        <v>17</v>
      </c>
      <c r="C5084"/>
      <c r="D5084" t="s">
        <v>31</v>
      </c>
      <c r="E5084" t="s">
        <v>35</v>
      </c>
      <c r="F5084" t="s">
        <v>36</v>
      </c>
      <c r="G5084" s="118">
        <v>0.8442708333333333</v>
      </c>
      <c r="H5084" s="118">
        <v>9.6064814814814808E-4</v>
      </c>
      <c r="I5084" s="118">
        <v>3.4722222222222224E-4</v>
      </c>
      <c r="J5084"/>
      <c r="K5084"/>
    </row>
    <row r="5085" spans="1:11" x14ac:dyDescent="0.25">
      <c r="A5085">
        <v>5</v>
      </c>
      <c r="B5085">
        <v>18</v>
      </c>
      <c r="C5085"/>
      <c r="D5085" t="s">
        <v>31</v>
      </c>
      <c r="E5085" t="s">
        <v>32</v>
      </c>
      <c r="F5085" t="s">
        <v>54</v>
      </c>
      <c r="G5085" s="118">
        <v>0.84428240740740745</v>
      </c>
      <c r="H5085" s="118">
        <v>3.4722222222222224E-4</v>
      </c>
      <c r="I5085" s="118">
        <v>1.1921296296296296E-3</v>
      </c>
      <c r="J5085" s="118">
        <v>5.0462962962962961E-3</v>
      </c>
      <c r="K5085" s="118">
        <v>5.0462962962962961E-3</v>
      </c>
    </row>
    <row r="5086" spans="1:11" x14ac:dyDescent="0.25">
      <c r="A5086">
        <v>2</v>
      </c>
      <c r="B5086">
        <v>18</v>
      </c>
      <c r="C5086"/>
      <c r="D5086" t="s">
        <v>31</v>
      </c>
      <c r="E5086" t="s">
        <v>32</v>
      </c>
      <c r="F5086" t="s">
        <v>55</v>
      </c>
      <c r="G5086" s="118">
        <v>0.8444328703703704</v>
      </c>
      <c r="H5086" s="118">
        <v>4.6296296296296293E-4</v>
      </c>
      <c r="I5086" s="118">
        <v>4.3981481481481481E-4</v>
      </c>
      <c r="J5086" s="118">
        <v>7.0717592592592594E-3</v>
      </c>
      <c r="K5086" s="118">
        <v>7.0717592592592594E-3</v>
      </c>
    </row>
    <row r="5087" spans="1:11" x14ac:dyDescent="0.25">
      <c r="A5087">
        <v>1</v>
      </c>
      <c r="B5087">
        <v>17</v>
      </c>
      <c r="C5087"/>
      <c r="D5087" t="s">
        <v>31</v>
      </c>
      <c r="E5087" t="s">
        <v>32</v>
      </c>
      <c r="F5087" t="s">
        <v>36</v>
      </c>
      <c r="G5087" s="118">
        <v>0.84461805555555547</v>
      </c>
      <c r="H5087" s="118">
        <v>3.4722222222222224E-4</v>
      </c>
      <c r="I5087" s="118">
        <v>1.0995370370370371E-3</v>
      </c>
      <c r="J5087" s="118">
        <v>5.0462962962962961E-3</v>
      </c>
      <c r="K5087" s="118">
        <v>7.0717592592592594E-3</v>
      </c>
    </row>
    <row r="5088" spans="1:11" x14ac:dyDescent="0.25">
      <c r="A5088">
        <v>9</v>
      </c>
      <c r="B5088">
        <v>5</v>
      </c>
      <c r="C5088"/>
      <c r="D5088" t="s">
        <v>31</v>
      </c>
      <c r="E5088" t="s">
        <v>35</v>
      </c>
      <c r="F5088" t="s">
        <v>57</v>
      </c>
      <c r="G5088" s="118">
        <v>0.8448148148148148</v>
      </c>
      <c r="H5088" s="118">
        <v>1.0532407407407407E-3</v>
      </c>
      <c r="I5088" s="118">
        <v>3.4722222222222224E-4</v>
      </c>
      <c r="J5088"/>
      <c r="K5088"/>
    </row>
    <row r="5089" spans="1:11" x14ac:dyDescent="0.25">
      <c r="A5089">
        <v>2</v>
      </c>
      <c r="B5089">
        <v>18</v>
      </c>
      <c r="C5089"/>
      <c r="D5089" t="s">
        <v>31</v>
      </c>
      <c r="E5089" t="s">
        <v>35</v>
      </c>
      <c r="F5089" t="s">
        <v>58</v>
      </c>
      <c r="G5089" s="118">
        <v>0.84487268518518521</v>
      </c>
      <c r="H5089" s="118">
        <v>4.3981481481481481E-4</v>
      </c>
      <c r="I5089" s="118">
        <v>5.7870370370370366E-5</v>
      </c>
      <c r="J5089"/>
      <c r="K5089"/>
    </row>
    <row r="5090" spans="1:11" x14ac:dyDescent="0.25">
      <c r="A5090">
        <v>2</v>
      </c>
      <c r="B5090">
        <v>18</v>
      </c>
      <c r="C5090"/>
      <c r="D5090" t="s">
        <v>31</v>
      </c>
      <c r="E5090" t="s">
        <v>32</v>
      </c>
      <c r="F5090" t="s">
        <v>58</v>
      </c>
      <c r="G5090" s="118">
        <v>0.84493055555555552</v>
      </c>
      <c r="H5090" s="118">
        <v>5.7870370370370366E-5</v>
      </c>
      <c r="I5090" s="118">
        <v>4.8611111111111104E-4</v>
      </c>
      <c r="J5090" s="118">
        <v>7.0717592592592594E-3</v>
      </c>
      <c r="K5090" s="118">
        <v>7.0717592592592594E-3</v>
      </c>
    </row>
    <row r="5091" spans="1:11" x14ac:dyDescent="0.25">
      <c r="A5091">
        <v>4</v>
      </c>
      <c r="B5091">
        <v>18</v>
      </c>
      <c r="C5091"/>
      <c r="D5091" t="s">
        <v>31</v>
      </c>
      <c r="E5091" t="s">
        <v>35</v>
      </c>
      <c r="F5091" t="s">
        <v>53</v>
      </c>
      <c r="G5091" s="118">
        <v>0.84505787037037028</v>
      </c>
      <c r="H5091" s="118">
        <v>8.7962962962962962E-4</v>
      </c>
      <c r="I5091" s="118">
        <v>3.4722222222222224E-4</v>
      </c>
      <c r="J5091"/>
      <c r="K5091"/>
    </row>
    <row r="5092" spans="1:11" x14ac:dyDescent="0.25">
      <c r="A5092">
        <v>8</v>
      </c>
      <c r="B5092">
        <v>5</v>
      </c>
      <c r="C5092"/>
      <c r="D5092" t="s">
        <v>31</v>
      </c>
      <c r="E5092" t="s">
        <v>35</v>
      </c>
      <c r="F5092" t="s">
        <v>37</v>
      </c>
      <c r="G5092" s="118">
        <v>0.84508101851851858</v>
      </c>
      <c r="H5092" s="118">
        <v>9.6064814814814808E-4</v>
      </c>
      <c r="I5092" s="118">
        <v>3.4722222222222224E-4</v>
      </c>
      <c r="J5092"/>
      <c r="K5092"/>
    </row>
    <row r="5093" spans="1:11" x14ac:dyDescent="0.25">
      <c r="A5093">
        <v>9</v>
      </c>
      <c r="B5093">
        <v>5</v>
      </c>
      <c r="C5093"/>
      <c r="D5093" t="s">
        <v>31</v>
      </c>
      <c r="E5093" t="s">
        <v>32</v>
      </c>
      <c r="F5093" t="s">
        <v>57</v>
      </c>
      <c r="G5093" s="118">
        <v>0.84516203703703707</v>
      </c>
      <c r="H5093" s="118">
        <v>3.4722222222222224E-4</v>
      </c>
      <c r="I5093" s="118">
        <v>9.3750000000000007E-4</v>
      </c>
      <c r="J5093" s="118">
        <v>7.0717592592592594E-3</v>
      </c>
      <c r="K5093" s="118">
        <v>7.0717592592592594E-3</v>
      </c>
    </row>
    <row r="5094" spans="1:11" x14ac:dyDescent="0.25">
      <c r="A5094">
        <v>4</v>
      </c>
      <c r="B5094">
        <v>18</v>
      </c>
      <c r="C5094"/>
      <c r="D5094" t="s">
        <v>31</v>
      </c>
      <c r="E5094" t="s">
        <v>32</v>
      </c>
      <c r="F5094" t="s">
        <v>53</v>
      </c>
      <c r="G5094" s="118">
        <v>0.84540509259259267</v>
      </c>
      <c r="H5094" s="118">
        <v>3.4722222222222224E-4</v>
      </c>
      <c r="I5094" s="118">
        <v>8.449074074074075E-4</v>
      </c>
      <c r="J5094" s="118">
        <v>7.0717592592592594E-3</v>
      </c>
      <c r="K5094" s="118">
        <v>7.0717592592592594E-3</v>
      </c>
    </row>
    <row r="5095" spans="1:11" x14ac:dyDescent="0.25">
      <c r="A5095">
        <v>2</v>
      </c>
      <c r="B5095">
        <v>18</v>
      </c>
      <c r="C5095"/>
      <c r="D5095" t="s">
        <v>31</v>
      </c>
      <c r="E5095" t="s">
        <v>35</v>
      </c>
      <c r="F5095" t="s">
        <v>40</v>
      </c>
      <c r="G5095" s="118">
        <v>0.84541666666666659</v>
      </c>
      <c r="H5095" s="118">
        <v>4.8611111111111104E-4</v>
      </c>
      <c r="I5095" s="118">
        <v>4.6296296296296293E-4</v>
      </c>
      <c r="J5095"/>
      <c r="K5095"/>
    </row>
    <row r="5096" spans="1:11" x14ac:dyDescent="0.25">
      <c r="A5096">
        <v>8</v>
      </c>
      <c r="B5096">
        <v>5</v>
      </c>
      <c r="C5096"/>
      <c r="D5096" t="s">
        <v>31</v>
      </c>
      <c r="E5096" t="s">
        <v>32</v>
      </c>
      <c r="F5096" t="s">
        <v>37</v>
      </c>
      <c r="G5096" s="118">
        <v>0.84542824074074074</v>
      </c>
      <c r="H5096" s="118">
        <v>3.4722222222222224E-4</v>
      </c>
      <c r="I5096" s="118">
        <v>9.0277777777777784E-4</v>
      </c>
      <c r="J5096" s="118">
        <v>5.0462962962962961E-3</v>
      </c>
      <c r="K5096" s="118">
        <v>5.0462962962962961E-3</v>
      </c>
    </row>
    <row r="5097" spans="1:11" x14ac:dyDescent="0.25">
      <c r="A5097">
        <v>5</v>
      </c>
      <c r="B5097">
        <v>18</v>
      </c>
      <c r="C5097"/>
      <c r="D5097" t="s">
        <v>31</v>
      </c>
      <c r="E5097" t="s">
        <v>35</v>
      </c>
      <c r="F5097" t="s">
        <v>92</v>
      </c>
      <c r="G5097" s="118">
        <v>0.84547453703703701</v>
      </c>
      <c r="H5097" s="118">
        <v>1.1921296296296296E-3</v>
      </c>
      <c r="I5097" s="118">
        <v>3.0439814814814821E-3</v>
      </c>
      <c r="J5097"/>
      <c r="K5097"/>
    </row>
    <row r="5098" spans="1:11" x14ac:dyDescent="0.25">
      <c r="A5098">
        <v>1</v>
      </c>
      <c r="B5098">
        <v>17</v>
      </c>
      <c r="C5098"/>
      <c r="D5098" t="s">
        <v>31</v>
      </c>
      <c r="E5098" t="s">
        <v>35</v>
      </c>
      <c r="F5098" t="s">
        <v>43</v>
      </c>
      <c r="G5098" s="118">
        <v>0.84571759259259249</v>
      </c>
      <c r="H5098" s="118">
        <v>1.0995370370370371E-3</v>
      </c>
      <c r="I5098" s="118">
        <v>3.4722222222222224E-4</v>
      </c>
      <c r="J5098"/>
      <c r="K5098"/>
    </row>
    <row r="5099" spans="1:11" x14ac:dyDescent="0.25">
      <c r="A5099">
        <v>2</v>
      </c>
      <c r="B5099">
        <v>18</v>
      </c>
      <c r="C5099"/>
      <c r="D5099" t="s">
        <v>31</v>
      </c>
      <c r="E5099" t="s">
        <v>32</v>
      </c>
      <c r="F5099" t="s">
        <v>40</v>
      </c>
      <c r="G5099" s="118">
        <v>0.8458796296296297</v>
      </c>
      <c r="H5099" s="118">
        <v>4.6296296296296293E-4</v>
      </c>
      <c r="I5099" s="118">
        <v>1.0069444444444444E-3</v>
      </c>
      <c r="J5099" s="118">
        <v>7.0717592592592594E-3</v>
      </c>
      <c r="K5099" s="118">
        <v>7.0717592592592594E-3</v>
      </c>
    </row>
    <row r="5100" spans="1:11" x14ac:dyDescent="0.25">
      <c r="A5100">
        <v>1</v>
      </c>
      <c r="B5100">
        <v>17</v>
      </c>
      <c r="C5100"/>
      <c r="D5100" t="s">
        <v>31</v>
      </c>
      <c r="E5100" t="s">
        <v>32</v>
      </c>
      <c r="F5100" t="s">
        <v>43</v>
      </c>
      <c r="G5100" s="118">
        <v>0.84606481481481488</v>
      </c>
      <c r="H5100" s="118">
        <v>3.4722222222222224E-4</v>
      </c>
      <c r="I5100" s="118">
        <v>1.1458333333333333E-3</v>
      </c>
      <c r="J5100" s="118">
        <v>5.0462962962962961E-3</v>
      </c>
      <c r="K5100" s="118">
        <v>7.0717592592592594E-3</v>
      </c>
    </row>
    <row r="5101" spans="1:11" x14ac:dyDescent="0.25">
      <c r="A5101">
        <v>9</v>
      </c>
      <c r="B5101">
        <v>5</v>
      </c>
      <c r="C5101"/>
      <c r="D5101" t="s">
        <v>31</v>
      </c>
      <c r="E5101" t="s">
        <v>35</v>
      </c>
      <c r="F5101" t="s">
        <v>39</v>
      </c>
      <c r="G5101" s="118">
        <v>0.84609953703703711</v>
      </c>
      <c r="H5101" s="118">
        <v>9.3750000000000007E-4</v>
      </c>
      <c r="I5101" s="118">
        <v>5.2083333333333333E-4</v>
      </c>
      <c r="J5101"/>
      <c r="K5101"/>
    </row>
    <row r="5102" spans="1:11" x14ac:dyDescent="0.25">
      <c r="A5102">
        <v>4</v>
      </c>
      <c r="B5102">
        <v>18</v>
      </c>
      <c r="C5102"/>
      <c r="D5102" t="s">
        <v>31</v>
      </c>
      <c r="E5102" t="s">
        <v>35</v>
      </c>
      <c r="F5102" t="s">
        <v>34</v>
      </c>
      <c r="G5102" s="118">
        <v>0.84624999999999995</v>
      </c>
      <c r="H5102" s="118">
        <v>8.449074074074075E-4</v>
      </c>
      <c r="I5102" s="118">
        <v>3.4722222222222224E-4</v>
      </c>
      <c r="J5102"/>
      <c r="K5102"/>
    </row>
    <row r="5103" spans="1:11" x14ac:dyDescent="0.25">
      <c r="A5103">
        <v>8</v>
      </c>
      <c r="B5103">
        <v>5</v>
      </c>
      <c r="C5103"/>
      <c r="D5103" t="s">
        <v>31</v>
      </c>
      <c r="E5103" t="s">
        <v>35</v>
      </c>
      <c r="F5103" t="s">
        <v>42</v>
      </c>
      <c r="G5103" s="118">
        <v>0.84633101851851855</v>
      </c>
      <c r="H5103" s="118">
        <v>9.0277777777777784E-4</v>
      </c>
      <c r="I5103" s="118">
        <v>3.4722222222222224E-4</v>
      </c>
      <c r="J5103"/>
      <c r="K5103"/>
    </row>
    <row r="5104" spans="1:11" x14ac:dyDescent="0.25">
      <c r="A5104">
        <v>4</v>
      </c>
      <c r="B5104">
        <v>18</v>
      </c>
      <c r="C5104"/>
      <c r="D5104" t="s">
        <v>31</v>
      </c>
      <c r="E5104" t="s">
        <v>32</v>
      </c>
      <c r="F5104" t="s">
        <v>34</v>
      </c>
      <c r="G5104" s="118">
        <v>0.84659722222222233</v>
      </c>
      <c r="H5104" s="118">
        <v>3.4722222222222224E-4</v>
      </c>
      <c r="I5104" s="118">
        <v>9.1435185185185185E-4</v>
      </c>
      <c r="J5104" s="118">
        <v>7.0717592592592594E-3</v>
      </c>
      <c r="K5104" s="118">
        <v>7.0717592592592594E-3</v>
      </c>
    </row>
    <row r="5105" spans="1:11" x14ac:dyDescent="0.25">
      <c r="A5105">
        <v>9</v>
      </c>
      <c r="B5105">
        <v>5</v>
      </c>
      <c r="C5105"/>
      <c r="D5105" t="s">
        <v>31</v>
      </c>
      <c r="E5105" t="s">
        <v>32</v>
      </c>
      <c r="F5105" t="s">
        <v>39</v>
      </c>
      <c r="G5105" s="118">
        <v>0.84662037037037041</v>
      </c>
      <c r="H5105" s="118">
        <v>5.2083333333333333E-4</v>
      </c>
      <c r="I5105" s="118">
        <v>1.8055555555555557E-3</v>
      </c>
      <c r="J5105" s="118">
        <v>7.0717592592592594E-3</v>
      </c>
      <c r="K5105" s="118">
        <v>7.0717592592592594E-3</v>
      </c>
    </row>
    <row r="5106" spans="1:11" x14ac:dyDescent="0.25">
      <c r="A5106">
        <v>8</v>
      </c>
      <c r="B5106">
        <v>5</v>
      </c>
      <c r="C5106"/>
      <c r="D5106" t="s">
        <v>31</v>
      </c>
      <c r="E5106" t="s">
        <v>32</v>
      </c>
      <c r="F5106" t="s">
        <v>42</v>
      </c>
      <c r="G5106" s="118">
        <v>0.84667824074074083</v>
      </c>
      <c r="H5106" s="118">
        <v>3.4722222222222224E-4</v>
      </c>
      <c r="I5106" s="118">
        <v>9.1435185185185185E-4</v>
      </c>
      <c r="J5106" s="118">
        <v>5.0462962962962961E-3</v>
      </c>
      <c r="K5106" s="118">
        <v>5.0462962962962961E-3</v>
      </c>
    </row>
    <row r="5107" spans="1:11" x14ac:dyDescent="0.25">
      <c r="A5107">
        <v>2</v>
      </c>
      <c r="B5107">
        <v>18</v>
      </c>
      <c r="C5107"/>
      <c r="D5107" t="s">
        <v>31</v>
      </c>
      <c r="E5107" t="s">
        <v>35</v>
      </c>
      <c r="F5107" t="s">
        <v>44</v>
      </c>
      <c r="G5107" s="118">
        <v>0.84688657407407408</v>
      </c>
      <c r="H5107" s="118">
        <v>1.0069444444444444E-3</v>
      </c>
      <c r="I5107" s="118">
        <v>3.4722222222222224E-4</v>
      </c>
      <c r="J5107"/>
      <c r="K5107"/>
    </row>
    <row r="5108" spans="1:11" x14ac:dyDescent="0.25">
      <c r="A5108">
        <v>1</v>
      </c>
      <c r="B5108">
        <v>17</v>
      </c>
      <c r="C5108"/>
      <c r="D5108" t="s">
        <v>31</v>
      </c>
      <c r="E5108" t="s">
        <v>35</v>
      </c>
      <c r="F5108" t="s">
        <v>50</v>
      </c>
      <c r="G5108" s="118">
        <v>0.84721064814814817</v>
      </c>
      <c r="H5108" s="118">
        <v>1.1458333333333333E-3</v>
      </c>
      <c r="I5108" s="118">
        <v>3.4722222222222224E-4</v>
      </c>
      <c r="J5108"/>
      <c r="K5108"/>
    </row>
    <row r="5109" spans="1:11" x14ac:dyDescent="0.25">
      <c r="A5109">
        <v>2</v>
      </c>
      <c r="B5109">
        <v>18</v>
      </c>
      <c r="C5109"/>
      <c r="D5109" t="s">
        <v>31</v>
      </c>
      <c r="E5109" t="s">
        <v>32</v>
      </c>
      <c r="F5109" t="s">
        <v>44</v>
      </c>
      <c r="G5109" s="118">
        <v>0.84723379629629625</v>
      </c>
      <c r="H5109" s="118">
        <v>3.4722222222222224E-4</v>
      </c>
      <c r="I5109" s="118">
        <v>9.2592592592592585E-4</v>
      </c>
      <c r="J5109" s="118">
        <v>7.0717592592592594E-3</v>
      </c>
      <c r="K5109" s="118">
        <v>7.0717592592592594E-3</v>
      </c>
    </row>
    <row r="5110" spans="1:11" x14ac:dyDescent="0.25">
      <c r="A5110">
        <v>4</v>
      </c>
      <c r="B5110">
        <v>18</v>
      </c>
      <c r="C5110"/>
      <c r="D5110" t="s">
        <v>31</v>
      </c>
      <c r="E5110" t="s">
        <v>35</v>
      </c>
      <c r="F5110" t="s">
        <v>38</v>
      </c>
      <c r="G5110" s="118">
        <v>0.84751157407407407</v>
      </c>
      <c r="H5110" s="118">
        <v>9.1435185185185185E-4</v>
      </c>
      <c r="I5110" s="118">
        <v>3.4722222222222224E-4</v>
      </c>
      <c r="J5110"/>
      <c r="K5110"/>
    </row>
    <row r="5111" spans="1:11" x14ac:dyDescent="0.25">
      <c r="A5111">
        <v>1</v>
      </c>
      <c r="B5111">
        <v>17</v>
      </c>
      <c r="C5111"/>
      <c r="D5111" t="s">
        <v>31</v>
      </c>
      <c r="E5111" t="s">
        <v>32</v>
      </c>
      <c r="F5111" t="s">
        <v>50</v>
      </c>
      <c r="G5111" s="118">
        <v>0.84755787037037045</v>
      </c>
      <c r="H5111" s="118">
        <v>3.4722222222222224E-4</v>
      </c>
      <c r="I5111" s="118">
        <v>1.261574074074074E-3</v>
      </c>
      <c r="J5111" s="118">
        <v>5.0462962962962961E-3</v>
      </c>
      <c r="K5111" s="118">
        <v>7.0717592592592594E-3</v>
      </c>
    </row>
    <row r="5112" spans="1:11" x14ac:dyDescent="0.25">
      <c r="A5112">
        <v>8</v>
      </c>
      <c r="B5112">
        <v>5</v>
      </c>
      <c r="C5112"/>
      <c r="D5112" t="s">
        <v>31</v>
      </c>
      <c r="E5112" t="s">
        <v>35</v>
      </c>
      <c r="F5112" t="s">
        <v>48</v>
      </c>
      <c r="G5112" s="118">
        <v>0.84759259259259256</v>
      </c>
      <c r="H5112" s="118">
        <v>9.1435185185185185E-4</v>
      </c>
      <c r="I5112" s="118">
        <v>5.2083333333333333E-4</v>
      </c>
      <c r="J5112"/>
      <c r="K5112"/>
    </row>
    <row r="5113" spans="1:11" x14ac:dyDescent="0.25">
      <c r="A5113">
        <v>4</v>
      </c>
      <c r="B5113">
        <v>18</v>
      </c>
      <c r="C5113"/>
      <c r="D5113" t="s">
        <v>31</v>
      </c>
      <c r="E5113" t="s">
        <v>32</v>
      </c>
      <c r="F5113" t="s">
        <v>38</v>
      </c>
      <c r="G5113" s="118">
        <v>0.84785879629629635</v>
      </c>
      <c r="H5113" s="118">
        <v>3.4722222222222224E-4</v>
      </c>
      <c r="I5113" s="118">
        <v>1.2384259259259258E-3</v>
      </c>
      <c r="J5113" s="118">
        <v>7.0717592592592594E-3</v>
      </c>
      <c r="K5113" s="118">
        <v>7.0717592592592594E-3</v>
      </c>
    </row>
    <row r="5114" spans="1:11" x14ac:dyDescent="0.25">
      <c r="A5114">
        <v>8</v>
      </c>
      <c r="B5114">
        <v>5</v>
      </c>
      <c r="C5114"/>
      <c r="D5114" t="s">
        <v>31</v>
      </c>
      <c r="E5114" t="s">
        <v>32</v>
      </c>
      <c r="F5114" t="s">
        <v>48</v>
      </c>
      <c r="G5114" s="118">
        <v>0.84811342592592587</v>
      </c>
      <c r="H5114" s="118">
        <v>5.2083333333333333E-4</v>
      </c>
      <c r="I5114" s="118">
        <v>8.6805555555555551E-4</v>
      </c>
      <c r="J5114" s="118">
        <v>5.0462962962962961E-3</v>
      </c>
      <c r="K5114" s="118">
        <v>5.0462962962962961E-3</v>
      </c>
    </row>
    <row r="5115" spans="1:11" x14ac:dyDescent="0.25">
      <c r="A5115">
        <v>2</v>
      </c>
      <c r="B5115">
        <v>18</v>
      </c>
      <c r="C5115"/>
      <c r="D5115" t="s">
        <v>31</v>
      </c>
      <c r="E5115" t="s">
        <v>35</v>
      </c>
      <c r="F5115" t="s">
        <v>49</v>
      </c>
      <c r="G5115" s="118">
        <v>0.84815972222222225</v>
      </c>
      <c r="H5115" s="118">
        <v>9.2592592592592585E-4</v>
      </c>
      <c r="I5115" s="118">
        <v>3.4722222222222224E-4</v>
      </c>
      <c r="J5115"/>
      <c r="K5115"/>
    </row>
    <row r="5116" spans="1:11" x14ac:dyDescent="0.25">
      <c r="A5116">
        <v>9</v>
      </c>
      <c r="B5116">
        <v>5</v>
      </c>
      <c r="C5116"/>
      <c r="D5116" t="s">
        <v>31</v>
      </c>
      <c r="E5116" t="s">
        <v>35</v>
      </c>
      <c r="F5116" t="s">
        <v>46</v>
      </c>
      <c r="G5116" s="118">
        <v>0.84842592592592592</v>
      </c>
      <c r="H5116" s="118">
        <v>1.8055555555555557E-3</v>
      </c>
      <c r="I5116" s="118">
        <v>3.4722222222222224E-4</v>
      </c>
      <c r="J5116"/>
      <c r="K5116"/>
    </row>
    <row r="5117" spans="1:11" x14ac:dyDescent="0.25">
      <c r="A5117">
        <v>2</v>
      </c>
      <c r="B5117">
        <v>18</v>
      </c>
      <c r="C5117"/>
      <c r="D5117" t="s">
        <v>31</v>
      </c>
      <c r="E5117" t="s">
        <v>32</v>
      </c>
      <c r="F5117" t="s">
        <v>49</v>
      </c>
      <c r="G5117" s="118">
        <v>0.84850694444444441</v>
      </c>
      <c r="H5117" s="118">
        <v>3.4722222222222224E-4</v>
      </c>
      <c r="I5117" s="118">
        <v>1.3541666666666667E-3</v>
      </c>
      <c r="J5117" s="118">
        <v>7.0717592592592594E-3</v>
      </c>
      <c r="K5117" s="118">
        <v>7.0717592592592594E-3</v>
      </c>
    </row>
    <row r="5118" spans="1:11" x14ac:dyDescent="0.25">
      <c r="A5118">
        <v>5</v>
      </c>
      <c r="B5118">
        <v>19</v>
      </c>
      <c r="C5118"/>
      <c r="D5118" t="s">
        <v>31</v>
      </c>
      <c r="E5118" t="s">
        <v>32</v>
      </c>
      <c r="F5118" t="s">
        <v>92</v>
      </c>
      <c r="G5118" s="118">
        <v>0.84851851851851856</v>
      </c>
      <c r="H5118" s="118">
        <v>3.0439814814814821E-3</v>
      </c>
      <c r="I5118" s="118">
        <v>1.0069444444444444E-3</v>
      </c>
      <c r="J5118" s="118">
        <v>7.0717592592592594E-3</v>
      </c>
      <c r="K5118" s="118">
        <v>7.0717592592592594E-3</v>
      </c>
    </row>
    <row r="5119" spans="1:11" x14ac:dyDescent="0.25">
      <c r="A5119">
        <v>9</v>
      </c>
      <c r="B5119">
        <v>5</v>
      </c>
      <c r="C5119"/>
      <c r="D5119" t="s">
        <v>31</v>
      </c>
      <c r="E5119" t="s">
        <v>32</v>
      </c>
      <c r="F5119" t="s">
        <v>46</v>
      </c>
      <c r="G5119" s="118">
        <v>0.84877314814814808</v>
      </c>
      <c r="H5119" s="118">
        <v>3.4722222222222224E-4</v>
      </c>
      <c r="I5119" s="118">
        <v>9.1435185185185185E-4</v>
      </c>
      <c r="J5119" s="118">
        <v>7.0717592592592594E-3</v>
      </c>
      <c r="K5119" s="118">
        <v>7.0717592592592594E-3</v>
      </c>
    </row>
    <row r="5120" spans="1:11" x14ac:dyDescent="0.25">
      <c r="A5120">
        <v>1</v>
      </c>
      <c r="B5120">
        <v>17</v>
      </c>
      <c r="C5120"/>
      <c r="D5120" t="s">
        <v>31</v>
      </c>
      <c r="E5120" t="s">
        <v>35</v>
      </c>
      <c r="F5120" t="s">
        <v>56</v>
      </c>
      <c r="G5120" s="118">
        <v>0.84881944444444446</v>
      </c>
      <c r="H5120" s="118">
        <v>1.261574074074074E-3</v>
      </c>
      <c r="I5120" s="118">
        <v>3.4722222222222224E-4</v>
      </c>
      <c r="J5120"/>
      <c r="K5120"/>
    </row>
    <row r="5121" spans="1:11" x14ac:dyDescent="0.25">
      <c r="A5121">
        <v>8</v>
      </c>
      <c r="B5121">
        <v>5</v>
      </c>
      <c r="C5121"/>
      <c r="D5121" t="s">
        <v>31</v>
      </c>
      <c r="E5121" t="s">
        <v>35</v>
      </c>
      <c r="F5121" t="s">
        <v>54</v>
      </c>
      <c r="G5121" s="118">
        <v>0.84898148148148145</v>
      </c>
      <c r="H5121" s="118">
        <v>8.6805555555555551E-4</v>
      </c>
      <c r="I5121" s="118">
        <v>3.4722222222222224E-4</v>
      </c>
      <c r="J5121"/>
      <c r="K5121"/>
    </row>
    <row r="5122" spans="1:11" x14ac:dyDescent="0.25">
      <c r="A5122">
        <v>4</v>
      </c>
      <c r="B5122">
        <v>18</v>
      </c>
      <c r="C5122"/>
      <c r="D5122" t="s">
        <v>31</v>
      </c>
      <c r="E5122" t="s">
        <v>35</v>
      </c>
      <c r="F5122" t="s">
        <v>45</v>
      </c>
      <c r="G5122" s="118">
        <v>0.84909722222222228</v>
      </c>
      <c r="H5122" s="118">
        <v>1.2384259259259258E-3</v>
      </c>
      <c r="I5122" s="118">
        <v>3.4722222222222224E-4</v>
      </c>
      <c r="J5122"/>
      <c r="K5122"/>
    </row>
    <row r="5123" spans="1:11" x14ac:dyDescent="0.25">
      <c r="A5123">
        <v>1</v>
      </c>
      <c r="B5123">
        <v>17</v>
      </c>
      <c r="C5123"/>
      <c r="D5123" t="s">
        <v>31</v>
      </c>
      <c r="E5123" t="s">
        <v>32</v>
      </c>
      <c r="F5123" t="s">
        <v>56</v>
      </c>
      <c r="G5123" s="118">
        <v>0.84916666666666663</v>
      </c>
      <c r="H5123" s="118">
        <v>3.4722222222222224E-4</v>
      </c>
      <c r="I5123" s="118">
        <v>9.6064814814814808E-4</v>
      </c>
      <c r="J5123" s="118">
        <v>5.0462962962962961E-3</v>
      </c>
      <c r="K5123" s="118">
        <v>7.0717592592592594E-3</v>
      </c>
    </row>
    <row r="5124" spans="1:11" x14ac:dyDescent="0.25">
      <c r="A5124">
        <v>8</v>
      </c>
      <c r="B5124">
        <v>5</v>
      </c>
      <c r="C5124"/>
      <c r="D5124" t="s">
        <v>31</v>
      </c>
      <c r="E5124" t="s">
        <v>32</v>
      </c>
      <c r="F5124" t="s">
        <v>54</v>
      </c>
      <c r="G5124" s="118">
        <v>0.84932870370370372</v>
      </c>
      <c r="H5124" s="118">
        <v>3.4722222222222224E-4</v>
      </c>
      <c r="I5124" s="118">
        <v>1.1921296296296296E-3</v>
      </c>
      <c r="J5124" s="118">
        <v>5.0462962962962961E-3</v>
      </c>
      <c r="K5124" s="118">
        <v>5.0462962962962961E-3</v>
      </c>
    </row>
    <row r="5125" spans="1:11" x14ac:dyDescent="0.25">
      <c r="A5125">
        <v>4</v>
      </c>
      <c r="B5125">
        <v>18</v>
      </c>
      <c r="C5125"/>
      <c r="D5125" t="s">
        <v>31</v>
      </c>
      <c r="E5125" t="s">
        <v>32</v>
      </c>
      <c r="F5125" t="s">
        <v>45</v>
      </c>
      <c r="G5125" s="118">
        <v>0.84944444444444445</v>
      </c>
      <c r="H5125" s="118">
        <v>3.4722222222222224E-4</v>
      </c>
      <c r="I5125" s="118">
        <v>1.0416666666666667E-3</v>
      </c>
      <c r="J5125" s="118">
        <v>7.0717592592592594E-3</v>
      </c>
      <c r="K5125" s="118">
        <v>7.0717592592592594E-3</v>
      </c>
    </row>
    <row r="5126" spans="1:11" x14ac:dyDescent="0.25">
      <c r="A5126">
        <v>5</v>
      </c>
      <c r="B5126">
        <v>19</v>
      </c>
      <c r="C5126"/>
      <c r="D5126" t="s">
        <v>31</v>
      </c>
      <c r="E5126" t="s">
        <v>35</v>
      </c>
      <c r="F5126" t="s">
        <v>41</v>
      </c>
      <c r="G5126" s="118">
        <v>0.84952546296296294</v>
      </c>
      <c r="H5126" s="118">
        <v>1.0069444444444444E-3</v>
      </c>
      <c r="I5126" s="118">
        <v>3.4722222222222224E-4</v>
      </c>
      <c r="J5126"/>
      <c r="K5126"/>
    </row>
    <row r="5127" spans="1:11" x14ac:dyDescent="0.25">
      <c r="A5127">
        <v>9</v>
      </c>
      <c r="B5127">
        <v>5</v>
      </c>
      <c r="C5127"/>
      <c r="D5127" t="s">
        <v>31</v>
      </c>
      <c r="E5127" t="s">
        <v>35</v>
      </c>
      <c r="F5127" t="s">
        <v>51</v>
      </c>
      <c r="G5127" s="118">
        <v>0.84968749999999993</v>
      </c>
      <c r="H5127" s="118">
        <v>9.1435185185185185E-4</v>
      </c>
      <c r="I5127" s="118">
        <v>3.4722222222222224E-4</v>
      </c>
      <c r="J5127"/>
      <c r="K5127"/>
    </row>
    <row r="5128" spans="1:11" x14ac:dyDescent="0.25">
      <c r="A5128">
        <v>2</v>
      </c>
      <c r="B5128">
        <v>18</v>
      </c>
      <c r="C5128"/>
      <c r="D5128" t="s">
        <v>31</v>
      </c>
      <c r="E5128" t="s">
        <v>35</v>
      </c>
      <c r="F5128" t="s">
        <v>33</v>
      </c>
      <c r="G5128" s="118">
        <v>0.84986111111111118</v>
      </c>
      <c r="H5128" s="118">
        <v>1.3541666666666667E-3</v>
      </c>
      <c r="I5128" s="118">
        <v>5.2083333333333333E-4</v>
      </c>
      <c r="J5128"/>
      <c r="K5128"/>
    </row>
    <row r="5129" spans="1:11" x14ac:dyDescent="0.25">
      <c r="A5129">
        <v>5</v>
      </c>
      <c r="B5129">
        <v>19</v>
      </c>
      <c r="C5129"/>
      <c r="D5129" t="s">
        <v>31</v>
      </c>
      <c r="E5129" t="s">
        <v>32</v>
      </c>
      <c r="F5129" t="s">
        <v>41</v>
      </c>
      <c r="G5129" s="118">
        <v>0.84987268518518511</v>
      </c>
      <c r="H5129" s="118">
        <v>3.4722222222222224E-4</v>
      </c>
      <c r="I5129" s="118">
        <v>8.564814814814815E-4</v>
      </c>
      <c r="J5129" s="118">
        <v>7.0717592592592594E-3</v>
      </c>
      <c r="K5129" s="118">
        <v>7.0717592592592594E-3</v>
      </c>
    </row>
    <row r="5130" spans="1:11" x14ac:dyDescent="0.25">
      <c r="A5130">
        <v>9</v>
      </c>
      <c r="B5130">
        <v>5</v>
      </c>
      <c r="C5130"/>
      <c r="D5130" t="s">
        <v>31</v>
      </c>
      <c r="E5130" t="s">
        <v>32</v>
      </c>
      <c r="F5130" t="s">
        <v>51</v>
      </c>
      <c r="G5130" s="118">
        <v>0.85003472222222232</v>
      </c>
      <c r="H5130" s="118">
        <v>3.4722222222222224E-4</v>
      </c>
      <c r="I5130" s="118">
        <v>1.0069444444444444E-3</v>
      </c>
      <c r="J5130" s="118">
        <v>7.0717592592592594E-3</v>
      </c>
      <c r="K5130" s="118">
        <v>7.0717592592592594E-3</v>
      </c>
    </row>
    <row r="5131" spans="1:11" x14ac:dyDescent="0.25">
      <c r="A5131">
        <v>1</v>
      </c>
      <c r="B5131">
        <v>17</v>
      </c>
      <c r="C5131"/>
      <c r="D5131" t="s">
        <v>31</v>
      </c>
      <c r="E5131" t="s">
        <v>35</v>
      </c>
      <c r="F5131" t="s">
        <v>37</v>
      </c>
      <c r="G5131" s="118">
        <v>0.85012731481481485</v>
      </c>
      <c r="H5131" s="118">
        <v>9.6064814814814808E-4</v>
      </c>
      <c r="I5131" s="118">
        <v>3.4722222222222224E-4</v>
      </c>
      <c r="J5131"/>
      <c r="K5131"/>
    </row>
    <row r="5132" spans="1:11" x14ac:dyDescent="0.25">
      <c r="A5132">
        <v>2</v>
      </c>
      <c r="B5132">
        <v>18</v>
      </c>
      <c r="C5132"/>
      <c r="D5132" t="s">
        <v>31</v>
      </c>
      <c r="E5132" t="s">
        <v>32</v>
      </c>
      <c r="F5132" t="s">
        <v>33</v>
      </c>
      <c r="G5132" s="118">
        <v>0.85038194444444448</v>
      </c>
      <c r="H5132" s="118">
        <v>5.2083333333333333E-4</v>
      </c>
      <c r="I5132" s="118">
        <v>9.6064814814814808E-4</v>
      </c>
      <c r="J5132" s="118">
        <v>7.0717592592592594E-3</v>
      </c>
      <c r="K5132" s="118">
        <v>7.0717592592592594E-3</v>
      </c>
    </row>
    <row r="5133" spans="1:11" x14ac:dyDescent="0.25">
      <c r="A5133">
        <v>1</v>
      </c>
      <c r="B5133">
        <v>17</v>
      </c>
      <c r="C5133"/>
      <c r="D5133" t="s">
        <v>31</v>
      </c>
      <c r="E5133" t="s">
        <v>32</v>
      </c>
      <c r="F5133" t="s">
        <v>37</v>
      </c>
      <c r="G5133" s="118">
        <v>0.85047453703703713</v>
      </c>
      <c r="H5133" s="118">
        <v>3.4722222222222224E-4</v>
      </c>
      <c r="I5133" s="118">
        <v>9.0277777777777784E-4</v>
      </c>
      <c r="J5133" s="118">
        <v>5.0462962962962961E-3</v>
      </c>
      <c r="K5133" s="118">
        <v>7.0717592592592594E-3</v>
      </c>
    </row>
    <row r="5134" spans="1:11" x14ac:dyDescent="0.25">
      <c r="A5134">
        <v>4</v>
      </c>
      <c r="B5134">
        <v>18</v>
      </c>
      <c r="C5134"/>
      <c r="D5134" t="s">
        <v>31</v>
      </c>
      <c r="E5134" t="s">
        <v>35</v>
      </c>
      <c r="F5134" t="s">
        <v>52</v>
      </c>
      <c r="G5134" s="118">
        <v>0.85048611111111105</v>
      </c>
      <c r="H5134" s="118">
        <v>1.0416666666666667E-3</v>
      </c>
      <c r="I5134" s="118">
        <v>3.4722222222222224E-4</v>
      </c>
      <c r="J5134"/>
      <c r="K5134"/>
    </row>
    <row r="5135" spans="1:11" x14ac:dyDescent="0.25">
      <c r="A5135">
        <v>8</v>
      </c>
      <c r="B5135">
        <v>5</v>
      </c>
      <c r="C5135"/>
      <c r="D5135" t="s">
        <v>31</v>
      </c>
      <c r="E5135" t="s">
        <v>35</v>
      </c>
      <c r="F5135" t="s">
        <v>92</v>
      </c>
      <c r="G5135" s="118">
        <v>0.85052083333333339</v>
      </c>
      <c r="H5135" s="118">
        <v>1.1921296296296296E-3</v>
      </c>
      <c r="I5135"/>
      <c r="J5135"/>
      <c r="K5135"/>
    </row>
    <row r="5136" spans="1:11" x14ac:dyDescent="0.25">
      <c r="A5136">
        <v>5</v>
      </c>
      <c r="B5136">
        <v>19</v>
      </c>
      <c r="C5136"/>
      <c r="D5136" t="s">
        <v>31</v>
      </c>
      <c r="E5136" t="s">
        <v>35</v>
      </c>
      <c r="F5136" t="s">
        <v>47</v>
      </c>
      <c r="G5136" s="118">
        <v>0.85072916666666665</v>
      </c>
      <c r="H5136" s="118">
        <v>8.564814814814815E-4</v>
      </c>
      <c r="I5136" s="118">
        <v>5.2083333333333333E-4</v>
      </c>
      <c r="J5136"/>
      <c r="K5136"/>
    </row>
    <row r="5137" spans="1:11" x14ac:dyDescent="0.25">
      <c r="A5137">
        <v>4</v>
      </c>
      <c r="B5137">
        <v>18</v>
      </c>
      <c r="C5137"/>
      <c r="D5137" t="s">
        <v>31</v>
      </c>
      <c r="E5137" t="s">
        <v>32</v>
      </c>
      <c r="F5137" t="s">
        <v>52</v>
      </c>
      <c r="G5137" s="118">
        <v>0.85083333333333344</v>
      </c>
      <c r="H5137" s="118">
        <v>3.4722222222222224E-4</v>
      </c>
      <c r="I5137" s="118">
        <v>1.0532407407407407E-3</v>
      </c>
      <c r="J5137" s="118">
        <v>7.0717592592592594E-3</v>
      </c>
      <c r="K5137" s="118">
        <v>7.0717592592592594E-3</v>
      </c>
    </row>
    <row r="5138" spans="1:11" x14ac:dyDescent="0.25">
      <c r="A5138">
        <v>9</v>
      </c>
      <c r="B5138">
        <v>5</v>
      </c>
      <c r="C5138"/>
      <c r="D5138" t="s">
        <v>31</v>
      </c>
      <c r="E5138" t="s">
        <v>35</v>
      </c>
      <c r="F5138" t="s">
        <v>55</v>
      </c>
      <c r="G5138" s="118">
        <v>0.8510416666666667</v>
      </c>
      <c r="H5138" s="118">
        <v>1.0069444444444444E-3</v>
      </c>
      <c r="I5138" s="118">
        <v>4.6296296296296293E-4</v>
      </c>
      <c r="J5138"/>
      <c r="K5138"/>
    </row>
    <row r="5139" spans="1:11" x14ac:dyDescent="0.25">
      <c r="A5139">
        <v>5</v>
      </c>
      <c r="B5139">
        <v>19</v>
      </c>
      <c r="C5139"/>
      <c r="D5139" t="s">
        <v>31</v>
      </c>
      <c r="E5139" t="s">
        <v>32</v>
      </c>
      <c r="F5139" t="s">
        <v>47</v>
      </c>
      <c r="G5139" s="118">
        <v>0.85124999999999995</v>
      </c>
      <c r="H5139" s="118">
        <v>5.2083333333333333E-4</v>
      </c>
      <c r="I5139" s="118">
        <v>8.7962962962962962E-4</v>
      </c>
      <c r="J5139" s="118">
        <v>7.0717592592592594E-3</v>
      </c>
      <c r="K5139" s="118">
        <v>7.0717592592592594E-3</v>
      </c>
    </row>
    <row r="5140" spans="1:11" x14ac:dyDescent="0.25">
      <c r="A5140">
        <v>2</v>
      </c>
      <c r="B5140">
        <v>18</v>
      </c>
      <c r="C5140"/>
      <c r="D5140" t="s">
        <v>31</v>
      </c>
      <c r="E5140" t="s">
        <v>35</v>
      </c>
      <c r="F5140" t="s">
        <v>36</v>
      </c>
      <c r="G5140" s="118">
        <v>0.8513425925925926</v>
      </c>
      <c r="H5140" s="118">
        <v>9.6064814814814808E-4</v>
      </c>
      <c r="I5140" s="118">
        <v>3.4722222222222224E-4</v>
      </c>
      <c r="J5140"/>
      <c r="K5140"/>
    </row>
    <row r="5141" spans="1:11" x14ac:dyDescent="0.25">
      <c r="A5141">
        <v>1</v>
      </c>
      <c r="B5141">
        <v>17</v>
      </c>
      <c r="C5141"/>
      <c r="D5141" t="s">
        <v>31</v>
      </c>
      <c r="E5141" t="s">
        <v>35</v>
      </c>
      <c r="F5141" t="s">
        <v>42</v>
      </c>
      <c r="G5141" s="118">
        <v>0.85137731481481482</v>
      </c>
      <c r="H5141" s="118">
        <v>9.0277777777777784E-4</v>
      </c>
      <c r="I5141" s="118">
        <v>3.4722222222222224E-4</v>
      </c>
      <c r="J5141"/>
      <c r="K5141"/>
    </row>
    <row r="5142" spans="1:11" x14ac:dyDescent="0.25">
      <c r="A5142">
        <v>9</v>
      </c>
      <c r="B5142">
        <v>5</v>
      </c>
      <c r="C5142"/>
      <c r="D5142" t="s">
        <v>31</v>
      </c>
      <c r="E5142" t="s">
        <v>32</v>
      </c>
      <c r="F5142" t="s">
        <v>55</v>
      </c>
      <c r="G5142" s="118">
        <v>0.85150462962962958</v>
      </c>
      <c r="H5142" s="118">
        <v>4.6296296296296293E-4</v>
      </c>
      <c r="I5142" s="118">
        <v>4.3981481481481481E-4</v>
      </c>
      <c r="J5142" s="118">
        <v>7.0717592592592594E-3</v>
      </c>
      <c r="K5142" s="118">
        <v>7.0717592592592594E-3</v>
      </c>
    </row>
    <row r="5143" spans="1:11" x14ac:dyDescent="0.25">
      <c r="A5143">
        <v>2</v>
      </c>
      <c r="B5143">
        <v>18</v>
      </c>
      <c r="C5143"/>
      <c r="D5143" t="s">
        <v>31</v>
      </c>
      <c r="E5143" t="s">
        <v>32</v>
      </c>
      <c r="F5143" t="s">
        <v>36</v>
      </c>
      <c r="G5143" s="118">
        <v>0.85168981481481476</v>
      </c>
      <c r="H5143" s="118">
        <v>3.4722222222222224E-4</v>
      </c>
      <c r="I5143" s="118">
        <v>1.0995370370370371E-3</v>
      </c>
      <c r="J5143" s="118">
        <v>7.0717592592592594E-3</v>
      </c>
      <c r="K5143" s="118">
        <v>7.0717592592592594E-3</v>
      </c>
    </row>
    <row r="5144" spans="1:11" x14ac:dyDescent="0.25">
      <c r="A5144">
        <v>1</v>
      </c>
      <c r="B5144">
        <v>17</v>
      </c>
      <c r="C5144"/>
      <c r="D5144" t="s">
        <v>31</v>
      </c>
      <c r="E5144" t="s">
        <v>32</v>
      </c>
      <c r="F5144" t="s">
        <v>42</v>
      </c>
      <c r="G5144" s="118">
        <v>0.85172453703703699</v>
      </c>
      <c r="H5144" s="118">
        <v>3.4722222222222224E-4</v>
      </c>
      <c r="I5144" s="118">
        <v>9.1435185185185185E-4</v>
      </c>
      <c r="J5144" s="118">
        <v>5.0462962962962961E-3</v>
      </c>
      <c r="K5144" s="118">
        <v>7.0717592592592594E-3</v>
      </c>
    </row>
    <row r="5145" spans="1:11" x14ac:dyDescent="0.25">
      <c r="A5145">
        <v>4</v>
      </c>
      <c r="B5145">
        <v>18</v>
      </c>
      <c r="C5145"/>
      <c r="D5145" t="s">
        <v>31</v>
      </c>
      <c r="E5145" t="s">
        <v>35</v>
      </c>
      <c r="F5145" t="s">
        <v>57</v>
      </c>
      <c r="G5145" s="118">
        <v>0.85188657407407409</v>
      </c>
      <c r="H5145" s="118">
        <v>1.0532407407407407E-3</v>
      </c>
      <c r="I5145" s="118">
        <v>3.4722222222222224E-4</v>
      </c>
      <c r="J5145"/>
      <c r="K5145"/>
    </row>
    <row r="5146" spans="1:11" x14ac:dyDescent="0.25">
      <c r="A5146">
        <v>9</v>
      </c>
      <c r="B5146">
        <v>5</v>
      </c>
      <c r="C5146"/>
      <c r="D5146" t="s">
        <v>31</v>
      </c>
      <c r="E5146" t="s">
        <v>35</v>
      </c>
      <c r="F5146" t="s">
        <v>58</v>
      </c>
      <c r="G5146" s="118">
        <v>0.85194444444444439</v>
      </c>
      <c r="H5146" s="118">
        <v>4.3981481481481481E-4</v>
      </c>
      <c r="I5146" s="118">
        <v>5.7870370370370366E-5</v>
      </c>
      <c r="J5146"/>
      <c r="K5146"/>
    </row>
    <row r="5147" spans="1:11" x14ac:dyDescent="0.25">
      <c r="A5147">
        <v>9</v>
      </c>
      <c r="B5147">
        <v>5</v>
      </c>
      <c r="C5147"/>
      <c r="D5147" t="s">
        <v>31</v>
      </c>
      <c r="E5147" t="s">
        <v>32</v>
      </c>
      <c r="F5147" t="s">
        <v>58</v>
      </c>
      <c r="G5147" s="118">
        <v>0.85200231481481481</v>
      </c>
      <c r="H5147" s="118">
        <v>5.7870370370370366E-5</v>
      </c>
      <c r="I5147" s="118">
        <v>4.8611111111111104E-4</v>
      </c>
      <c r="J5147" s="118">
        <v>7.0717592592592594E-3</v>
      </c>
      <c r="K5147" s="118">
        <v>7.0717592592592594E-3</v>
      </c>
    </row>
    <row r="5148" spans="1:11" x14ac:dyDescent="0.25">
      <c r="A5148">
        <v>5</v>
      </c>
      <c r="B5148">
        <v>19</v>
      </c>
      <c r="C5148"/>
      <c r="D5148" t="s">
        <v>31</v>
      </c>
      <c r="E5148" t="s">
        <v>35</v>
      </c>
      <c r="F5148" t="s">
        <v>53</v>
      </c>
      <c r="G5148" s="118">
        <v>0.85212962962962957</v>
      </c>
      <c r="H5148" s="118">
        <v>8.7962962962962962E-4</v>
      </c>
      <c r="I5148" s="118">
        <v>3.4722222222222224E-4</v>
      </c>
      <c r="J5148"/>
      <c r="K5148"/>
    </row>
    <row r="5149" spans="1:11" x14ac:dyDescent="0.25">
      <c r="A5149">
        <v>4</v>
      </c>
      <c r="B5149">
        <v>18</v>
      </c>
      <c r="C5149"/>
      <c r="D5149" t="s">
        <v>31</v>
      </c>
      <c r="E5149" t="s">
        <v>32</v>
      </c>
      <c r="F5149" t="s">
        <v>57</v>
      </c>
      <c r="G5149" s="118">
        <v>0.85223379629629636</v>
      </c>
      <c r="H5149" s="118">
        <v>3.4722222222222224E-4</v>
      </c>
      <c r="I5149" s="118">
        <v>9.3750000000000007E-4</v>
      </c>
      <c r="J5149" s="118">
        <v>7.0717592592592594E-3</v>
      </c>
      <c r="K5149" s="118">
        <v>7.0717592592592594E-3</v>
      </c>
    </row>
    <row r="5150" spans="1:11" x14ac:dyDescent="0.25">
      <c r="A5150">
        <v>5</v>
      </c>
      <c r="B5150">
        <v>19</v>
      </c>
      <c r="C5150"/>
      <c r="D5150" t="s">
        <v>31</v>
      </c>
      <c r="E5150" t="s">
        <v>32</v>
      </c>
      <c r="F5150" t="s">
        <v>53</v>
      </c>
      <c r="G5150" s="118">
        <v>0.85247685185185185</v>
      </c>
      <c r="H5150" s="118">
        <v>3.4722222222222224E-4</v>
      </c>
      <c r="I5150" s="118">
        <v>8.449074074074075E-4</v>
      </c>
      <c r="J5150" s="118">
        <v>7.0717592592592594E-3</v>
      </c>
      <c r="K5150" s="118">
        <v>7.0717592592592594E-3</v>
      </c>
    </row>
    <row r="5151" spans="1:11" x14ac:dyDescent="0.25">
      <c r="A5151">
        <v>9</v>
      </c>
      <c r="B5151">
        <v>5</v>
      </c>
      <c r="C5151"/>
      <c r="D5151" t="s">
        <v>31</v>
      </c>
      <c r="E5151" t="s">
        <v>35</v>
      </c>
      <c r="F5151" t="s">
        <v>40</v>
      </c>
      <c r="G5151" s="118">
        <v>0.85248842592592589</v>
      </c>
      <c r="H5151" s="118">
        <v>4.8611111111111104E-4</v>
      </c>
      <c r="I5151" s="118">
        <v>4.6296296296296293E-4</v>
      </c>
      <c r="J5151"/>
      <c r="K5151"/>
    </row>
    <row r="5152" spans="1:11" x14ac:dyDescent="0.25">
      <c r="A5152">
        <v>1</v>
      </c>
      <c r="B5152">
        <v>17</v>
      </c>
      <c r="C5152"/>
      <c r="D5152" t="s">
        <v>31</v>
      </c>
      <c r="E5152" t="s">
        <v>35</v>
      </c>
      <c r="F5152" t="s">
        <v>48</v>
      </c>
      <c r="G5152" s="118">
        <v>0.85263888888888895</v>
      </c>
      <c r="H5152" s="118">
        <v>9.1435185185185185E-4</v>
      </c>
      <c r="I5152" s="118">
        <v>5.2083333333333333E-4</v>
      </c>
      <c r="J5152"/>
      <c r="K5152"/>
    </row>
    <row r="5153" spans="1:11" x14ac:dyDescent="0.25">
      <c r="A5153">
        <v>2</v>
      </c>
      <c r="B5153">
        <v>18</v>
      </c>
      <c r="C5153"/>
      <c r="D5153" t="s">
        <v>31</v>
      </c>
      <c r="E5153" t="s">
        <v>35</v>
      </c>
      <c r="F5153" t="s">
        <v>43</v>
      </c>
      <c r="G5153" s="118">
        <v>0.85278935185185178</v>
      </c>
      <c r="H5153" s="118">
        <v>1.0995370370370371E-3</v>
      </c>
      <c r="I5153" s="118">
        <v>3.4722222222222224E-4</v>
      </c>
      <c r="J5153"/>
      <c r="K5153"/>
    </row>
    <row r="5154" spans="1:11" x14ac:dyDescent="0.25">
      <c r="A5154">
        <v>9</v>
      </c>
      <c r="B5154">
        <v>5</v>
      </c>
      <c r="C5154"/>
      <c r="D5154" t="s">
        <v>31</v>
      </c>
      <c r="E5154" t="s">
        <v>32</v>
      </c>
      <c r="F5154" t="s">
        <v>40</v>
      </c>
      <c r="G5154" s="118">
        <v>0.85295138888888899</v>
      </c>
      <c r="H5154" s="118">
        <v>4.6296296296296293E-4</v>
      </c>
      <c r="I5154" s="118">
        <v>1.0069444444444444E-3</v>
      </c>
      <c r="J5154" s="118">
        <v>7.0717592592592594E-3</v>
      </c>
      <c r="K5154" s="118">
        <v>7.0717592592592594E-3</v>
      </c>
    </row>
    <row r="5155" spans="1:11" x14ac:dyDescent="0.25">
      <c r="A5155">
        <v>2</v>
      </c>
      <c r="B5155">
        <v>18</v>
      </c>
      <c r="C5155"/>
      <c r="D5155" t="s">
        <v>31</v>
      </c>
      <c r="E5155" t="s">
        <v>32</v>
      </c>
      <c r="F5155" t="s">
        <v>43</v>
      </c>
      <c r="G5155" s="118">
        <v>0.85313657407407406</v>
      </c>
      <c r="H5155" s="118">
        <v>3.4722222222222224E-4</v>
      </c>
      <c r="I5155" s="118">
        <v>1.1458333333333333E-3</v>
      </c>
      <c r="J5155" s="118">
        <v>7.0717592592592594E-3</v>
      </c>
      <c r="K5155" s="118">
        <v>7.0717592592592594E-3</v>
      </c>
    </row>
    <row r="5156" spans="1:11" x14ac:dyDescent="0.25">
      <c r="A5156">
        <v>1</v>
      </c>
      <c r="B5156">
        <v>17</v>
      </c>
      <c r="C5156"/>
      <c r="D5156" t="s">
        <v>31</v>
      </c>
      <c r="E5156" t="s">
        <v>32</v>
      </c>
      <c r="F5156" t="s">
        <v>48</v>
      </c>
      <c r="G5156" s="118">
        <v>0.85315972222222225</v>
      </c>
      <c r="H5156" s="118">
        <v>5.2083333333333333E-4</v>
      </c>
      <c r="I5156" s="118">
        <v>8.6805555555555551E-4</v>
      </c>
      <c r="J5156" s="118">
        <v>5.0462962962962961E-3</v>
      </c>
      <c r="K5156" s="118">
        <v>7.0717592592592594E-3</v>
      </c>
    </row>
    <row r="5157" spans="1:11" x14ac:dyDescent="0.25">
      <c r="A5157">
        <v>4</v>
      </c>
      <c r="B5157">
        <v>18</v>
      </c>
      <c r="C5157"/>
      <c r="D5157" t="s">
        <v>31</v>
      </c>
      <c r="E5157" t="s">
        <v>35</v>
      </c>
      <c r="F5157" t="s">
        <v>39</v>
      </c>
      <c r="G5157" s="118">
        <v>0.8531712962962964</v>
      </c>
      <c r="H5157" s="118">
        <v>9.3750000000000007E-4</v>
      </c>
      <c r="I5157" s="118">
        <v>5.2083333333333333E-4</v>
      </c>
      <c r="J5157"/>
      <c r="K5157"/>
    </row>
    <row r="5158" spans="1:11" x14ac:dyDescent="0.25">
      <c r="A5158">
        <v>5</v>
      </c>
      <c r="B5158">
        <v>19</v>
      </c>
      <c r="C5158"/>
      <c r="D5158" t="s">
        <v>31</v>
      </c>
      <c r="E5158" t="s">
        <v>35</v>
      </c>
      <c r="F5158" t="s">
        <v>34</v>
      </c>
      <c r="G5158" s="118">
        <v>0.85332175925925924</v>
      </c>
      <c r="H5158" s="118">
        <v>8.449074074074075E-4</v>
      </c>
      <c r="I5158" s="118">
        <v>3.4722222222222224E-4</v>
      </c>
      <c r="J5158"/>
      <c r="K5158"/>
    </row>
    <row r="5159" spans="1:11" x14ac:dyDescent="0.25">
      <c r="A5159">
        <v>5</v>
      </c>
      <c r="B5159">
        <v>19</v>
      </c>
      <c r="C5159"/>
      <c r="D5159" t="s">
        <v>31</v>
      </c>
      <c r="E5159" t="s">
        <v>32</v>
      </c>
      <c r="F5159" t="s">
        <v>34</v>
      </c>
      <c r="G5159" s="118">
        <v>0.8536689814814814</v>
      </c>
      <c r="H5159" s="118">
        <v>3.4722222222222224E-4</v>
      </c>
      <c r="I5159" s="118">
        <v>9.1435185185185185E-4</v>
      </c>
      <c r="J5159" s="118">
        <v>7.0717592592592594E-3</v>
      </c>
      <c r="K5159" s="118">
        <v>7.0717592592592594E-3</v>
      </c>
    </row>
    <row r="5160" spans="1:11" x14ac:dyDescent="0.25">
      <c r="A5160">
        <v>4</v>
      </c>
      <c r="B5160">
        <v>18</v>
      </c>
      <c r="C5160"/>
      <c r="D5160" t="s">
        <v>31</v>
      </c>
      <c r="E5160" t="s">
        <v>32</v>
      </c>
      <c r="F5160" t="s">
        <v>39</v>
      </c>
      <c r="G5160" s="118">
        <v>0.8536921296296297</v>
      </c>
      <c r="H5160" s="118">
        <v>5.2083333333333333E-4</v>
      </c>
      <c r="I5160" s="118">
        <v>1.8055555555555557E-3</v>
      </c>
      <c r="J5160" s="118">
        <v>7.0717592592592594E-3</v>
      </c>
      <c r="K5160" s="118">
        <v>7.0717592592592594E-3</v>
      </c>
    </row>
    <row r="5161" spans="1:11" x14ac:dyDescent="0.25">
      <c r="A5161">
        <v>9</v>
      </c>
      <c r="B5161">
        <v>5</v>
      </c>
      <c r="C5161"/>
      <c r="D5161" t="s">
        <v>31</v>
      </c>
      <c r="E5161" t="s">
        <v>35</v>
      </c>
      <c r="F5161" t="s">
        <v>44</v>
      </c>
      <c r="G5161" s="118">
        <v>0.85395833333333337</v>
      </c>
      <c r="H5161" s="118">
        <v>1.0069444444444444E-3</v>
      </c>
      <c r="I5161" s="118">
        <v>3.4722222222222224E-4</v>
      </c>
      <c r="J5161"/>
      <c r="K5161"/>
    </row>
    <row r="5162" spans="1:11" x14ac:dyDescent="0.25">
      <c r="A5162">
        <v>1</v>
      </c>
      <c r="B5162">
        <v>17</v>
      </c>
      <c r="C5162"/>
      <c r="D5162" t="s">
        <v>31</v>
      </c>
      <c r="E5162" t="s">
        <v>35</v>
      </c>
      <c r="F5162" t="s">
        <v>54</v>
      </c>
      <c r="G5162" s="118">
        <v>0.85402777777777772</v>
      </c>
      <c r="H5162" s="118">
        <v>8.6805555555555551E-4</v>
      </c>
      <c r="I5162" s="118">
        <v>3.4722222222222224E-4</v>
      </c>
      <c r="J5162"/>
      <c r="K5162"/>
    </row>
    <row r="5163" spans="1:11" x14ac:dyDescent="0.25">
      <c r="A5163">
        <v>2</v>
      </c>
      <c r="B5163">
        <v>18</v>
      </c>
      <c r="C5163"/>
      <c r="D5163" t="s">
        <v>31</v>
      </c>
      <c r="E5163" t="s">
        <v>35</v>
      </c>
      <c r="F5163" t="s">
        <v>50</v>
      </c>
      <c r="G5163" s="118">
        <v>0.85428240740740735</v>
      </c>
      <c r="H5163" s="118">
        <v>1.1458333333333333E-3</v>
      </c>
      <c r="I5163" s="118">
        <v>3.4722222222222224E-4</v>
      </c>
      <c r="J5163"/>
      <c r="K5163"/>
    </row>
    <row r="5164" spans="1:11" x14ac:dyDescent="0.25">
      <c r="A5164">
        <v>9</v>
      </c>
      <c r="B5164">
        <v>5</v>
      </c>
      <c r="C5164"/>
      <c r="D5164" t="s">
        <v>31</v>
      </c>
      <c r="E5164" t="s">
        <v>32</v>
      </c>
      <c r="F5164" t="s">
        <v>44</v>
      </c>
      <c r="G5164" s="118">
        <v>0.85430555555555554</v>
      </c>
      <c r="H5164" s="118">
        <v>3.4722222222222224E-4</v>
      </c>
      <c r="I5164" s="118">
        <v>9.2592592592592585E-4</v>
      </c>
      <c r="J5164" s="118">
        <v>7.0717592592592594E-3</v>
      </c>
      <c r="K5164" s="118">
        <v>7.0717592592592594E-3</v>
      </c>
    </row>
    <row r="5165" spans="1:11" x14ac:dyDescent="0.25">
      <c r="A5165">
        <v>1</v>
      </c>
      <c r="B5165">
        <v>17</v>
      </c>
      <c r="C5165"/>
      <c r="D5165" t="s">
        <v>31</v>
      </c>
      <c r="E5165" t="s">
        <v>32</v>
      </c>
      <c r="F5165" t="s">
        <v>54</v>
      </c>
      <c r="G5165" s="118">
        <v>0.854375</v>
      </c>
      <c r="H5165" s="118">
        <v>3.4722222222222224E-4</v>
      </c>
      <c r="I5165" s="118">
        <v>6.9444444444444447E-4</v>
      </c>
      <c r="J5165" s="118">
        <v>5.0462962962962961E-3</v>
      </c>
      <c r="K5165" s="118">
        <v>7.0717592592592594E-3</v>
      </c>
    </row>
    <row r="5166" spans="1:11" x14ac:dyDescent="0.25">
      <c r="A5166">
        <v>5</v>
      </c>
      <c r="B5166">
        <v>19</v>
      </c>
      <c r="C5166"/>
      <c r="D5166" t="s">
        <v>31</v>
      </c>
      <c r="E5166" t="s">
        <v>35</v>
      </c>
      <c r="F5166" t="s">
        <v>38</v>
      </c>
      <c r="G5166" s="118">
        <v>0.85458333333333336</v>
      </c>
      <c r="H5166" s="118">
        <v>9.1435185185185185E-4</v>
      </c>
      <c r="I5166" s="118">
        <v>3.4722222222222224E-4</v>
      </c>
      <c r="J5166"/>
      <c r="K5166"/>
    </row>
    <row r="5167" spans="1:11" x14ac:dyDescent="0.25">
      <c r="A5167">
        <v>2</v>
      </c>
      <c r="B5167">
        <v>18</v>
      </c>
      <c r="C5167"/>
      <c r="D5167" t="s">
        <v>31</v>
      </c>
      <c r="E5167" t="s">
        <v>32</v>
      </c>
      <c r="F5167" t="s">
        <v>50</v>
      </c>
      <c r="G5167" s="118">
        <v>0.85462962962962974</v>
      </c>
      <c r="H5167" s="118">
        <v>3.4722222222222224E-4</v>
      </c>
      <c r="I5167" s="118">
        <v>1.261574074074074E-3</v>
      </c>
      <c r="J5167" s="118">
        <v>7.0717592592592594E-3</v>
      </c>
      <c r="K5167" s="118">
        <v>7.0717592592592594E-3</v>
      </c>
    </row>
    <row r="5168" spans="1:11" x14ac:dyDescent="0.25">
      <c r="A5168">
        <v>5</v>
      </c>
      <c r="B5168">
        <v>19</v>
      </c>
      <c r="C5168"/>
      <c r="D5168" t="s">
        <v>31</v>
      </c>
      <c r="E5168" t="s">
        <v>32</v>
      </c>
      <c r="F5168" t="s">
        <v>38</v>
      </c>
      <c r="G5168" s="118">
        <v>0.85493055555555564</v>
      </c>
      <c r="H5168" s="118">
        <v>3.4722222222222224E-4</v>
      </c>
      <c r="I5168" s="118">
        <v>1.2384259259259258E-3</v>
      </c>
      <c r="J5168" s="118">
        <v>7.0717592592592594E-3</v>
      </c>
      <c r="K5168" s="118">
        <v>7.0717592592592594E-3</v>
      </c>
    </row>
    <row r="5169" spans="1:11" x14ac:dyDescent="0.25">
      <c r="A5169">
        <v>1</v>
      </c>
      <c r="B5169">
        <v>17</v>
      </c>
      <c r="C5169"/>
      <c r="D5169" t="s">
        <v>31</v>
      </c>
      <c r="E5169" t="s">
        <v>35</v>
      </c>
      <c r="F5169" t="s">
        <v>92</v>
      </c>
      <c r="G5169" s="118">
        <v>0.85506944444444455</v>
      </c>
      <c r="H5169" s="118">
        <v>6.9444444444444447E-4</v>
      </c>
      <c r="I5169" s="118">
        <v>5.2083333333333333E-4</v>
      </c>
      <c r="J5169"/>
      <c r="K5169"/>
    </row>
    <row r="5170" spans="1:11" x14ac:dyDescent="0.25">
      <c r="A5170">
        <v>9</v>
      </c>
      <c r="B5170">
        <v>5</v>
      </c>
      <c r="C5170"/>
      <c r="D5170" t="s">
        <v>31</v>
      </c>
      <c r="E5170" t="s">
        <v>35</v>
      </c>
      <c r="F5170" t="s">
        <v>49</v>
      </c>
      <c r="G5170" s="118">
        <v>0.85523148148148154</v>
      </c>
      <c r="H5170" s="118">
        <v>9.2592592592592585E-4</v>
      </c>
      <c r="I5170" s="118">
        <v>3.4722222222222224E-4</v>
      </c>
      <c r="J5170"/>
      <c r="K5170"/>
    </row>
    <row r="5171" spans="1:11" x14ac:dyDescent="0.25">
      <c r="A5171">
        <v>4</v>
      </c>
      <c r="B5171">
        <v>18</v>
      </c>
      <c r="C5171"/>
      <c r="D5171" t="s">
        <v>31</v>
      </c>
      <c r="E5171" t="s">
        <v>35</v>
      </c>
      <c r="F5171" t="s">
        <v>46</v>
      </c>
      <c r="G5171" s="118">
        <v>0.85549768518518521</v>
      </c>
      <c r="H5171" s="118">
        <v>1.8055555555555557E-3</v>
      </c>
      <c r="I5171" s="118">
        <v>3.4722222222222224E-4</v>
      </c>
      <c r="J5171"/>
      <c r="K5171"/>
    </row>
    <row r="5172" spans="1:11" x14ac:dyDescent="0.25">
      <c r="A5172">
        <v>9</v>
      </c>
      <c r="B5172">
        <v>5</v>
      </c>
      <c r="C5172"/>
      <c r="D5172" t="s">
        <v>31</v>
      </c>
      <c r="E5172" t="s">
        <v>32</v>
      </c>
      <c r="F5172" t="s">
        <v>49</v>
      </c>
      <c r="G5172" s="118">
        <v>0.8555787037037037</v>
      </c>
      <c r="H5172" s="118">
        <v>3.4722222222222224E-4</v>
      </c>
      <c r="I5172" s="118">
        <v>1.3541666666666667E-3</v>
      </c>
      <c r="J5172" s="118">
        <v>7.0717592592592594E-3</v>
      </c>
      <c r="K5172" s="118">
        <v>7.0717592592592594E-3</v>
      </c>
    </row>
    <row r="5173" spans="1:11" x14ac:dyDescent="0.25">
      <c r="A5173">
        <v>1</v>
      </c>
      <c r="B5173">
        <v>18</v>
      </c>
      <c r="C5173"/>
      <c r="D5173" t="s">
        <v>31</v>
      </c>
      <c r="E5173" t="s">
        <v>32</v>
      </c>
      <c r="F5173" t="s">
        <v>92</v>
      </c>
      <c r="G5173" s="118">
        <v>0.85559027777777785</v>
      </c>
      <c r="H5173" s="118">
        <v>5.2083333333333333E-4</v>
      </c>
      <c r="I5173" s="118">
        <v>1.0069444444444444E-3</v>
      </c>
      <c r="J5173" s="118">
        <v>7.0717592592592594E-3</v>
      </c>
      <c r="K5173" s="118">
        <v>7.0717592592592594E-3</v>
      </c>
    </row>
    <row r="5174" spans="1:11" x14ac:dyDescent="0.25">
      <c r="A5174">
        <v>4</v>
      </c>
      <c r="B5174">
        <v>18</v>
      </c>
      <c r="C5174"/>
      <c r="D5174" t="s">
        <v>31</v>
      </c>
      <c r="E5174" t="s">
        <v>32</v>
      </c>
      <c r="F5174" t="s">
        <v>46</v>
      </c>
      <c r="G5174" s="118">
        <v>0.85584490740740737</v>
      </c>
      <c r="H5174" s="118">
        <v>3.4722222222222224E-4</v>
      </c>
      <c r="I5174" s="118">
        <v>9.1435185185185185E-4</v>
      </c>
      <c r="J5174" s="118">
        <v>7.0717592592592594E-3</v>
      </c>
      <c r="K5174" s="118">
        <v>7.0717592592592594E-3</v>
      </c>
    </row>
    <row r="5175" spans="1:11" x14ac:dyDescent="0.25">
      <c r="A5175">
        <v>2</v>
      </c>
      <c r="B5175">
        <v>18</v>
      </c>
      <c r="C5175"/>
      <c r="D5175" t="s">
        <v>31</v>
      </c>
      <c r="E5175" t="s">
        <v>35</v>
      </c>
      <c r="F5175" t="s">
        <v>56</v>
      </c>
      <c r="G5175" s="118">
        <v>0.85589120370370375</v>
      </c>
      <c r="H5175" s="118">
        <v>1.261574074074074E-3</v>
      </c>
      <c r="I5175" s="118">
        <v>3.4722222222222224E-4</v>
      </c>
      <c r="J5175"/>
      <c r="K5175"/>
    </row>
    <row r="5176" spans="1:11" x14ac:dyDescent="0.25">
      <c r="A5176">
        <v>5</v>
      </c>
      <c r="B5176">
        <v>19</v>
      </c>
      <c r="C5176"/>
      <c r="D5176" t="s">
        <v>31</v>
      </c>
      <c r="E5176" t="s">
        <v>35</v>
      </c>
      <c r="F5176" t="s">
        <v>45</v>
      </c>
      <c r="G5176" s="118">
        <v>0.85616898148148157</v>
      </c>
      <c r="H5176" s="118">
        <v>1.2384259259259258E-3</v>
      </c>
      <c r="I5176" s="118">
        <v>3.4722222222222224E-4</v>
      </c>
      <c r="J5176"/>
      <c r="K5176"/>
    </row>
    <row r="5177" spans="1:11" x14ac:dyDescent="0.25">
      <c r="A5177">
        <v>2</v>
      </c>
      <c r="B5177">
        <v>18</v>
      </c>
      <c r="C5177"/>
      <c r="D5177" t="s">
        <v>31</v>
      </c>
      <c r="E5177" t="s">
        <v>32</v>
      </c>
      <c r="F5177" t="s">
        <v>56</v>
      </c>
      <c r="G5177" s="118">
        <v>0.85623842592592592</v>
      </c>
      <c r="H5177" s="118">
        <v>3.4722222222222224E-4</v>
      </c>
      <c r="I5177" s="118">
        <v>9.6064814814814808E-4</v>
      </c>
      <c r="J5177" s="118">
        <v>7.0717592592592594E-3</v>
      </c>
      <c r="K5177" s="118">
        <v>7.0717592592592594E-3</v>
      </c>
    </row>
    <row r="5178" spans="1:11" x14ac:dyDescent="0.25">
      <c r="A5178">
        <v>5</v>
      </c>
      <c r="B5178">
        <v>19</v>
      </c>
      <c r="C5178"/>
      <c r="D5178" t="s">
        <v>31</v>
      </c>
      <c r="E5178" t="s">
        <v>32</v>
      </c>
      <c r="F5178" t="s">
        <v>45</v>
      </c>
      <c r="G5178" s="118">
        <v>0.85651620370370374</v>
      </c>
      <c r="H5178" s="118">
        <v>3.4722222222222224E-4</v>
      </c>
      <c r="I5178" s="118">
        <v>1.0416666666666667E-3</v>
      </c>
      <c r="J5178" s="118">
        <v>7.0717592592592594E-3</v>
      </c>
      <c r="K5178" s="118">
        <v>7.0717592592592594E-3</v>
      </c>
    </row>
    <row r="5179" spans="1:11" x14ac:dyDescent="0.25">
      <c r="A5179">
        <v>1</v>
      </c>
      <c r="B5179">
        <v>18</v>
      </c>
      <c r="C5179"/>
      <c r="D5179" t="s">
        <v>31</v>
      </c>
      <c r="E5179" t="s">
        <v>35</v>
      </c>
      <c r="F5179" t="s">
        <v>41</v>
      </c>
      <c r="G5179" s="118">
        <v>0.85659722222222223</v>
      </c>
      <c r="H5179" s="118">
        <v>1.0069444444444444E-3</v>
      </c>
      <c r="I5179" s="118">
        <v>3.4722222222222224E-4</v>
      </c>
      <c r="J5179"/>
      <c r="K5179"/>
    </row>
    <row r="5180" spans="1:11" x14ac:dyDescent="0.25">
      <c r="A5180">
        <v>4</v>
      </c>
      <c r="B5180">
        <v>18</v>
      </c>
      <c r="C5180"/>
      <c r="D5180" t="s">
        <v>31</v>
      </c>
      <c r="E5180" t="s">
        <v>35</v>
      </c>
      <c r="F5180" t="s">
        <v>51</v>
      </c>
      <c r="G5180" s="118">
        <v>0.85675925925925922</v>
      </c>
      <c r="H5180" s="118">
        <v>9.1435185185185185E-4</v>
      </c>
      <c r="I5180" s="118">
        <v>3.4722222222222224E-4</v>
      </c>
      <c r="J5180"/>
      <c r="K5180"/>
    </row>
    <row r="5181" spans="1:11" x14ac:dyDescent="0.25">
      <c r="A5181">
        <v>9</v>
      </c>
      <c r="B5181">
        <v>5</v>
      </c>
      <c r="C5181"/>
      <c r="D5181" t="s">
        <v>31</v>
      </c>
      <c r="E5181" t="s">
        <v>35</v>
      </c>
      <c r="F5181" t="s">
        <v>33</v>
      </c>
      <c r="G5181" s="118">
        <v>0.85693287037037036</v>
      </c>
      <c r="H5181" s="118">
        <v>1.3541666666666667E-3</v>
      </c>
      <c r="I5181" s="118">
        <v>5.2083333333333333E-4</v>
      </c>
      <c r="J5181"/>
      <c r="K5181"/>
    </row>
    <row r="5182" spans="1:11" x14ac:dyDescent="0.25">
      <c r="A5182">
        <v>1</v>
      </c>
      <c r="B5182">
        <v>18</v>
      </c>
      <c r="C5182"/>
      <c r="D5182" t="s">
        <v>31</v>
      </c>
      <c r="E5182" t="s">
        <v>32</v>
      </c>
      <c r="F5182" t="s">
        <v>41</v>
      </c>
      <c r="G5182" s="118">
        <v>0.8569444444444444</v>
      </c>
      <c r="H5182" s="118">
        <v>3.4722222222222224E-4</v>
      </c>
      <c r="I5182" s="118">
        <v>8.564814814814815E-4</v>
      </c>
      <c r="J5182" s="118">
        <v>7.0717592592592594E-3</v>
      </c>
      <c r="K5182" s="118">
        <v>7.0717592592592594E-3</v>
      </c>
    </row>
    <row r="5183" spans="1:11" x14ac:dyDescent="0.25">
      <c r="A5183">
        <v>4</v>
      </c>
      <c r="B5183">
        <v>18</v>
      </c>
      <c r="C5183"/>
      <c r="D5183" t="s">
        <v>31</v>
      </c>
      <c r="E5183" t="s">
        <v>32</v>
      </c>
      <c r="F5183" t="s">
        <v>51</v>
      </c>
      <c r="G5183" s="118">
        <v>0.85710648148148139</v>
      </c>
      <c r="H5183" s="118">
        <v>3.4722222222222224E-4</v>
      </c>
      <c r="I5183" s="118">
        <v>1.0069444444444444E-3</v>
      </c>
      <c r="J5183" s="118">
        <v>7.0717592592592594E-3</v>
      </c>
      <c r="K5183" s="118">
        <v>7.0717592592592594E-3</v>
      </c>
    </row>
    <row r="5184" spans="1:11" x14ac:dyDescent="0.25">
      <c r="A5184">
        <v>2</v>
      </c>
      <c r="B5184">
        <v>18</v>
      </c>
      <c r="C5184"/>
      <c r="D5184" t="s">
        <v>31</v>
      </c>
      <c r="E5184" t="s">
        <v>35</v>
      </c>
      <c r="F5184" t="s">
        <v>37</v>
      </c>
      <c r="G5184" s="118">
        <v>0.85719907407407403</v>
      </c>
      <c r="H5184" s="118">
        <v>9.6064814814814808E-4</v>
      </c>
      <c r="I5184" s="118">
        <v>3.4722222222222224E-4</v>
      </c>
      <c r="J5184"/>
      <c r="K5184"/>
    </row>
    <row r="5185" spans="1:11" x14ac:dyDescent="0.25">
      <c r="A5185">
        <v>9</v>
      </c>
      <c r="B5185">
        <v>5</v>
      </c>
      <c r="C5185"/>
      <c r="D5185" t="s">
        <v>31</v>
      </c>
      <c r="E5185" t="s">
        <v>32</v>
      </c>
      <c r="F5185" t="s">
        <v>33</v>
      </c>
      <c r="G5185" s="118">
        <v>0.85745370370370377</v>
      </c>
      <c r="H5185" s="118">
        <v>5.2083333333333333E-4</v>
      </c>
      <c r="I5185" s="118">
        <v>9.6064814814814808E-4</v>
      </c>
      <c r="J5185" s="118">
        <v>7.0717592592592594E-3</v>
      </c>
      <c r="K5185" s="118">
        <v>7.0717592592592594E-3</v>
      </c>
    </row>
    <row r="5186" spans="1:11" x14ac:dyDescent="0.25">
      <c r="A5186">
        <v>2</v>
      </c>
      <c r="B5186">
        <v>18</v>
      </c>
      <c r="C5186"/>
      <c r="D5186" t="s">
        <v>31</v>
      </c>
      <c r="E5186" t="s">
        <v>32</v>
      </c>
      <c r="F5186" t="s">
        <v>37</v>
      </c>
      <c r="G5186" s="118">
        <v>0.8575462962962962</v>
      </c>
      <c r="H5186" s="118">
        <v>3.4722222222222224E-4</v>
      </c>
      <c r="I5186" s="118">
        <v>9.0277777777777784E-4</v>
      </c>
      <c r="J5186" s="118">
        <v>7.0717592592592594E-3</v>
      </c>
      <c r="K5186" s="118">
        <v>7.0717592592592594E-3</v>
      </c>
    </row>
    <row r="5187" spans="1:11" x14ac:dyDescent="0.25">
      <c r="A5187">
        <v>5</v>
      </c>
      <c r="B5187">
        <v>19</v>
      </c>
      <c r="C5187"/>
      <c r="D5187" t="s">
        <v>31</v>
      </c>
      <c r="E5187" t="s">
        <v>35</v>
      </c>
      <c r="F5187" t="s">
        <v>52</v>
      </c>
      <c r="G5187" s="118">
        <v>0.85755787037037035</v>
      </c>
      <c r="H5187" s="118">
        <v>1.0416666666666667E-3</v>
      </c>
      <c r="I5187" s="118">
        <v>3.4722222222222224E-4</v>
      </c>
      <c r="J5187"/>
      <c r="K5187"/>
    </row>
    <row r="5188" spans="1:11" x14ac:dyDescent="0.25">
      <c r="A5188">
        <v>1</v>
      </c>
      <c r="B5188">
        <v>18</v>
      </c>
      <c r="C5188"/>
      <c r="D5188" t="s">
        <v>31</v>
      </c>
      <c r="E5188" t="s">
        <v>35</v>
      </c>
      <c r="F5188" t="s">
        <v>47</v>
      </c>
      <c r="G5188" s="118">
        <v>0.85780092592592594</v>
      </c>
      <c r="H5188" s="118">
        <v>8.564814814814815E-4</v>
      </c>
      <c r="I5188" s="118">
        <v>5.2083333333333333E-4</v>
      </c>
      <c r="J5188"/>
      <c r="K5188"/>
    </row>
    <row r="5189" spans="1:11" x14ac:dyDescent="0.25">
      <c r="A5189">
        <v>5</v>
      </c>
      <c r="B5189">
        <v>19</v>
      </c>
      <c r="C5189"/>
      <c r="D5189" t="s">
        <v>31</v>
      </c>
      <c r="E5189" t="s">
        <v>32</v>
      </c>
      <c r="F5189" t="s">
        <v>52</v>
      </c>
      <c r="G5189" s="118">
        <v>0.85790509259259251</v>
      </c>
      <c r="H5189" s="118">
        <v>3.4722222222222224E-4</v>
      </c>
      <c r="I5189" s="118">
        <v>1.0532407407407407E-3</v>
      </c>
      <c r="J5189" s="118">
        <v>7.0717592592592594E-3</v>
      </c>
      <c r="K5189" s="118">
        <v>7.0717592592592594E-3</v>
      </c>
    </row>
    <row r="5190" spans="1:11" x14ac:dyDescent="0.25">
      <c r="A5190">
        <v>4</v>
      </c>
      <c r="B5190">
        <v>18</v>
      </c>
      <c r="C5190"/>
      <c r="D5190" t="s">
        <v>31</v>
      </c>
      <c r="E5190" t="s">
        <v>35</v>
      </c>
      <c r="F5190" t="s">
        <v>55</v>
      </c>
      <c r="G5190" s="118">
        <v>0.85811342592592599</v>
      </c>
      <c r="H5190" s="118">
        <v>1.0069444444444444E-3</v>
      </c>
      <c r="I5190" s="118">
        <v>4.6296296296296293E-4</v>
      </c>
      <c r="J5190"/>
      <c r="K5190"/>
    </row>
    <row r="5191" spans="1:11" x14ac:dyDescent="0.25">
      <c r="A5191">
        <v>1</v>
      </c>
      <c r="B5191">
        <v>18</v>
      </c>
      <c r="C5191"/>
      <c r="D5191" t="s">
        <v>31</v>
      </c>
      <c r="E5191" t="s">
        <v>32</v>
      </c>
      <c r="F5191" t="s">
        <v>47</v>
      </c>
      <c r="G5191" s="118">
        <v>0.85832175925925924</v>
      </c>
      <c r="H5191" s="118">
        <v>5.2083333333333333E-4</v>
      </c>
      <c r="I5191" s="118">
        <v>8.7962962962962962E-4</v>
      </c>
      <c r="J5191" s="118">
        <v>7.0717592592592594E-3</v>
      </c>
      <c r="K5191" s="118">
        <v>7.0717592592592594E-3</v>
      </c>
    </row>
    <row r="5192" spans="1:11" x14ac:dyDescent="0.25">
      <c r="A5192">
        <v>9</v>
      </c>
      <c r="B5192">
        <v>5</v>
      </c>
      <c r="C5192"/>
      <c r="D5192" t="s">
        <v>31</v>
      </c>
      <c r="E5192" t="s">
        <v>35</v>
      </c>
      <c r="F5192" t="s">
        <v>36</v>
      </c>
      <c r="G5192" s="118">
        <v>0.85841435185185189</v>
      </c>
      <c r="H5192" s="118">
        <v>9.6064814814814808E-4</v>
      </c>
      <c r="I5192" s="118">
        <v>3.4722222222222224E-4</v>
      </c>
      <c r="J5192"/>
      <c r="K5192"/>
    </row>
    <row r="5193" spans="1:11" x14ac:dyDescent="0.25">
      <c r="A5193">
        <v>2</v>
      </c>
      <c r="B5193">
        <v>18</v>
      </c>
      <c r="C5193"/>
      <c r="D5193" t="s">
        <v>31</v>
      </c>
      <c r="E5193" t="s">
        <v>35</v>
      </c>
      <c r="F5193" t="s">
        <v>42</v>
      </c>
      <c r="G5193" s="118">
        <v>0.85844907407407411</v>
      </c>
      <c r="H5193" s="118">
        <v>9.0277777777777784E-4</v>
      </c>
      <c r="I5193" s="118">
        <v>3.4722222222222224E-4</v>
      </c>
      <c r="J5193"/>
      <c r="K5193"/>
    </row>
    <row r="5194" spans="1:11" x14ac:dyDescent="0.25">
      <c r="A5194">
        <v>4</v>
      </c>
      <c r="B5194">
        <v>18</v>
      </c>
      <c r="C5194"/>
      <c r="D5194" t="s">
        <v>31</v>
      </c>
      <c r="E5194" t="s">
        <v>32</v>
      </c>
      <c r="F5194" t="s">
        <v>55</v>
      </c>
      <c r="G5194" s="118">
        <v>0.85857638888888888</v>
      </c>
      <c r="H5194" s="118">
        <v>4.6296296296296293E-4</v>
      </c>
      <c r="I5194" s="118">
        <v>4.3981481481481481E-4</v>
      </c>
      <c r="J5194" s="118">
        <v>7.0717592592592594E-3</v>
      </c>
      <c r="K5194" s="118">
        <v>7.0717592592592594E-3</v>
      </c>
    </row>
    <row r="5195" spans="1:11" x14ac:dyDescent="0.25">
      <c r="A5195">
        <v>9</v>
      </c>
      <c r="B5195">
        <v>5</v>
      </c>
      <c r="C5195"/>
      <c r="D5195" t="s">
        <v>31</v>
      </c>
      <c r="E5195" t="s">
        <v>32</v>
      </c>
      <c r="F5195" t="s">
        <v>36</v>
      </c>
      <c r="G5195" s="118">
        <v>0.85876157407407405</v>
      </c>
      <c r="H5195" s="118">
        <v>3.4722222222222224E-4</v>
      </c>
      <c r="I5195" s="118">
        <v>1.0995370370370371E-3</v>
      </c>
      <c r="J5195" s="118">
        <v>7.0717592592592594E-3</v>
      </c>
      <c r="K5195" s="118">
        <v>7.0717592592592594E-3</v>
      </c>
    </row>
    <row r="5196" spans="1:11" x14ac:dyDescent="0.25">
      <c r="A5196">
        <v>2</v>
      </c>
      <c r="B5196">
        <v>18</v>
      </c>
      <c r="C5196"/>
      <c r="D5196" t="s">
        <v>31</v>
      </c>
      <c r="E5196" t="s">
        <v>32</v>
      </c>
      <c r="F5196" t="s">
        <v>42</v>
      </c>
      <c r="G5196" s="118">
        <v>0.85879629629629628</v>
      </c>
      <c r="H5196" s="118">
        <v>3.4722222222222224E-4</v>
      </c>
      <c r="I5196" s="118">
        <v>9.1435185185185185E-4</v>
      </c>
      <c r="J5196" s="118">
        <v>7.0717592592592594E-3</v>
      </c>
      <c r="K5196" s="118">
        <v>7.0717592592592594E-3</v>
      </c>
    </row>
    <row r="5197" spans="1:11" x14ac:dyDescent="0.25">
      <c r="A5197">
        <v>5</v>
      </c>
      <c r="B5197">
        <v>19</v>
      </c>
      <c r="C5197"/>
      <c r="D5197" t="s">
        <v>31</v>
      </c>
      <c r="E5197" t="s">
        <v>35</v>
      </c>
      <c r="F5197" t="s">
        <v>57</v>
      </c>
      <c r="G5197" s="118">
        <v>0.85895833333333327</v>
      </c>
      <c r="H5197" s="118">
        <v>1.0532407407407407E-3</v>
      </c>
      <c r="I5197" s="118">
        <v>3.4722222222222224E-4</v>
      </c>
      <c r="J5197"/>
      <c r="K5197"/>
    </row>
    <row r="5198" spans="1:11" x14ac:dyDescent="0.25">
      <c r="A5198">
        <v>4</v>
      </c>
      <c r="B5198">
        <v>18</v>
      </c>
      <c r="C5198"/>
      <c r="D5198" t="s">
        <v>31</v>
      </c>
      <c r="E5198" t="s">
        <v>35</v>
      </c>
      <c r="F5198" t="s">
        <v>58</v>
      </c>
      <c r="G5198" s="118">
        <v>0.85901620370370368</v>
      </c>
      <c r="H5198" s="118">
        <v>4.3981481481481481E-4</v>
      </c>
      <c r="I5198" s="118">
        <v>5.7870370370370366E-5</v>
      </c>
      <c r="J5198"/>
      <c r="K5198"/>
    </row>
    <row r="5199" spans="1:11" x14ac:dyDescent="0.25">
      <c r="A5199">
        <v>4</v>
      </c>
      <c r="B5199">
        <v>18</v>
      </c>
      <c r="C5199"/>
      <c r="D5199" t="s">
        <v>31</v>
      </c>
      <c r="E5199" t="s">
        <v>32</v>
      </c>
      <c r="F5199" t="s">
        <v>58</v>
      </c>
      <c r="G5199" s="118">
        <v>0.8590740740740741</v>
      </c>
      <c r="H5199" s="118">
        <v>5.7870370370370366E-5</v>
      </c>
      <c r="I5199" s="118">
        <v>4.8611111111111104E-4</v>
      </c>
      <c r="J5199" s="118">
        <v>7.0717592592592594E-3</v>
      </c>
      <c r="K5199" s="118">
        <v>7.0717592592592594E-3</v>
      </c>
    </row>
    <row r="5200" spans="1:11" x14ac:dyDescent="0.25">
      <c r="A5200">
        <v>1</v>
      </c>
      <c r="B5200">
        <v>18</v>
      </c>
      <c r="C5200"/>
      <c r="D5200" t="s">
        <v>31</v>
      </c>
      <c r="E5200" t="s">
        <v>35</v>
      </c>
      <c r="F5200" t="s">
        <v>53</v>
      </c>
      <c r="G5200" s="118">
        <v>0.85920138888888886</v>
      </c>
      <c r="H5200" s="118">
        <v>8.7962962962962962E-4</v>
      </c>
      <c r="I5200" s="118">
        <v>3.4722222222222224E-4</v>
      </c>
      <c r="J5200"/>
      <c r="K5200"/>
    </row>
    <row r="5201" spans="1:11" x14ac:dyDescent="0.25">
      <c r="A5201">
        <v>5</v>
      </c>
      <c r="B5201">
        <v>19</v>
      </c>
      <c r="C5201"/>
      <c r="D5201" t="s">
        <v>31</v>
      </c>
      <c r="E5201" t="s">
        <v>32</v>
      </c>
      <c r="F5201" t="s">
        <v>57</v>
      </c>
      <c r="G5201" s="118">
        <v>0.85930555555555566</v>
      </c>
      <c r="H5201" s="118">
        <v>3.4722222222222224E-4</v>
      </c>
      <c r="I5201" s="118">
        <v>9.3750000000000007E-4</v>
      </c>
      <c r="J5201" s="118">
        <v>7.0717592592592594E-3</v>
      </c>
      <c r="K5201" s="118">
        <v>7.0717592592592594E-3</v>
      </c>
    </row>
    <row r="5202" spans="1:11" x14ac:dyDescent="0.25">
      <c r="A5202">
        <v>1</v>
      </c>
      <c r="B5202">
        <v>18</v>
      </c>
      <c r="C5202"/>
      <c r="D5202" t="s">
        <v>31</v>
      </c>
      <c r="E5202" t="s">
        <v>32</v>
      </c>
      <c r="F5202" t="s">
        <v>53</v>
      </c>
      <c r="G5202" s="118">
        <v>0.85954861111111114</v>
      </c>
      <c r="H5202" s="118">
        <v>3.4722222222222224E-4</v>
      </c>
      <c r="I5202" s="118">
        <v>8.449074074074075E-4</v>
      </c>
      <c r="J5202" s="118">
        <v>7.0717592592592594E-3</v>
      </c>
      <c r="K5202" s="118">
        <v>7.0717592592592594E-3</v>
      </c>
    </row>
    <row r="5203" spans="1:11" x14ac:dyDescent="0.25">
      <c r="A5203">
        <v>4</v>
      </c>
      <c r="B5203">
        <v>18</v>
      </c>
      <c r="C5203"/>
      <c r="D5203" t="s">
        <v>31</v>
      </c>
      <c r="E5203" t="s">
        <v>35</v>
      </c>
      <c r="F5203" t="s">
        <v>40</v>
      </c>
      <c r="G5203" s="118">
        <v>0.85956018518518518</v>
      </c>
      <c r="H5203" s="118">
        <v>4.8611111111111104E-4</v>
      </c>
      <c r="I5203" s="118">
        <v>4.6296296296296293E-4</v>
      </c>
      <c r="J5203"/>
      <c r="K5203"/>
    </row>
    <row r="5204" spans="1:11" x14ac:dyDescent="0.25">
      <c r="A5204">
        <v>2</v>
      </c>
      <c r="B5204">
        <v>18</v>
      </c>
      <c r="C5204"/>
      <c r="D5204" t="s">
        <v>31</v>
      </c>
      <c r="E5204" t="s">
        <v>35</v>
      </c>
      <c r="F5204" t="s">
        <v>48</v>
      </c>
      <c r="G5204" s="118">
        <v>0.85971064814814813</v>
      </c>
      <c r="H5204" s="118">
        <v>9.1435185185185185E-4</v>
      </c>
      <c r="I5204" s="118">
        <v>5.2083333333333333E-4</v>
      </c>
      <c r="J5204"/>
      <c r="K5204"/>
    </row>
    <row r="5205" spans="1:11" x14ac:dyDescent="0.25">
      <c r="A5205">
        <v>9</v>
      </c>
      <c r="B5205">
        <v>5</v>
      </c>
      <c r="C5205"/>
      <c r="D5205" t="s">
        <v>31</v>
      </c>
      <c r="E5205" t="s">
        <v>35</v>
      </c>
      <c r="F5205" t="s">
        <v>43</v>
      </c>
      <c r="G5205" s="118">
        <v>0.85986111111111108</v>
      </c>
      <c r="H5205" s="118">
        <v>1.0995370370370371E-3</v>
      </c>
      <c r="I5205" s="118">
        <v>3.4722222222222224E-4</v>
      </c>
      <c r="J5205"/>
      <c r="K5205"/>
    </row>
    <row r="5206" spans="1:11" x14ac:dyDescent="0.25">
      <c r="A5206">
        <v>4</v>
      </c>
      <c r="B5206">
        <v>18</v>
      </c>
      <c r="C5206"/>
      <c r="D5206" t="s">
        <v>31</v>
      </c>
      <c r="E5206" t="s">
        <v>32</v>
      </c>
      <c r="F5206" t="s">
        <v>40</v>
      </c>
      <c r="G5206" s="118">
        <v>0.86002314814814806</v>
      </c>
      <c r="H5206" s="118">
        <v>4.6296296296296293E-4</v>
      </c>
      <c r="I5206" s="118">
        <v>1.0069444444444444E-3</v>
      </c>
      <c r="J5206" s="118">
        <v>7.0717592592592594E-3</v>
      </c>
      <c r="K5206" s="118">
        <v>7.0717592592592594E-3</v>
      </c>
    </row>
    <row r="5207" spans="1:11" x14ac:dyDescent="0.25">
      <c r="A5207">
        <v>9</v>
      </c>
      <c r="B5207">
        <v>5</v>
      </c>
      <c r="C5207"/>
      <c r="D5207" t="s">
        <v>31</v>
      </c>
      <c r="E5207" t="s">
        <v>32</v>
      </c>
      <c r="F5207" t="s">
        <v>43</v>
      </c>
      <c r="G5207" s="118">
        <v>0.86020833333333335</v>
      </c>
      <c r="H5207" s="118">
        <v>3.4722222222222224E-4</v>
      </c>
      <c r="I5207" s="118">
        <v>1.1458333333333333E-3</v>
      </c>
      <c r="J5207" s="118">
        <v>7.0717592592592594E-3</v>
      </c>
      <c r="K5207" s="118">
        <v>7.0717592592592594E-3</v>
      </c>
    </row>
    <row r="5208" spans="1:11" x14ac:dyDescent="0.25">
      <c r="A5208">
        <v>2</v>
      </c>
      <c r="B5208">
        <v>18</v>
      </c>
      <c r="C5208"/>
      <c r="D5208" t="s">
        <v>31</v>
      </c>
      <c r="E5208" t="s">
        <v>32</v>
      </c>
      <c r="F5208" t="s">
        <v>48</v>
      </c>
      <c r="G5208" s="118">
        <v>0.86023148148148154</v>
      </c>
      <c r="H5208" s="118">
        <v>5.2083333333333333E-4</v>
      </c>
      <c r="I5208" s="118">
        <v>8.6805555555555551E-4</v>
      </c>
      <c r="J5208" s="118">
        <v>7.0717592592592594E-3</v>
      </c>
      <c r="K5208" s="118">
        <v>7.0717592592592594E-3</v>
      </c>
    </row>
    <row r="5209" spans="1:11" x14ac:dyDescent="0.25">
      <c r="A5209">
        <v>5</v>
      </c>
      <c r="B5209">
        <v>19</v>
      </c>
      <c r="C5209"/>
      <c r="D5209" t="s">
        <v>31</v>
      </c>
      <c r="E5209" t="s">
        <v>35</v>
      </c>
      <c r="F5209" t="s">
        <v>39</v>
      </c>
      <c r="G5209" s="118">
        <v>0.86024305555555547</v>
      </c>
      <c r="H5209" s="118">
        <v>9.3750000000000007E-4</v>
      </c>
      <c r="I5209" s="118">
        <v>5.2083333333333333E-4</v>
      </c>
      <c r="J5209"/>
      <c r="K5209"/>
    </row>
    <row r="5210" spans="1:11" x14ac:dyDescent="0.25">
      <c r="A5210">
        <v>1</v>
      </c>
      <c r="B5210">
        <v>18</v>
      </c>
      <c r="C5210"/>
      <c r="D5210" t="s">
        <v>31</v>
      </c>
      <c r="E5210" t="s">
        <v>35</v>
      </c>
      <c r="F5210" t="s">
        <v>34</v>
      </c>
      <c r="G5210" s="118">
        <v>0.86039351851851853</v>
      </c>
      <c r="H5210" s="118">
        <v>8.449074074074075E-4</v>
      </c>
      <c r="I5210" s="118">
        <v>3.4722222222222224E-4</v>
      </c>
      <c r="J5210"/>
      <c r="K5210"/>
    </row>
    <row r="5211" spans="1:11" x14ac:dyDescent="0.25">
      <c r="A5211">
        <v>1</v>
      </c>
      <c r="B5211">
        <v>18</v>
      </c>
      <c r="C5211"/>
      <c r="D5211" t="s">
        <v>31</v>
      </c>
      <c r="E5211" t="s">
        <v>32</v>
      </c>
      <c r="F5211" t="s">
        <v>34</v>
      </c>
      <c r="G5211" s="118">
        <v>0.8607407407407407</v>
      </c>
      <c r="H5211" s="118">
        <v>3.4722222222222224E-4</v>
      </c>
      <c r="I5211" s="118">
        <v>9.1435185185185185E-4</v>
      </c>
      <c r="J5211" s="118">
        <v>7.0717592592592594E-3</v>
      </c>
      <c r="K5211" s="118">
        <v>7.0717592592592594E-3</v>
      </c>
    </row>
    <row r="5212" spans="1:11" x14ac:dyDescent="0.25">
      <c r="A5212">
        <v>5</v>
      </c>
      <c r="B5212">
        <v>19</v>
      </c>
      <c r="C5212"/>
      <c r="D5212" t="s">
        <v>31</v>
      </c>
      <c r="E5212" t="s">
        <v>32</v>
      </c>
      <c r="F5212" t="s">
        <v>39</v>
      </c>
      <c r="G5212" s="118">
        <v>0.86076388888888899</v>
      </c>
      <c r="H5212" s="118">
        <v>5.2083333333333333E-4</v>
      </c>
      <c r="I5212" s="118">
        <v>1.8055555555555557E-3</v>
      </c>
      <c r="J5212" s="118">
        <v>7.0717592592592594E-3</v>
      </c>
      <c r="K5212" s="118">
        <v>7.0717592592592594E-3</v>
      </c>
    </row>
    <row r="5213" spans="1:11" x14ac:dyDescent="0.25">
      <c r="A5213">
        <v>4</v>
      </c>
      <c r="B5213">
        <v>18</v>
      </c>
      <c r="C5213"/>
      <c r="D5213" t="s">
        <v>31</v>
      </c>
      <c r="E5213" t="s">
        <v>35</v>
      </c>
      <c r="F5213" t="s">
        <v>44</v>
      </c>
      <c r="G5213" s="118">
        <v>0.86103009259259267</v>
      </c>
      <c r="H5213" s="118">
        <v>1.0069444444444444E-3</v>
      </c>
      <c r="I5213" s="118">
        <v>3.4722222222222224E-4</v>
      </c>
      <c r="J5213"/>
      <c r="K5213"/>
    </row>
    <row r="5214" spans="1:11" x14ac:dyDescent="0.25">
      <c r="A5214">
        <v>2</v>
      </c>
      <c r="B5214">
        <v>18</v>
      </c>
      <c r="C5214"/>
      <c r="D5214" t="s">
        <v>31</v>
      </c>
      <c r="E5214" t="s">
        <v>35</v>
      </c>
      <c r="F5214" t="s">
        <v>54</v>
      </c>
      <c r="G5214" s="118">
        <v>0.86109953703703701</v>
      </c>
      <c r="H5214" s="118">
        <v>8.6805555555555551E-4</v>
      </c>
      <c r="I5214" s="118">
        <v>3.4722222222222224E-4</v>
      </c>
      <c r="J5214"/>
      <c r="K5214"/>
    </row>
    <row r="5215" spans="1:11" x14ac:dyDescent="0.25">
      <c r="A5215">
        <v>9</v>
      </c>
      <c r="B5215">
        <v>5</v>
      </c>
      <c r="C5215"/>
      <c r="D5215" t="s">
        <v>31</v>
      </c>
      <c r="E5215" t="s">
        <v>35</v>
      </c>
      <c r="F5215" t="s">
        <v>50</v>
      </c>
      <c r="G5215" s="118">
        <v>0.86135416666666664</v>
      </c>
      <c r="H5215" s="118">
        <v>1.1458333333333333E-3</v>
      </c>
      <c r="I5215" s="118">
        <v>3.4722222222222224E-4</v>
      </c>
      <c r="J5215"/>
      <c r="K5215"/>
    </row>
    <row r="5216" spans="1:11" x14ac:dyDescent="0.25">
      <c r="A5216">
        <v>4</v>
      </c>
      <c r="B5216">
        <v>18</v>
      </c>
      <c r="C5216"/>
      <c r="D5216" t="s">
        <v>31</v>
      </c>
      <c r="E5216" t="s">
        <v>32</v>
      </c>
      <c r="F5216" t="s">
        <v>44</v>
      </c>
      <c r="G5216" s="118">
        <v>0.86137731481481483</v>
      </c>
      <c r="H5216" s="118">
        <v>3.4722222222222224E-4</v>
      </c>
      <c r="I5216" s="118">
        <v>9.2592592592592585E-4</v>
      </c>
      <c r="J5216" s="118">
        <v>7.0717592592592594E-3</v>
      </c>
      <c r="K5216" s="118">
        <v>7.0717592592592594E-3</v>
      </c>
    </row>
    <row r="5217" spans="1:11" x14ac:dyDescent="0.25">
      <c r="A5217">
        <v>2</v>
      </c>
      <c r="B5217">
        <v>18</v>
      </c>
      <c r="C5217"/>
      <c r="D5217" t="s">
        <v>31</v>
      </c>
      <c r="E5217" t="s">
        <v>32</v>
      </c>
      <c r="F5217" t="s">
        <v>54</v>
      </c>
      <c r="G5217" s="118">
        <v>0.86144675925925929</v>
      </c>
      <c r="H5217" s="118">
        <v>3.4722222222222224E-4</v>
      </c>
      <c r="I5217" s="118">
        <v>6.9444444444444447E-4</v>
      </c>
      <c r="J5217" s="118">
        <v>7.0717592592592594E-3</v>
      </c>
      <c r="K5217" s="118">
        <v>7.0717592592592594E-3</v>
      </c>
    </row>
    <row r="5218" spans="1:11" x14ac:dyDescent="0.25">
      <c r="A5218">
        <v>1</v>
      </c>
      <c r="B5218">
        <v>18</v>
      </c>
      <c r="C5218"/>
      <c r="D5218" t="s">
        <v>31</v>
      </c>
      <c r="E5218" t="s">
        <v>35</v>
      </c>
      <c r="F5218" t="s">
        <v>38</v>
      </c>
      <c r="G5218" s="118">
        <v>0.86165509259259254</v>
      </c>
      <c r="H5218" s="118">
        <v>9.1435185185185185E-4</v>
      </c>
      <c r="I5218" s="118">
        <v>3.4722222222222224E-4</v>
      </c>
      <c r="J5218"/>
      <c r="K5218"/>
    </row>
    <row r="5219" spans="1:11" x14ac:dyDescent="0.25">
      <c r="A5219">
        <v>9</v>
      </c>
      <c r="B5219">
        <v>5</v>
      </c>
      <c r="C5219"/>
      <c r="D5219" t="s">
        <v>31</v>
      </c>
      <c r="E5219" t="s">
        <v>32</v>
      </c>
      <c r="F5219" t="s">
        <v>50</v>
      </c>
      <c r="G5219" s="118">
        <v>0.86170138888888881</v>
      </c>
      <c r="H5219" s="118">
        <v>3.4722222222222224E-4</v>
      </c>
      <c r="I5219" s="118">
        <v>1.261574074074074E-3</v>
      </c>
      <c r="J5219" s="118">
        <v>7.0717592592592594E-3</v>
      </c>
      <c r="K5219" s="118">
        <v>7.0717592592592594E-3</v>
      </c>
    </row>
    <row r="5220" spans="1:11" x14ac:dyDescent="0.25">
      <c r="A5220">
        <v>1</v>
      </c>
      <c r="B5220">
        <v>18</v>
      </c>
      <c r="C5220"/>
      <c r="D5220" t="s">
        <v>31</v>
      </c>
      <c r="E5220" t="s">
        <v>32</v>
      </c>
      <c r="F5220" t="s">
        <v>38</v>
      </c>
      <c r="G5220" s="118">
        <v>0.86200231481481471</v>
      </c>
      <c r="H5220" s="118">
        <v>3.4722222222222224E-4</v>
      </c>
      <c r="I5220" s="118">
        <v>1.2384259259259258E-3</v>
      </c>
      <c r="J5220" s="118">
        <v>7.0717592592592594E-3</v>
      </c>
      <c r="K5220" s="118">
        <v>7.0717592592592594E-3</v>
      </c>
    </row>
    <row r="5221" spans="1:11" x14ac:dyDescent="0.25">
      <c r="A5221">
        <v>2</v>
      </c>
      <c r="B5221">
        <v>18</v>
      </c>
      <c r="C5221"/>
      <c r="D5221" t="s">
        <v>31</v>
      </c>
      <c r="E5221" t="s">
        <v>35</v>
      </c>
      <c r="F5221" t="s">
        <v>92</v>
      </c>
      <c r="G5221" s="118">
        <v>0.86214120370370362</v>
      </c>
      <c r="H5221" s="118">
        <v>6.9444444444444447E-4</v>
      </c>
      <c r="I5221" s="118">
        <v>5.2083333333333333E-4</v>
      </c>
      <c r="J5221"/>
      <c r="K5221"/>
    </row>
    <row r="5222" spans="1:11" x14ac:dyDescent="0.25">
      <c r="A5222">
        <v>4</v>
      </c>
      <c r="B5222">
        <v>18</v>
      </c>
      <c r="C5222"/>
      <c r="D5222" t="s">
        <v>31</v>
      </c>
      <c r="E5222" t="s">
        <v>35</v>
      </c>
      <c r="F5222" t="s">
        <v>49</v>
      </c>
      <c r="G5222" s="118">
        <v>0.86230324074074083</v>
      </c>
      <c r="H5222" s="118">
        <v>9.2592592592592585E-4</v>
      </c>
      <c r="I5222" s="118">
        <v>3.4722222222222224E-4</v>
      </c>
      <c r="J5222"/>
      <c r="K5222"/>
    </row>
    <row r="5223" spans="1:11" x14ac:dyDescent="0.25">
      <c r="A5223">
        <v>5</v>
      </c>
      <c r="B5223">
        <v>19</v>
      </c>
      <c r="C5223"/>
      <c r="D5223" t="s">
        <v>31</v>
      </c>
      <c r="E5223" t="s">
        <v>35</v>
      </c>
      <c r="F5223" t="s">
        <v>46</v>
      </c>
      <c r="G5223" s="118">
        <v>0.8625694444444445</v>
      </c>
      <c r="H5223" s="118">
        <v>1.8055555555555557E-3</v>
      </c>
      <c r="I5223" s="118">
        <v>3.4722222222222224E-4</v>
      </c>
      <c r="J5223"/>
      <c r="K5223"/>
    </row>
    <row r="5224" spans="1:11" x14ac:dyDescent="0.25">
      <c r="A5224">
        <v>4</v>
      </c>
      <c r="B5224">
        <v>18</v>
      </c>
      <c r="C5224"/>
      <c r="D5224" t="s">
        <v>31</v>
      </c>
      <c r="E5224" t="s">
        <v>32</v>
      </c>
      <c r="F5224" t="s">
        <v>49</v>
      </c>
      <c r="G5224" s="118">
        <v>0.86265046296296299</v>
      </c>
      <c r="H5224" s="118">
        <v>3.4722222222222224E-4</v>
      </c>
      <c r="I5224" s="118">
        <v>1.3541666666666667E-3</v>
      </c>
      <c r="J5224" s="118">
        <v>7.0717592592592594E-3</v>
      </c>
      <c r="K5224" s="118">
        <v>7.0717592592592594E-3</v>
      </c>
    </row>
    <row r="5225" spans="1:11" x14ac:dyDescent="0.25">
      <c r="A5225">
        <v>2</v>
      </c>
      <c r="B5225">
        <v>19</v>
      </c>
      <c r="C5225"/>
      <c r="D5225" t="s">
        <v>31</v>
      </c>
      <c r="E5225" t="s">
        <v>32</v>
      </c>
      <c r="F5225" t="s">
        <v>92</v>
      </c>
      <c r="G5225" s="118">
        <v>0.86266203703703714</v>
      </c>
      <c r="H5225" s="118">
        <v>5.2083333333333333E-4</v>
      </c>
      <c r="I5225" s="118">
        <v>1.0069444444444444E-3</v>
      </c>
      <c r="J5225" s="118">
        <v>7.0717592592592594E-3</v>
      </c>
      <c r="K5225" s="118">
        <v>7.0717592592592594E-3</v>
      </c>
    </row>
    <row r="5226" spans="1:11" x14ac:dyDescent="0.25">
      <c r="A5226">
        <v>5</v>
      </c>
      <c r="B5226">
        <v>19</v>
      </c>
      <c r="C5226"/>
      <c r="D5226" t="s">
        <v>31</v>
      </c>
      <c r="E5226" t="s">
        <v>32</v>
      </c>
      <c r="F5226" t="s">
        <v>46</v>
      </c>
      <c r="G5226" s="118">
        <v>0.86291666666666667</v>
      </c>
      <c r="H5226" s="118">
        <v>3.4722222222222224E-4</v>
      </c>
      <c r="I5226" s="118">
        <v>9.1435185185185185E-4</v>
      </c>
      <c r="J5226" s="118">
        <v>7.0717592592592594E-3</v>
      </c>
      <c r="K5226" s="118">
        <v>7.0717592592592594E-3</v>
      </c>
    </row>
    <row r="5227" spans="1:11" x14ac:dyDescent="0.25">
      <c r="A5227">
        <v>9</v>
      </c>
      <c r="B5227">
        <v>5</v>
      </c>
      <c r="C5227"/>
      <c r="D5227" t="s">
        <v>31</v>
      </c>
      <c r="E5227" t="s">
        <v>35</v>
      </c>
      <c r="F5227" t="s">
        <v>56</v>
      </c>
      <c r="G5227" s="118">
        <v>0.86296296296296304</v>
      </c>
      <c r="H5227" s="118">
        <v>1.261574074074074E-3</v>
      </c>
      <c r="I5227" s="118">
        <v>3.4722222222222224E-4</v>
      </c>
      <c r="J5227"/>
      <c r="K5227"/>
    </row>
    <row r="5228" spans="1:11" x14ac:dyDescent="0.25">
      <c r="A5228">
        <v>1</v>
      </c>
      <c r="B5228">
        <v>18</v>
      </c>
      <c r="C5228"/>
      <c r="D5228" t="s">
        <v>31</v>
      </c>
      <c r="E5228" t="s">
        <v>35</v>
      </c>
      <c r="F5228" t="s">
        <v>45</v>
      </c>
      <c r="G5228" s="118">
        <v>0.86324074074074064</v>
      </c>
      <c r="H5228" s="118">
        <v>1.2384259259259258E-3</v>
      </c>
      <c r="I5228" s="118">
        <v>3.4722222222222224E-4</v>
      </c>
      <c r="J5228"/>
      <c r="K5228"/>
    </row>
    <row r="5229" spans="1:11" x14ac:dyDescent="0.25">
      <c r="A5229">
        <v>9</v>
      </c>
      <c r="B5229">
        <v>5</v>
      </c>
      <c r="C5229"/>
      <c r="D5229" t="s">
        <v>31</v>
      </c>
      <c r="E5229" t="s">
        <v>32</v>
      </c>
      <c r="F5229" t="s">
        <v>56</v>
      </c>
      <c r="G5229" s="118">
        <v>0.86331018518518521</v>
      </c>
      <c r="H5229" s="118">
        <v>3.4722222222222224E-4</v>
      </c>
      <c r="I5229" s="118">
        <v>9.6064814814814808E-4</v>
      </c>
      <c r="J5229" s="118">
        <v>7.0717592592592594E-3</v>
      </c>
      <c r="K5229" s="118">
        <v>7.0717592592592594E-3</v>
      </c>
    </row>
    <row r="5230" spans="1:11" x14ac:dyDescent="0.25">
      <c r="A5230">
        <v>1</v>
      </c>
      <c r="B5230">
        <v>18</v>
      </c>
      <c r="C5230"/>
      <c r="D5230" t="s">
        <v>31</v>
      </c>
      <c r="E5230" t="s">
        <v>32</v>
      </c>
      <c r="F5230" t="s">
        <v>45</v>
      </c>
      <c r="G5230" s="118">
        <v>0.86358796296296303</v>
      </c>
      <c r="H5230" s="118">
        <v>3.4722222222222224E-4</v>
      </c>
      <c r="I5230" s="118">
        <v>1.0416666666666667E-3</v>
      </c>
      <c r="J5230" s="118">
        <v>7.0717592592592594E-3</v>
      </c>
      <c r="K5230" s="118">
        <v>7.0717592592592594E-3</v>
      </c>
    </row>
    <row r="5231" spans="1:11" x14ac:dyDescent="0.25">
      <c r="A5231">
        <v>2</v>
      </c>
      <c r="B5231">
        <v>19</v>
      </c>
      <c r="C5231"/>
      <c r="D5231" t="s">
        <v>31</v>
      </c>
      <c r="E5231" t="s">
        <v>35</v>
      </c>
      <c r="F5231" t="s">
        <v>41</v>
      </c>
      <c r="G5231" s="118">
        <v>0.86366898148148152</v>
      </c>
      <c r="H5231" s="118">
        <v>1.0069444444444444E-3</v>
      </c>
      <c r="I5231" s="118">
        <v>3.4722222222222224E-4</v>
      </c>
      <c r="J5231"/>
      <c r="K5231"/>
    </row>
    <row r="5232" spans="1:11" x14ac:dyDescent="0.25">
      <c r="A5232">
        <v>5</v>
      </c>
      <c r="B5232">
        <v>19</v>
      </c>
      <c r="C5232"/>
      <c r="D5232" t="s">
        <v>31</v>
      </c>
      <c r="E5232" t="s">
        <v>35</v>
      </c>
      <c r="F5232" t="s">
        <v>51</v>
      </c>
      <c r="G5232" s="118">
        <v>0.86383101851851851</v>
      </c>
      <c r="H5232" s="118">
        <v>9.1435185185185185E-4</v>
      </c>
      <c r="I5232" s="118">
        <v>3.4722222222222224E-4</v>
      </c>
      <c r="J5232"/>
      <c r="K5232"/>
    </row>
    <row r="5233" spans="1:11" x14ac:dyDescent="0.25">
      <c r="A5233">
        <v>4</v>
      </c>
      <c r="B5233">
        <v>18</v>
      </c>
      <c r="C5233"/>
      <c r="D5233" t="s">
        <v>31</v>
      </c>
      <c r="E5233" t="s">
        <v>35</v>
      </c>
      <c r="F5233" t="s">
        <v>33</v>
      </c>
      <c r="G5233" s="118">
        <v>0.86400462962962965</v>
      </c>
      <c r="H5233" s="118">
        <v>1.3541666666666667E-3</v>
      </c>
      <c r="I5233" s="118">
        <v>5.2083333333333333E-4</v>
      </c>
      <c r="J5233"/>
      <c r="K5233"/>
    </row>
    <row r="5234" spans="1:11" x14ac:dyDescent="0.25">
      <c r="A5234">
        <v>2</v>
      </c>
      <c r="B5234">
        <v>19</v>
      </c>
      <c r="C5234"/>
      <c r="D5234" t="s">
        <v>31</v>
      </c>
      <c r="E5234" t="s">
        <v>32</v>
      </c>
      <c r="F5234" t="s">
        <v>41</v>
      </c>
      <c r="G5234" s="118">
        <v>0.86401620370370369</v>
      </c>
      <c r="H5234" s="118">
        <v>3.4722222222222224E-4</v>
      </c>
      <c r="I5234" s="118">
        <v>8.564814814814815E-4</v>
      </c>
      <c r="J5234" s="118">
        <v>7.0717592592592594E-3</v>
      </c>
      <c r="K5234" s="118">
        <v>7.0717592592592594E-3</v>
      </c>
    </row>
    <row r="5235" spans="1:11" x14ac:dyDescent="0.25">
      <c r="A5235">
        <v>5</v>
      </c>
      <c r="B5235">
        <v>19</v>
      </c>
      <c r="C5235"/>
      <c r="D5235" t="s">
        <v>31</v>
      </c>
      <c r="E5235" t="s">
        <v>32</v>
      </c>
      <c r="F5235" t="s">
        <v>51</v>
      </c>
      <c r="G5235" s="118">
        <v>0.86417824074074068</v>
      </c>
      <c r="H5235" s="118">
        <v>3.4722222222222224E-4</v>
      </c>
      <c r="I5235" s="118">
        <v>1.0069444444444444E-3</v>
      </c>
      <c r="J5235" s="118">
        <v>7.0717592592592594E-3</v>
      </c>
      <c r="K5235" s="118">
        <v>7.0717592592592594E-3</v>
      </c>
    </row>
    <row r="5236" spans="1:11" x14ac:dyDescent="0.25">
      <c r="A5236">
        <v>9</v>
      </c>
      <c r="B5236">
        <v>5</v>
      </c>
      <c r="C5236"/>
      <c r="D5236" t="s">
        <v>31</v>
      </c>
      <c r="E5236" t="s">
        <v>35</v>
      </c>
      <c r="F5236" t="s">
        <v>37</v>
      </c>
      <c r="G5236" s="118">
        <v>0.86427083333333332</v>
      </c>
      <c r="H5236" s="118">
        <v>9.6064814814814808E-4</v>
      </c>
      <c r="I5236" s="118">
        <v>3.4722222222222224E-4</v>
      </c>
      <c r="J5236"/>
      <c r="K5236"/>
    </row>
    <row r="5237" spans="1:11" x14ac:dyDescent="0.25">
      <c r="A5237">
        <v>4</v>
      </c>
      <c r="B5237">
        <v>18</v>
      </c>
      <c r="C5237"/>
      <c r="D5237" t="s">
        <v>31</v>
      </c>
      <c r="E5237" t="s">
        <v>32</v>
      </c>
      <c r="F5237" t="s">
        <v>33</v>
      </c>
      <c r="G5237" s="118">
        <v>0.86452546296296295</v>
      </c>
      <c r="H5237" s="118">
        <v>5.2083333333333333E-4</v>
      </c>
      <c r="I5237" s="118">
        <v>9.6064814814814808E-4</v>
      </c>
      <c r="J5237" s="118">
        <v>7.0717592592592594E-3</v>
      </c>
      <c r="K5237" s="118">
        <v>7.0717592592592594E-3</v>
      </c>
    </row>
    <row r="5238" spans="1:11" x14ac:dyDescent="0.25">
      <c r="A5238">
        <v>9</v>
      </c>
      <c r="B5238">
        <v>5</v>
      </c>
      <c r="C5238"/>
      <c r="D5238" t="s">
        <v>31</v>
      </c>
      <c r="E5238" t="s">
        <v>32</v>
      </c>
      <c r="F5238" t="s">
        <v>37</v>
      </c>
      <c r="G5238" s="118">
        <v>0.86461805555555549</v>
      </c>
      <c r="H5238" s="118">
        <v>3.4722222222222224E-4</v>
      </c>
      <c r="I5238" s="118">
        <v>9.0277777777777784E-4</v>
      </c>
      <c r="J5238" s="118">
        <v>7.0717592592592594E-3</v>
      </c>
      <c r="K5238" s="118">
        <v>7.0717592592592594E-3</v>
      </c>
    </row>
    <row r="5239" spans="1:11" x14ac:dyDescent="0.25">
      <c r="A5239">
        <v>1</v>
      </c>
      <c r="B5239">
        <v>18</v>
      </c>
      <c r="C5239"/>
      <c r="D5239" t="s">
        <v>31</v>
      </c>
      <c r="E5239" t="s">
        <v>35</v>
      </c>
      <c r="F5239" t="s">
        <v>52</v>
      </c>
      <c r="G5239" s="118">
        <v>0.86462962962962964</v>
      </c>
      <c r="H5239" s="118">
        <v>1.0416666666666667E-3</v>
      </c>
      <c r="I5239" s="118">
        <v>3.4722222222222224E-4</v>
      </c>
      <c r="J5239"/>
      <c r="K5239"/>
    </row>
    <row r="5240" spans="1:11" x14ac:dyDescent="0.25">
      <c r="A5240">
        <v>2</v>
      </c>
      <c r="B5240">
        <v>19</v>
      </c>
      <c r="C5240"/>
      <c r="D5240" t="s">
        <v>31</v>
      </c>
      <c r="E5240" t="s">
        <v>35</v>
      </c>
      <c r="F5240" t="s">
        <v>47</v>
      </c>
      <c r="G5240" s="118">
        <v>0.86487268518518512</v>
      </c>
      <c r="H5240" s="118">
        <v>8.564814814814815E-4</v>
      </c>
      <c r="I5240" s="118">
        <v>5.2083333333333333E-4</v>
      </c>
      <c r="J5240"/>
      <c r="K5240"/>
    </row>
    <row r="5241" spans="1:11" x14ac:dyDescent="0.25">
      <c r="A5241">
        <v>1</v>
      </c>
      <c r="B5241">
        <v>18</v>
      </c>
      <c r="C5241"/>
      <c r="D5241" t="s">
        <v>31</v>
      </c>
      <c r="E5241" t="s">
        <v>32</v>
      </c>
      <c r="F5241" t="s">
        <v>52</v>
      </c>
      <c r="G5241" s="118">
        <v>0.8649768518518518</v>
      </c>
      <c r="H5241" s="118">
        <v>3.4722222222222224E-4</v>
      </c>
      <c r="I5241" s="118">
        <v>1.0532407407407407E-3</v>
      </c>
      <c r="J5241" s="118">
        <v>7.0717592592592594E-3</v>
      </c>
      <c r="K5241" s="118">
        <v>7.0717592592592594E-3</v>
      </c>
    </row>
    <row r="5242" spans="1:11" x14ac:dyDescent="0.25">
      <c r="A5242">
        <v>5</v>
      </c>
      <c r="B5242">
        <v>19</v>
      </c>
      <c r="C5242"/>
      <c r="D5242" t="s">
        <v>31</v>
      </c>
      <c r="E5242" t="s">
        <v>35</v>
      </c>
      <c r="F5242" t="s">
        <v>55</v>
      </c>
      <c r="G5242" s="118">
        <v>0.86518518518518517</v>
      </c>
      <c r="H5242" s="118">
        <v>1.0069444444444444E-3</v>
      </c>
      <c r="I5242" s="118">
        <v>4.6296296296296293E-4</v>
      </c>
      <c r="J5242"/>
      <c r="K5242"/>
    </row>
    <row r="5243" spans="1:11" x14ac:dyDescent="0.25">
      <c r="A5243">
        <v>2</v>
      </c>
      <c r="B5243">
        <v>19</v>
      </c>
      <c r="C5243"/>
      <c r="D5243" t="s">
        <v>31</v>
      </c>
      <c r="E5243" t="s">
        <v>32</v>
      </c>
      <c r="F5243" t="s">
        <v>47</v>
      </c>
      <c r="G5243" s="118">
        <v>0.86539351851851853</v>
      </c>
      <c r="H5243" s="118">
        <v>5.2083333333333333E-4</v>
      </c>
      <c r="I5243" s="118">
        <v>8.7962962962962962E-4</v>
      </c>
      <c r="J5243" s="118">
        <v>7.0717592592592594E-3</v>
      </c>
      <c r="K5243" s="118">
        <v>7.0717592592592594E-3</v>
      </c>
    </row>
    <row r="5244" spans="1:11" x14ac:dyDescent="0.25">
      <c r="A5244">
        <v>4</v>
      </c>
      <c r="B5244">
        <v>18</v>
      </c>
      <c r="C5244"/>
      <c r="D5244" t="s">
        <v>31</v>
      </c>
      <c r="E5244" t="s">
        <v>35</v>
      </c>
      <c r="F5244" t="s">
        <v>36</v>
      </c>
      <c r="G5244" s="118">
        <v>0.86548611111111118</v>
      </c>
      <c r="H5244" s="118">
        <v>9.6064814814814808E-4</v>
      </c>
      <c r="I5244" s="118">
        <v>3.4722222222222224E-4</v>
      </c>
      <c r="J5244"/>
      <c r="K5244"/>
    </row>
    <row r="5245" spans="1:11" x14ac:dyDescent="0.25">
      <c r="A5245">
        <v>9</v>
      </c>
      <c r="B5245">
        <v>5</v>
      </c>
      <c r="C5245"/>
      <c r="D5245" t="s">
        <v>31</v>
      </c>
      <c r="E5245" t="s">
        <v>35</v>
      </c>
      <c r="F5245" t="s">
        <v>42</v>
      </c>
      <c r="G5245" s="118">
        <v>0.86552083333333341</v>
      </c>
      <c r="H5245" s="118">
        <v>9.0277777777777784E-4</v>
      </c>
      <c r="I5245" s="118">
        <v>3.4722222222222224E-4</v>
      </c>
      <c r="J5245"/>
      <c r="K5245"/>
    </row>
    <row r="5246" spans="1:11" x14ac:dyDescent="0.25">
      <c r="A5246">
        <v>5</v>
      </c>
      <c r="B5246">
        <v>19</v>
      </c>
      <c r="C5246"/>
      <c r="D5246" t="s">
        <v>31</v>
      </c>
      <c r="E5246" t="s">
        <v>32</v>
      </c>
      <c r="F5246" t="s">
        <v>55</v>
      </c>
      <c r="G5246" s="118">
        <v>0.86564814814814817</v>
      </c>
      <c r="H5246" s="118">
        <v>4.6296296296296293E-4</v>
      </c>
      <c r="I5246" s="118">
        <v>4.3981481481481481E-4</v>
      </c>
      <c r="J5246" s="118">
        <v>7.0717592592592594E-3</v>
      </c>
      <c r="K5246" s="118">
        <v>7.0717592592592594E-3</v>
      </c>
    </row>
    <row r="5247" spans="1:11" x14ac:dyDescent="0.25">
      <c r="A5247">
        <v>4</v>
      </c>
      <c r="B5247">
        <v>18</v>
      </c>
      <c r="C5247"/>
      <c r="D5247" t="s">
        <v>31</v>
      </c>
      <c r="E5247" t="s">
        <v>32</v>
      </c>
      <c r="F5247" t="s">
        <v>36</v>
      </c>
      <c r="G5247" s="118">
        <v>0.86583333333333334</v>
      </c>
      <c r="H5247" s="118">
        <v>3.4722222222222224E-4</v>
      </c>
      <c r="I5247" s="118">
        <v>1.0995370370370371E-3</v>
      </c>
      <c r="J5247" s="118">
        <v>7.0717592592592594E-3</v>
      </c>
      <c r="K5247" s="118">
        <v>7.0717592592592594E-3</v>
      </c>
    </row>
    <row r="5248" spans="1:11" x14ac:dyDescent="0.25">
      <c r="A5248">
        <v>9</v>
      </c>
      <c r="B5248">
        <v>5</v>
      </c>
      <c r="C5248"/>
      <c r="D5248" t="s">
        <v>31</v>
      </c>
      <c r="E5248" t="s">
        <v>32</v>
      </c>
      <c r="F5248" t="s">
        <v>42</v>
      </c>
      <c r="G5248" s="118">
        <v>0.86586805555555557</v>
      </c>
      <c r="H5248" s="118">
        <v>3.4722222222222224E-4</v>
      </c>
      <c r="I5248" s="118">
        <v>9.1435185185185185E-4</v>
      </c>
      <c r="J5248" s="118">
        <v>7.0717592592592594E-3</v>
      </c>
      <c r="K5248" s="118">
        <v>7.0717592592592594E-3</v>
      </c>
    </row>
    <row r="5249" spans="1:11" x14ac:dyDescent="0.25">
      <c r="A5249">
        <v>1</v>
      </c>
      <c r="B5249">
        <v>18</v>
      </c>
      <c r="C5249"/>
      <c r="D5249" t="s">
        <v>31</v>
      </c>
      <c r="E5249" t="s">
        <v>35</v>
      </c>
      <c r="F5249" t="s">
        <v>57</v>
      </c>
      <c r="G5249" s="118">
        <v>0.86603009259259256</v>
      </c>
      <c r="H5249" s="118">
        <v>1.0532407407407407E-3</v>
      </c>
      <c r="I5249" s="118">
        <v>3.4722222222222224E-4</v>
      </c>
      <c r="J5249"/>
      <c r="K5249"/>
    </row>
    <row r="5250" spans="1:11" x14ac:dyDescent="0.25">
      <c r="A5250">
        <v>5</v>
      </c>
      <c r="B5250">
        <v>19</v>
      </c>
      <c r="C5250"/>
      <c r="D5250" t="s">
        <v>31</v>
      </c>
      <c r="E5250" t="s">
        <v>35</v>
      </c>
      <c r="F5250" t="s">
        <v>58</v>
      </c>
      <c r="G5250" s="118">
        <v>0.86608796296296298</v>
      </c>
      <c r="H5250" s="118">
        <v>4.3981481481481481E-4</v>
      </c>
      <c r="I5250" s="118">
        <v>5.7870370370370366E-5</v>
      </c>
      <c r="J5250"/>
      <c r="K5250"/>
    </row>
    <row r="5251" spans="1:11" x14ac:dyDescent="0.25">
      <c r="A5251">
        <v>5</v>
      </c>
      <c r="B5251">
        <v>19</v>
      </c>
      <c r="C5251"/>
      <c r="D5251" t="s">
        <v>31</v>
      </c>
      <c r="E5251" t="s">
        <v>32</v>
      </c>
      <c r="F5251" t="s">
        <v>58</v>
      </c>
      <c r="G5251" s="118">
        <v>0.86614583333333339</v>
      </c>
      <c r="H5251" s="118">
        <v>5.7870370370370366E-5</v>
      </c>
      <c r="I5251" s="118">
        <v>4.8611111111111104E-4</v>
      </c>
      <c r="J5251" s="118">
        <v>7.0717592592592594E-3</v>
      </c>
      <c r="K5251" s="118">
        <v>7.0717592592592594E-3</v>
      </c>
    </row>
    <row r="5252" spans="1:11" x14ac:dyDescent="0.25">
      <c r="A5252">
        <v>2</v>
      </c>
      <c r="B5252">
        <v>19</v>
      </c>
      <c r="C5252"/>
      <c r="D5252" t="s">
        <v>31</v>
      </c>
      <c r="E5252" t="s">
        <v>35</v>
      </c>
      <c r="F5252" t="s">
        <v>53</v>
      </c>
      <c r="G5252" s="118">
        <v>0.86627314814814815</v>
      </c>
      <c r="H5252" s="118">
        <v>8.7962962962962962E-4</v>
      </c>
      <c r="I5252" s="118">
        <v>3.4722222222222224E-4</v>
      </c>
      <c r="J5252"/>
      <c r="K5252"/>
    </row>
    <row r="5253" spans="1:11" x14ac:dyDescent="0.25">
      <c r="A5253">
        <v>1</v>
      </c>
      <c r="B5253">
        <v>18</v>
      </c>
      <c r="C5253"/>
      <c r="D5253" t="s">
        <v>31</v>
      </c>
      <c r="E5253" t="s">
        <v>32</v>
      </c>
      <c r="F5253" t="s">
        <v>57</v>
      </c>
      <c r="G5253" s="118">
        <v>0.86637731481481473</v>
      </c>
      <c r="H5253" s="118">
        <v>3.4722222222222224E-4</v>
      </c>
      <c r="I5253" s="118">
        <v>9.3750000000000007E-4</v>
      </c>
      <c r="J5253" s="118">
        <v>7.0717592592592594E-3</v>
      </c>
      <c r="K5253" s="118">
        <v>7.0717592592592594E-3</v>
      </c>
    </row>
    <row r="5254" spans="1:11" x14ac:dyDescent="0.25">
      <c r="A5254">
        <v>2</v>
      </c>
      <c r="B5254">
        <v>19</v>
      </c>
      <c r="C5254"/>
      <c r="D5254" t="s">
        <v>31</v>
      </c>
      <c r="E5254" t="s">
        <v>32</v>
      </c>
      <c r="F5254" t="s">
        <v>53</v>
      </c>
      <c r="G5254" s="118">
        <v>0.86662037037037043</v>
      </c>
      <c r="H5254" s="118">
        <v>3.4722222222222224E-4</v>
      </c>
      <c r="I5254" s="118">
        <v>8.449074074074075E-4</v>
      </c>
      <c r="J5254" s="118">
        <v>7.0717592592592594E-3</v>
      </c>
      <c r="K5254" s="118">
        <v>7.0717592592592594E-3</v>
      </c>
    </row>
    <row r="5255" spans="1:11" x14ac:dyDescent="0.25">
      <c r="A5255">
        <v>5</v>
      </c>
      <c r="B5255">
        <v>19</v>
      </c>
      <c r="C5255"/>
      <c r="D5255" t="s">
        <v>31</v>
      </c>
      <c r="E5255" t="s">
        <v>35</v>
      </c>
      <c r="F5255" t="s">
        <v>40</v>
      </c>
      <c r="G5255" s="118">
        <v>0.86663194444444447</v>
      </c>
      <c r="H5255" s="118">
        <v>4.8611111111111104E-4</v>
      </c>
      <c r="I5255" s="118">
        <v>4.6296296296296293E-4</v>
      </c>
      <c r="J5255"/>
      <c r="K5255"/>
    </row>
    <row r="5256" spans="1:11" x14ac:dyDescent="0.25">
      <c r="A5256">
        <v>9</v>
      </c>
      <c r="B5256">
        <v>5</v>
      </c>
      <c r="C5256"/>
      <c r="D5256" t="s">
        <v>31</v>
      </c>
      <c r="E5256" t="s">
        <v>35</v>
      </c>
      <c r="F5256" t="s">
        <v>48</v>
      </c>
      <c r="G5256" s="118">
        <v>0.86678240740740742</v>
      </c>
      <c r="H5256" s="118">
        <v>9.1435185185185185E-4</v>
      </c>
      <c r="I5256" s="118">
        <v>5.2083333333333333E-4</v>
      </c>
      <c r="J5256"/>
      <c r="K5256"/>
    </row>
    <row r="5257" spans="1:11" x14ac:dyDescent="0.25">
      <c r="A5257">
        <v>4</v>
      </c>
      <c r="B5257">
        <v>18</v>
      </c>
      <c r="C5257"/>
      <c r="D5257" t="s">
        <v>31</v>
      </c>
      <c r="E5257" t="s">
        <v>35</v>
      </c>
      <c r="F5257" t="s">
        <v>43</v>
      </c>
      <c r="G5257" s="118">
        <v>0.86693287037037037</v>
      </c>
      <c r="H5257" s="118">
        <v>1.0995370370370371E-3</v>
      </c>
      <c r="I5257" s="118">
        <v>3.4722222222222224E-4</v>
      </c>
      <c r="J5257"/>
      <c r="K5257"/>
    </row>
    <row r="5258" spans="1:11" x14ac:dyDescent="0.25">
      <c r="A5258">
        <v>5</v>
      </c>
      <c r="B5258">
        <v>19</v>
      </c>
      <c r="C5258"/>
      <c r="D5258" t="s">
        <v>31</v>
      </c>
      <c r="E5258" t="s">
        <v>32</v>
      </c>
      <c r="F5258" t="s">
        <v>40</v>
      </c>
      <c r="G5258" s="118">
        <v>0.86709490740740736</v>
      </c>
      <c r="H5258" s="118">
        <v>4.6296296296296293E-4</v>
      </c>
      <c r="I5258" s="118">
        <v>1.0069444444444444E-3</v>
      </c>
      <c r="J5258" s="118">
        <v>7.0717592592592594E-3</v>
      </c>
      <c r="K5258" s="118">
        <v>7.0717592592592594E-3</v>
      </c>
    </row>
    <row r="5259" spans="1:11" x14ac:dyDescent="0.25">
      <c r="A5259">
        <v>4</v>
      </c>
      <c r="B5259">
        <v>18</v>
      </c>
      <c r="C5259"/>
      <c r="D5259" t="s">
        <v>31</v>
      </c>
      <c r="E5259" t="s">
        <v>32</v>
      </c>
      <c r="F5259" t="s">
        <v>43</v>
      </c>
      <c r="G5259" s="118">
        <v>0.86728009259259264</v>
      </c>
      <c r="H5259" s="118">
        <v>3.4722222222222224E-4</v>
      </c>
      <c r="I5259" s="118">
        <v>1.1458333333333333E-3</v>
      </c>
      <c r="J5259" s="118">
        <v>7.0717592592592594E-3</v>
      </c>
      <c r="K5259" s="118">
        <v>7.0717592592592594E-3</v>
      </c>
    </row>
    <row r="5260" spans="1:11" x14ac:dyDescent="0.25">
      <c r="A5260">
        <v>9</v>
      </c>
      <c r="B5260">
        <v>5</v>
      </c>
      <c r="C5260"/>
      <c r="D5260" t="s">
        <v>31</v>
      </c>
      <c r="E5260" t="s">
        <v>32</v>
      </c>
      <c r="F5260" t="s">
        <v>48</v>
      </c>
      <c r="G5260" s="118">
        <v>0.86730324074074072</v>
      </c>
      <c r="H5260" s="118">
        <v>5.2083333333333333E-4</v>
      </c>
      <c r="I5260" s="118">
        <v>8.6805555555555551E-4</v>
      </c>
      <c r="J5260" s="118">
        <v>7.0717592592592594E-3</v>
      </c>
      <c r="K5260" s="118">
        <v>7.0717592592592594E-3</v>
      </c>
    </row>
    <row r="5261" spans="1:11" x14ac:dyDescent="0.25">
      <c r="A5261">
        <v>1</v>
      </c>
      <c r="B5261">
        <v>18</v>
      </c>
      <c r="C5261"/>
      <c r="D5261" t="s">
        <v>31</v>
      </c>
      <c r="E5261" t="s">
        <v>35</v>
      </c>
      <c r="F5261" t="s">
        <v>39</v>
      </c>
      <c r="G5261" s="118">
        <v>0.86731481481481476</v>
      </c>
      <c r="H5261" s="118">
        <v>9.3750000000000007E-4</v>
      </c>
      <c r="I5261" s="118">
        <v>5.2083333333333333E-4</v>
      </c>
      <c r="J5261"/>
      <c r="K5261"/>
    </row>
    <row r="5262" spans="1:11" x14ac:dyDescent="0.25">
      <c r="A5262">
        <v>2</v>
      </c>
      <c r="B5262">
        <v>19</v>
      </c>
      <c r="C5262"/>
      <c r="D5262" t="s">
        <v>31</v>
      </c>
      <c r="E5262" t="s">
        <v>35</v>
      </c>
      <c r="F5262" t="s">
        <v>34</v>
      </c>
      <c r="G5262" s="118">
        <v>0.86746527777777782</v>
      </c>
      <c r="H5262" s="118">
        <v>8.449074074074075E-4</v>
      </c>
      <c r="I5262" s="118">
        <v>3.4722222222222224E-4</v>
      </c>
      <c r="J5262"/>
      <c r="K5262"/>
    </row>
    <row r="5263" spans="1:11" x14ac:dyDescent="0.25">
      <c r="A5263">
        <v>2</v>
      </c>
      <c r="B5263">
        <v>19</v>
      </c>
      <c r="C5263"/>
      <c r="D5263" t="s">
        <v>31</v>
      </c>
      <c r="E5263" t="s">
        <v>32</v>
      </c>
      <c r="F5263" t="s">
        <v>34</v>
      </c>
      <c r="G5263" s="118">
        <v>0.86781249999999999</v>
      </c>
      <c r="H5263" s="118">
        <v>3.4722222222222224E-4</v>
      </c>
      <c r="I5263" s="118">
        <v>9.1435185185185185E-4</v>
      </c>
      <c r="J5263" s="118">
        <v>7.0717592592592594E-3</v>
      </c>
      <c r="K5263" s="118">
        <v>7.0717592592592594E-3</v>
      </c>
    </row>
    <row r="5264" spans="1:11" x14ac:dyDescent="0.25">
      <c r="A5264">
        <v>1</v>
      </c>
      <c r="B5264">
        <v>18</v>
      </c>
      <c r="C5264"/>
      <c r="D5264" t="s">
        <v>31</v>
      </c>
      <c r="E5264" t="s">
        <v>32</v>
      </c>
      <c r="F5264" t="s">
        <v>39</v>
      </c>
      <c r="G5264" s="118">
        <v>0.86783564814814806</v>
      </c>
      <c r="H5264" s="118">
        <v>5.2083333333333333E-4</v>
      </c>
      <c r="I5264" s="118">
        <v>1.8055555555555557E-3</v>
      </c>
      <c r="J5264" s="118">
        <v>7.0717592592592594E-3</v>
      </c>
      <c r="K5264" s="118">
        <v>7.0717592592592594E-3</v>
      </c>
    </row>
    <row r="5265" spans="1:11" x14ac:dyDescent="0.25">
      <c r="A5265">
        <v>5</v>
      </c>
      <c r="B5265">
        <v>19</v>
      </c>
      <c r="C5265"/>
      <c r="D5265" t="s">
        <v>31</v>
      </c>
      <c r="E5265" t="s">
        <v>35</v>
      </c>
      <c r="F5265" t="s">
        <v>44</v>
      </c>
      <c r="G5265" s="118">
        <v>0.86810185185185185</v>
      </c>
      <c r="H5265" s="118">
        <v>1.0069444444444444E-3</v>
      </c>
      <c r="I5265" s="118">
        <v>3.4722222222222224E-4</v>
      </c>
      <c r="J5265"/>
      <c r="K5265"/>
    </row>
    <row r="5266" spans="1:11" x14ac:dyDescent="0.25">
      <c r="A5266">
        <v>9</v>
      </c>
      <c r="B5266">
        <v>5</v>
      </c>
      <c r="C5266"/>
      <c r="D5266" t="s">
        <v>31</v>
      </c>
      <c r="E5266" t="s">
        <v>35</v>
      </c>
      <c r="F5266" t="s">
        <v>54</v>
      </c>
      <c r="G5266" s="118">
        <v>0.8681712962962963</v>
      </c>
      <c r="H5266" s="118">
        <v>8.6805555555555551E-4</v>
      </c>
      <c r="I5266" s="118">
        <v>3.4722222222222224E-4</v>
      </c>
      <c r="J5266"/>
      <c r="K5266"/>
    </row>
    <row r="5267" spans="1:11" x14ac:dyDescent="0.25">
      <c r="A5267">
        <v>4</v>
      </c>
      <c r="B5267">
        <v>18</v>
      </c>
      <c r="C5267"/>
      <c r="D5267" t="s">
        <v>31</v>
      </c>
      <c r="E5267" t="s">
        <v>35</v>
      </c>
      <c r="F5267" t="s">
        <v>50</v>
      </c>
      <c r="G5267" s="118">
        <v>0.86842592592592593</v>
      </c>
      <c r="H5267" s="118">
        <v>1.1458333333333333E-3</v>
      </c>
      <c r="I5267" s="118">
        <v>3.4722222222222224E-4</v>
      </c>
      <c r="J5267"/>
      <c r="K5267"/>
    </row>
    <row r="5268" spans="1:11" x14ac:dyDescent="0.25">
      <c r="A5268">
        <v>5</v>
      </c>
      <c r="B5268">
        <v>19</v>
      </c>
      <c r="C5268"/>
      <c r="D5268" t="s">
        <v>31</v>
      </c>
      <c r="E5268" t="s">
        <v>32</v>
      </c>
      <c r="F5268" t="s">
        <v>44</v>
      </c>
      <c r="G5268" s="118">
        <v>0.86844907407407401</v>
      </c>
      <c r="H5268" s="118">
        <v>3.4722222222222224E-4</v>
      </c>
      <c r="I5268" s="118">
        <v>9.2592592592592585E-4</v>
      </c>
      <c r="J5268" s="118">
        <v>7.0717592592592594E-3</v>
      </c>
      <c r="K5268" s="118">
        <v>7.0717592592592594E-3</v>
      </c>
    </row>
    <row r="5269" spans="1:11" x14ac:dyDescent="0.25">
      <c r="A5269">
        <v>9</v>
      </c>
      <c r="B5269">
        <v>5</v>
      </c>
      <c r="C5269"/>
      <c r="D5269" t="s">
        <v>31</v>
      </c>
      <c r="E5269" t="s">
        <v>32</v>
      </c>
      <c r="F5269" t="s">
        <v>54</v>
      </c>
      <c r="G5269" s="118">
        <v>0.86851851851851858</v>
      </c>
      <c r="H5269" s="118">
        <v>3.4722222222222224E-4</v>
      </c>
      <c r="I5269" s="118">
        <v>6.9444444444444447E-4</v>
      </c>
      <c r="J5269" s="118">
        <v>7.0717592592592594E-3</v>
      </c>
      <c r="K5269" s="118">
        <v>7.0717592592592594E-3</v>
      </c>
    </row>
    <row r="5270" spans="1:11" x14ac:dyDescent="0.25">
      <c r="A5270">
        <v>2</v>
      </c>
      <c r="B5270">
        <v>19</v>
      </c>
      <c r="C5270"/>
      <c r="D5270" t="s">
        <v>31</v>
      </c>
      <c r="E5270" t="s">
        <v>35</v>
      </c>
      <c r="F5270" t="s">
        <v>38</v>
      </c>
      <c r="G5270" s="118">
        <v>0.86872685185185183</v>
      </c>
      <c r="H5270" s="118">
        <v>9.1435185185185185E-4</v>
      </c>
      <c r="I5270" s="118">
        <v>3.4722222222222224E-4</v>
      </c>
      <c r="J5270"/>
      <c r="K5270"/>
    </row>
    <row r="5271" spans="1:11" x14ac:dyDescent="0.25">
      <c r="A5271">
        <v>4</v>
      </c>
      <c r="B5271">
        <v>18</v>
      </c>
      <c r="C5271"/>
      <c r="D5271" t="s">
        <v>31</v>
      </c>
      <c r="E5271" t="s">
        <v>32</v>
      </c>
      <c r="F5271" t="s">
        <v>50</v>
      </c>
      <c r="G5271" s="118">
        <v>0.8687731481481481</v>
      </c>
      <c r="H5271" s="118">
        <v>3.4722222222222224E-4</v>
      </c>
      <c r="I5271" s="118">
        <v>1.261574074074074E-3</v>
      </c>
      <c r="J5271" s="118">
        <v>7.0717592592592594E-3</v>
      </c>
      <c r="K5271" s="118">
        <v>7.0717592592592594E-3</v>
      </c>
    </row>
    <row r="5272" spans="1:11" x14ac:dyDescent="0.25">
      <c r="A5272">
        <v>2</v>
      </c>
      <c r="B5272">
        <v>19</v>
      </c>
      <c r="C5272"/>
      <c r="D5272" t="s">
        <v>31</v>
      </c>
      <c r="E5272" t="s">
        <v>32</v>
      </c>
      <c r="F5272" t="s">
        <v>38</v>
      </c>
      <c r="G5272" s="118">
        <v>0.869074074074074</v>
      </c>
      <c r="H5272" s="118">
        <v>3.4722222222222224E-4</v>
      </c>
      <c r="I5272" s="118">
        <v>1.2384259259259258E-3</v>
      </c>
      <c r="J5272" s="118">
        <v>7.0717592592592594E-3</v>
      </c>
      <c r="K5272" s="118">
        <v>7.0717592592592594E-3</v>
      </c>
    </row>
    <row r="5273" spans="1:11" x14ac:dyDescent="0.25">
      <c r="A5273">
        <v>9</v>
      </c>
      <c r="B5273">
        <v>5</v>
      </c>
      <c r="C5273"/>
      <c r="D5273" t="s">
        <v>31</v>
      </c>
      <c r="E5273" t="s">
        <v>35</v>
      </c>
      <c r="F5273" t="s">
        <v>92</v>
      </c>
      <c r="G5273" s="118">
        <v>0.86921296296296291</v>
      </c>
      <c r="H5273" s="118">
        <v>6.9444444444444447E-4</v>
      </c>
      <c r="I5273" s="118">
        <v>5.2083333333333333E-4</v>
      </c>
      <c r="J5273"/>
      <c r="K5273"/>
    </row>
    <row r="5274" spans="1:11" x14ac:dyDescent="0.25">
      <c r="A5274">
        <v>5</v>
      </c>
      <c r="B5274">
        <v>19</v>
      </c>
      <c r="C5274"/>
      <c r="D5274" t="s">
        <v>31</v>
      </c>
      <c r="E5274" t="s">
        <v>35</v>
      </c>
      <c r="F5274" t="s">
        <v>49</v>
      </c>
      <c r="G5274" s="118">
        <v>0.8693749999999999</v>
      </c>
      <c r="H5274" s="118">
        <v>9.2592592592592585E-4</v>
      </c>
      <c r="I5274" s="118">
        <v>3.4722222222222224E-4</v>
      </c>
      <c r="J5274"/>
      <c r="K5274"/>
    </row>
    <row r="5275" spans="1:11" x14ac:dyDescent="0.25">
      <c r="A5275">
        <v>1</v>
      </c>
      <c r="B5275">
        <v>18</v>
      </c>
      <c r="C5275"/>
      <c r="D5275" t="s">
        <v>31</v>
      </c>
      <c r="E5275" t="s">
        <v>35</v>
      </c>
      <c r="F5275" t="s">
        <v>46</v>
      </c>
      <c r="G5275" s="118">
        <v>0.86964120370370368</v>
      </c>
      <c r="H5275" s="118">
        <v>1.8055555555555557E-3</v>
      </c>
      <c r="I5275" s="118">
        <v>3.4722222222222224E-4</v>
      </c>
      <c r="J5275"/>
      <c r="K5275"/>
    </row>
    <row r="5276" spans="1:11" x14ac:dyDescent="0.25">
      <c r="A5276">
        <v>5</v>
      </c>
      <c r="B5276">
        <v>19</v>
      </c>
      <c r="C5276"/>
      <c r="D5276" t="s">
        <v>31</v>
      </c>
      <c r="E5276" t="s">
        <v>32</v>
      </c>
      <c r="F5276" t="s">
        <v>49</v>
      </c>
      <c r="G5276" s="118">
        <v>0.86972222222222229</v>
      </c>
      <c r="H5276" s="118">
        <v>3.4722222222222224E-4</v>
      </c>
      <c r="I5276" s="118">
        <v>1.3541666666666667E-3</v>
      </c>
      <c r="J5276" s="118">
        <v>7.0717592592592594E-3</v>
      </c>
      <c r="K5276" s="118">
        <v>7.0717592592592594E-3</v>
      </c>
    </row>
    <row r="5277" spans="1:11" x14ac:dyDescent="0.25">
      <c r="A5277">
        <v>9</v>
      </c>
      <c r="B5277">
        <v>6</v>
      </c>
      <c r="C5277"/>
      <c r="D5277" t="s">
        <v>31</v>
      </c>
      <c r="E5277" t="s">
        <v>32</v>
      </c>
      <c r="F5277" t="s">
        <v>92</v>
      </c>
      <c r="G5277" s="118">
        <v>0.86973379629629621</v>
      </c>
      <c r="H5277" s="118">
        <v>5.2083333333333333E-4</v>
      </c>
      <c r="I5277" s="118">
        <v>1.0069444444444444E-3</v>
      </c>
      <c r="J5277" s="118">
        <v>7.0717592592592594E-3</v>
      </c>
      <c r="K5277" s="118">
        <v>7.0717592592592594E-3</v>
      </c>
    </row>
    <row r="5278" spans="1:11" x14ac:dyDescent="0.25">
      <c r="A5278">
        <v>1</v>
      </c>
      <c r="B5278">
        <v>18</v>
      </c>
      <c r="C5278"/>
      <c r="D5278" t="s">
        <v>31</v>
      </c>
      <c r="E5278" t="s">
        <v>32</v>
      </c>
      <c r="F5278" t="s">
        <v>46</v>
      </c>
      <c r="G5278" s="118">
        <v>0.86998842592592596</v>
      </c>
      <c r="H5278" s="118">
        <v>3.4722222222222224E-4</v>
      </c>
      <c r="I5278" s="118">
        <v>9.1435185185185185E-4</v>
      </c>
      <c r="J5278" s="118">
        <v>7.0717592592592594E-3</v>
      </c>
      <c r="K5278" s="118">
        <v>7.0717592592592594E-3</v>
      </c>
    </row>
    <row r="5279" spans="1:11" x14ac:dyDescent="0.25">
      <c r="A5279">
        <v>4</v>
      </c>
      <c r="B5279">
        <v>18</v>
      </c>
      <c r="C5279"/>
      <c r="D5279" t="s">
        <v>31</v>
      </c>
      <c r="E5279" t="s">
        <v>35</v>
      </c>
      <c r="F5279" t="s">
        <v>56</v>
      </c>
      <c r="G5279" s="118">
        <v>0.87003472222222233</v>
      </c>
      <c r="H5279" s="118">
        <v>1.261574074074074E-3</v>
      </c>
      <c r="I5279" s="118">
        <v>3.4722222222222224E-4</v>
      </c>
      <c r="J5279"/>
      <c r="K5279"/>
    </row>
    <row r="5280" spans="1:11" x14ac:dyDescent="0.25">
      <c r="A5280">
        <v>2</v>
      </c>
      <c r="B5280">
        <v>19</v>
      </c>
      <c r="C5280"/>
      <c r="D5280" t="s">
        <v>31</v>
      </c>
      <c r="E5280" t="s">
        <v>35</v>
      </c>
      <c r="F5280" t="s">
        <v>45</v>
      </c>
      <c r="G5280" s="118">
        <v>0.87031249999999993</v>
      </c>
      <c r="H5280" s="118">
        <v>1.2384259259259258E-3</v>
      </c>
      <c r="I5280" s="118">
        <v>3.4722222222222224E-4</v>
      </c>
      <c r="J5280"/>
      <c r="K5280"/>
    </row>
    <row r="5281" spans="1:11" x14ac:dyDescent="0.25">
      <c r="A5281">
        <v>4</v>
      </c>
      <c r="B5281">
        <v>18</v>
      </c>
      <c r="C5281"/>
      <c r="D5281" t="s">
        <v>31</v>
      </c>
      <c r="E5281" t="s">
        <v>32</v>
      </c>
      <c r="F5281" t="s">
        <v>56</v>
      </c>
      <c r="G5281" s="118">
        <v>0.8703819444444445</v>
      </c>
      <c r="H5281" s="118">
        <v>3.4722222222222224E-4</v>
      </c>
      <c r="I5281" s="118">
        <v>9.6064814814814808E-4</v>
      </c>
      <c r="J5281" s="118">
        <v>7.0717592592592594E-3</v>
      </c>
      <c r="K5281" s="118">
        <v>7.0717592592592594E-3</v>
      </c>
    </row>
    <row r="5282" spans="1:11" x14ac:dyDescent="0.25">
      <c r="A5282">
        <v>2</v>
      </c>
      <c r="B5282">
        <v>19</v>
      </c>
      <c r="C5282"/>
      <c r="D5282" t="s">
        <v>31</v>
      </c>
      <c r="E5282" t="s">
        <v>32</v>
      </c>
      <c r="F5282" t="s">
        <v>45</v>
      </c>
      <c r="G5282" s="118">
        <v>0.87065972222222221</v>
      </c>
      <c r="H5282" s="118">
        <v>3.4722222222222224E-4</v>
      </c>
      <c r="I5282" s="118">
        <v>1.0416666666666667E-3</v>
      </c>
      <c r="J5282" s="118">
        <v>7.0717592592592594E-3</v>
      </c>
      <c r="K5282" s="118">
        <v>7.0717592592592594E-3</v>
      </c>
    </row>
    <row r="5283" spans="1:11" x14ac:dyDescent="0.25">
      <c r="A5283">
        <v>9</v>
      </c>
      <c r="B5283">
        <v>6</v>
      </c>
      <c r="C5283"/>
      <c r="D5283" t="s">
        <v>31</v>
      </c>
      <c r="E5283" t="s">
        <v>35</v>
      </c>
      <c r="F5283" t="s">
        <v>41</v>
      </c>
      <c r="G5283" s="118">
        <v>0.8707407407407407</v>
      </c>
      <c r="H5283" s="118">
        <v>1.0069444444444444E-3</v>
      </c>
      <c r="I5283" s="118">
        <v>3.4722222222222224E-4</v>
      </c>
      <c r="J5283"/>
      <c r="K5283"/>
    </row>
    <row r="5284" spans="1:11" x14ac:dyDescent="0.25">
      <c r="A5284">
        <v>1</v>
      </c>
      <c r="B5284">
        <v>18</v>
      </c>
      <c r="C5284"/>
      <c r="D5284" t="s">
        <v>31</v>
      </c>
      <c r="E5284" t="s">
        <v>35</v>
      </c>
      <c r="F5284" t="s">
        <v>51</v>
      </c>
      <c r="G5284" s="118">
        <v>0.8709027777777778</v>
      </c>
      <c r="H5284" s="118">
        <v>9.1435185185185185E-4</v>
      </c>
      <c r="I5284" s="118">
        <v>3.4722222222222224E-4</v>
      </c>
      <c r="J5284"/>
      <c r="K5284"/>
    </row>
    <row r="5285" spans="1:11" x14ac:dyDescent="0.25">
      <c r="A5285">
        <v>5</v>
      </c>
      <c r="B5285">
        <v>19</v>
      </c>
      <c r="C5285"/>
      <c r="D5285" t="s">
        <v>31</v>
      </c>
      <c r="E5285" t="s">
        <v>35</v>
      </c>
      <c r="F5285" t="s">
        <v>33</v>
      </c>
      <c r="G5285" s="118">
        <v>0.87107638888888894</v>
      </c>
      <c r="H5285" s="118">
        <v>1.3541666666666667E-3</v>
      </c>
      <c r="I5285" s="118">
        <v>5.2083333333333333E-4</v>
      </c>
      <c r="J5285"/>
      <c r="K5285"/>
    </row>
    <row r="5286" spans="1:11" x14ac:dyDescent="0.25">
      <c r="A5286">
        <v>9</v>
      </c>
      <c r="B5286">
        <v>6</v>
      </c>
      <c r="C5286"/>
      <c r="D5286" t="s">
        <v>31</v>
      </c>
      <c r="E5286" t="s">
        <v>32</v>
      </c>
      <c r="F5286" t="s">
        <v>41</v>
      </c>
      <c r="G5286" s="118">
        <v>0.87108796296296298</v>
      </c>
      <c r="H5286" s="118">
        <v>3.4722222222222224E-4</v>
      </c>
      <c r="I5286" s="118">
        <v>8.564814814814815E-4</v>
      </c>
      <c r="J5286" s="118">
        <v>7.0717592592592594E-3</v>
      </c>
      <c r="K5286" s="118">
        <v>7.0717592592592594E-3</v>
      </c>
    </row>
    <row r="5287" spans="1:11" x14ac:dyDescent="0.25">
      <c r="A5287">
        <v>1</v>
      </c>
      <c r="B5287">
        <v>18</v>
      </c>
      <c r="C5287"/>
      <c r="D5287" t="s">
        <v>31</v>
      </c>
      <c r="E5287" t="s">
        <v>32</v>
      </c>
      <c r="F5287" t="s">
        <v>51</v>
      </c>
      <c r="G5287" s="118">
        <v>0.87124999999999997</v>
      </c>
      <c r="H5287" s="118">
        <v>3.4722222222222224E-4</v>
      </c>
      <c r="I5287" s="118">
        <v>1.0069444444444444E-3</v>
      </c>
      <c r="J5287" s="118">
        <v>7.0717592592592594E-3</v>
      </c>
      <c r="K5287" s="118">
        <v>7.0717592592592594E-3</v>
      </c>
    </row>
    <row r="5288" spans="1:11" x14ac:dyDescent="0.25">
      <c r="A5288">
        <v>4</v>
      </c>
      <c r="B5288">
        <v>18</v>
      </c>
      <c r="C5288"/>
      <c r="D5288" t="s">
        <v>31</v>
      </c>
      <c r="E5288" t="s">
        <v>35</v>
      </c>
      <c r="F5288" t="s">
        <v>37</v>
      </c>
      <c r="G5288" s="118">
        <v>0.87134259259259261</v>
      </c>
      <c r="H5288" s="118">
        <v>9.6064814814814808E-4</v>
      </c>
      <c r="I5288" s="118">
        <v>3.4722222222222224E-4</v>
      </c>
      <c r="J5288"/>
      <c r="K5288"/>
    </row>
    <row r="5289" spans="1:11" x14ac:dyDescent="0.25">
      <c r="A5289">
        <v>5</v>
      </c>
      <c r="B5289">
        <v>19</v>
      </c>
      <c r="C5289"/>
      <c r="D5289" t="s">
        <v>31</v>
      </c>
      <c r="E5289" t="s">
        <v>32</v>
      </c>
      <c r="F5289" t="s">
        <v>33</v>
      </c>
      <c r="G5289" s="118">
        <v>0.87159722222222225</v>
      </c>
      <c r="H5289" s="118">
        <v>5.2083333333333333E-4</v>
      </c>
      <c r="I5289" s="118">
        <v>9.6064814814814808E-4</v>
      </c>
      <c r="J5289" s="118">
        <v>7.0717592592592594E-3</v>
      </c>
      <c r="K5289" s="118">
        <v>7.0717592592592594E-3</v>
      </c>
    </row>
    <row r="5290" spans="1:11" x14ac:dyDescent="0.25">
      <c r="A5290">
        <v>4</v>
      </c>
      <c r="B5290">
        <v>18</v>
      </c>
      <c r="C5290"/>
      <c r="D5290" t="s">
        <v>31</v>
      </c>
      <c r="E5290" t="s">
        <v>32</v>
      </c>
      <c r="F5290" t="s">
        <v>37</v>
      </c>
      <c r="G5290" s="118">
        <v>0.87168981481481478</v>
      </c>
      <c r="H5290" s="118">
        <v>3.4722222222222224E-4</v>
      </c>
      <c r="I5290" s="118">
        <v>9.0277777777777784E-4</v>
      </c>
      <c r="J5290" s="118">
        <v>7.0717592592592594E-3</v>
      </c>
      <c r="K5290" s="118">
        <v>7.0717592592592594E-3</v>
      </c>
    </row>
    <row r="5291" spans="1:11" x14ac:dyDescent="0.25">
      <c r="A5291">
        <v>2</v>
      </c>
      <c r="B5291">
        <v>19</v>
      </c>
      <c r="C5291"/>
      <c r="D5291" t="s">
        <v>31</v>
      </c>
      <c r="E5291" t="s">
        <v>35</v>
      </c>
      <c r="F5291" t="s">
        <v>52</v>
      </c>
      <c r="G5291" s="118">
        <v>0.87170138888888893</v>
      </c>
      <c r="H5291" s="118">
        <v>1.0416666666666667E-3</v>
      </c>
      <c r="I5291" s="118">
        <v>3.4722222222222224E-4</v>
      </c>
      <c r="J5291"/>
      <c r="K5291"/>
    </row>
    <row r="5292" spans="1:11" x14ac:dyDescent="0.25">
      <c r="A5292">
        <v>9</v>
      </c>
      <c r="B5292">
        <v>6</v>
      </c>
      <c r="C5292"/>
      <c r="D5292" t="s">
        <v>31</v>
      </c>
      <c r="E5292" t="s">
        <v>35</v>
      </c>
      <c r="F5292" t="s">
        <v>47</v>
      </c>
      <c r="G5292" s="118">
        <v>0.87194444444444441</v>
      </c>
      <c r="H5292" s="118">
        <v>8.564814814814815E-4</v>
      </c>
      <c r="I5292" s="118">
        <v>5.2083333333333333E-4</v>
      </c>
      <c r="J5292"/>
      <c r="K5292"/>
    </row>
    <row r="5293" spans="1:11" x14ac:dyDescent="0.25">
      <c r="A5293">
        <v>2</v>
      </c>
      <c r="B5293">
        <v>19</v>
      </c>
      <c r="C5293"/>
      <c r="D5293" t="s">
        <v>31</v>
      </c>
      <c r="E5293" t="s">
        <v>32</v>
      </c>
      <c r="F5293" t="s">
        <v>52</v>
      </c>
      <c r="G5293" s="118">
        <v>0.87204861111111109</v>
      </c>
      <c r="H5293" s="118">
        <v>3.4722222222222224E-4</v>
      </c>
      <c r="I5293" s="118">
        <v>1.0532407407407407E-3</v>
      </c>
      <c r="J5293" s="118">
        <v>7.0717592592592594E-3</v>
      </c>
      <c r="K5293" s="118">
        <v>7.0717592592592594E-3</v>
      </c>
    </row>
    <row r="5294" spans="1:11" x14ac:dyDescent="0.25">
      <c r="A5294">
        <v>1</v>
      </c>
      <c r="B5294">
        <v>18</v>
      </c>
      <c r="C5294"/>
      <c r="D5294" t="s">
        <v>31</v>
      </c>
      <c r="E5294" t="s">
        <v>35</v>
      </c>
      <c r="F5294" t="s">
        <v>55</v>
      </c>
      <c r="G5294" s="118">
        <v>0.87225694444444446</v>
      </c>
      <c r="H5294" s="118">
        <v>1.0069444444444444E-3</v>
      </c>
      <c r="I5294" s="118">
        <v>4.6296296296296293E-4</v>
      </c>
      <c r="J5294"/>
      <c r="K5294"/>
    </row>
    <row r="5295" spans="1:11" x14ac:dyDescent="0.25">
      <c r="A5295">
        <v>9</v>
      </c>
      <c r="B5295">
        <v>6</v>
      </c>
      <c r="C5295"/>
      <c r="D5295" t="s">
        <v>31</v>
      </c>
      <c r="E5295" t="s">
        <v>32</v>
      </c>
      <c r="F5295" t="s">
        <v>47</v>
      </c>
      <c r="G5295" s="118">
        <v>0.87246527777777771</v>
      </c>
      <c r="H5295" s="118">
        <v>5.2083333333333333E-4</v>
      </c>
      <c r="I5295" s="118">
        <v>8.7962962962962962E-4</v>
      </c>
      <c r="J5295" s="118">
        <v>7.0717592592592594E-3</v>
      </c>
      <c r="K5295" s="118">
        <v>7.0717592592592594E-3</v>
      </c>
    </row>
    <row r="5296" spans="1:11" x14ac:dyDescent="0.25">
      <c r="A5296">
        <v>5</v>
      </c>
      <c r="B5296">
        <v>19</v>
      </c>
      <c r="C5296"/>
      <c r="D5296" t="s">
        <v>31</v>
      </c>
      <c r="E5296" t="s">
        <v>35</v>
      </c>
      <c r="F5296" t="s">
        <v>36</v>
      </c>
      <c r="G5296" s="118">
        <v>0.87255787037037036</v>
      </c>
      <c r="H5296" s="118">
        <v>9.6064814814814808E-4</v>
      </c>
      <c r="I5296" s="118">
        <v>3.4722222222222224E-4</v>
      </c>
      <c r="J5296"/>
      <c r="K5296"/>
    </row>
    <row r="5297" spans="1:11" x14ac:dyDescent="0.25">
      <c r="A5297">
        <v>4</v>
      </c>
      <c r="B5297">
        <v>18</v>
      </c>
      <c r="C5297"/>
      <c r="D5297" t="s">
        <v>31</v>
      </c>
      <c r="E5297" t="s">
        <v>35</v>
      </c>
      <c r="F5297" t="s">
        <v>42</v>
      </c>
      <c r="G5297" s="118">
        <v>0.8725925925925927</v>
      </c>
      <c r="H5297" s="118">
        <v>9.0277777777777784E-4</v>
      </c>
      <c r="I5297" s="118">
        <v>3.4722222222222224E-4</v>
      </c>
      <c r="J5297"/>
      <c r="K5297"/>
    </row>
    <row r="5298" spans="1:11" x14ac:dyDescent="0.25">
      <c r="A5298">
        <v>1</v>
      </c>
      <c r="B5298">
        <v>18</v>
      </c>
      <c r="C5298"/>
      <c r="D5298" t="s">
        <v>31</v>
      </c>
      <c r="E5298" t="s">
        <v>32</v>
      </c>
      <c r="F5298" t="s">
        <v>55</v>
      </c>
      <c r="G5298" s="118">
        <v>0.87271990740740746</v>
      </c>
      <c r="H5298" s="118">
        <v>4.6296296296296293E-4</v>
      </c>
      <c r="I5298" s="118">
        <v>4.3981481481481481E-4</v>
      </c>
      <c r="J5298" s="118">
        <v>7.0717592592592594E-3</v>
      </c>
      <c r="K5298" s="118">
        <v>7.0717592592592594E-3</v>
      </c>
    </row>
    <row r="5299" spans="1:11" x14ac:dyDescent="0.25">
      <c r="A5299">
        <v>5</v>
      </c>
      <c r="B5299">
        <v>19</v>
      </c>
      <c r="C5299"/>
      <c r="D5299" t="s">
        <v>31</v>
      </c>
      <c r="E5299" t="s">
        <v>32</v>
      </c>
      <c r="F5299" t="s">
        <v>36</v>
      </c>
      <c r="G5299" s="118">
        <v>0.87290509259259252</v>
      </c>
      <c r="H5299" s="118">
        <v>3.4722222222222224E-4</v>
      </c>
      <c r="I5299" s="118">
        <v>1.0995370370370371E-3</v>
      </c>
      <c r="J5299" s="118">
        <v>7.0717592592592594E-3</v>
      </c>
      <c r="K5299" s="118">
        <v>7.0717592592592594E-3</v>
      </c>
    </row>
    <row r="5300" spans="1:11" x14ac:dyDescent="0.25">
      <c r="A5300">
        <v>4</v>
      </c>
      <c r="B5300">
        <v>18</v>
      </c>
      <c r="C5300"/>
      <c r="D5300" t="s">
        <v>31</v>
      </c>
      <c r="E5300" t="s">
        <v>32</v>
      </c>
      <c r="F5300" t="s">
        <v>42</v>
      </c>
      <c r="G5300" s="118">
        <v>0.87293981481481486</v>
      </c>
      <c r="H5300" s="118">
        <v>3.4722222222222224E-4</v>
      </c>
      <c r="I5300" s="118">
        <v>9.1435185185185185E-4</v>
      </c>
      <c r="J5300" s="118">
        <v>7.0717592592592594E-3</v>
      </c>
      <c r="K5300" s="118">
        <v>7.0717592592592594E-3</v>
      </c>
    </row>
    <row r="5301" spans="1:11" x14ac:dyDescent="0.25">
      <c r="A5301">
        <v>2</v>
      </c>
      <c r="B5301">
        <v>19</v>
      </c>
      <c r="C5301"/>
      <c r="D5301" t="s">
        <v>31</v>
      </c>
      <c r="E5301" t="s">
        <v>35</v>
      </c>
      <c r="F5301" t="s">
        <v>57</v>
      </c>
      <c r="G5301" s="118">
        <v>0.87310185185185185</v>
      </c>
      <c r="H5301" s="118">
        <v>1.0532407407407407E-3</v>
      </c>
      <c r="I5301" s="118">
        <v>3.4722222222222224E-4</v>
      </c>
      <c r="J5301"/>
      <c r="K5301"/>
    </row>
    <row r="5302" spans="1:11" x14ac:dyDescent="0.25">
      <c r="A5302">
        <v>1</v>
      </c>
      <c r="B5302">
        <v>18</v>
      </c>
      <c r="C5302"/>
      <c r="D5302" t="s">
        <v>31</v>
      </c>
      <c r="E5302" t="s">
        <v>35</v>
      </c>
      <c r="F5302" t="s">
        <v>58</v>
      </c>
      <c r="G5302" s="118">
        <v>0.87315972222222227</v>
      </c>
      <c r="H5302" s="118">
        <v>4.3981481481481481E-4</v>
      </c>
      <c r="I5302" s="118">
        <v>5.7870370370370366E-5</v>
      </c>
      <c r="J5302"/>
      <c r="K5302"/>
    </row>
    <row r="5303" spans="1:11" x14ac:dyDescent="0.25">
      <c r="A5303">
        <v>1</v>
      </c>
      <c r="B5303">
        <v>18</v>
      </c>
      <c r="C5303"/>
      <c r="D5303" t="s">
        <v>31</v>
      </c>
      <c r="E5303" t="s">
        <v>32</v>
      </c>
      <c r="F5303" t="s">
        <v>58</v>
      </c>
      <c r="G5303" s="118">
        <v>0.87321759259259257</v>
      </c>
      <c r="H5303" s="118">
        <v>5.7870370370370366E-5</v>
      </c>
      <c r="I5303" s="118">
        <v>4.8611111111111104E-4</v>
      </c>
      <c r="J5303" s="118">
        <v>7.0717592592592594E-3</v>
      </c>
      <c r="K5303" s="118">
        <v>7.0717592592592594E-3</v>
      </c>
    </row>
    <row r="5304" spans="1:11" x14ac:dyDescent="0.25">
      <c r="A5304">
        <v>9</v>
      </c>
      <c r="B5304">
        <v>6</v>
      </c>
      <c r="C5304"/>
      <c r="D5304" t="s">
        <v>31</v>
      </c>
      <c r="E5304" t="s">
        <v>35</v>
      </c>
      <c r="F5304" t="s">
        <v>53</v>
      </c>
      <c r="G5304" s="118">
        <v>0.87334490740740733</v>
      </c>
      <c r="H5304" s="118">
        <v>8.7962962962962962E-4</v>
      </c>
      <c r="I5304" s="118">
        <v>3.4722222222222224E-4</v>
      </c>
      <c r="J5304"/>
      <c r="K5304"/>
    </row>
    <row r="5305" spans="1:11" x14ac:dyDescent="0.25">
      <c r="A5305">
        <v>2</v>
      </c>
      <c r="B5305">
        <v>19</v>
      </c>
      <c r="C5305"/>
      <c r="D5305" t="s">
        <v>31</v>
      </c>
      <c r="E5305" t="s">
        <v>32</v>
      </c>
      <c r="F5305" t="s">
        <v>57</v>
      </c>
      <c r="G5305" s="118">
        <v>0.87344907407407402</v>
      </c>
      <c r="H5305" s="118">
        <v>3.4722222222222224E-4</v>
      </c>
      <c r="I5305" s="118">
        <v>9.3750000000000007E-4</v>
      </c>
      <c r="J5305" s="118">
        <v>7.0717592592592594E-3</v>
      </c>
      <c r="K5305" s="118">
        <v>7.0717592592592594E-3</v>
      </c>
    </row>
    <row r="5306" spans="1:11" x14ac:dyDescent="0.25">
      <c r="A5306">
        <v>9</v>
      </c>
      <c r="B5306">
        <v>6</v>
      </c>
      <c r="C5306"/>
      <c r="D5306" t="s">
        <v>31</v>
      </c>
      <c r="E5306" t="s">
        <v>32</v>
      </c>
      <c r="F5306" t="s">
        <v>53</v>
      </c>
      <c r="G5306" s="118">
        <v>0.87369212962962972</v>
      </c>
      <c r="H5306" s="118">
        <v>3.4722222222222224E-4</v>
      </c>
      <c r="I5306" s="118">
        <v>8.449074074074075E-4</v>
      </c>
      <c r="J5306" s="118">
        <v>7.0717592592592594E-3</v>
      </c>
      <c r="K5306" s="118">
        <v>7.0717592592592594E-3</v>
      </c>
    </row>
    <row r="5307" spans="1:11" x14ac:dyDescent="0.25">
      <c r="A5307">
        <v>1</v>
      </c>
      <c r="B5307">
        <v>18</v>
      </c>
      <c r="C5307"/>
      <c r="D5307" t="s">
        <v>31</v>
      </c>
      <c r="E5307" t="s">
        <v>35</v>
      </c>
      <c r="F5307" t="s">
        <v>40</v>
      </c>
      <c r="G5307" s="118">
        <v>0.87370370370370365</v>
      </c>
      <c r="H5307" s="118">
        <v>4.8611111111111104E-4</v>
      </c>
      <c r="I5307" s="118">
        <v>4.6296296296296293E-4</v>
      </c>
      <c r="J5307"/>
      <c r="K5307"/>
    </row>
    <row r="5308" spans="1:11" x14ac:dyDescent="0.25">
      <c r="A5308">
        <v>4</v>
      </c>
      <c r="B5308">
        <v>18</v>
      </c>
      <c r="C5308"/>
      <c r="D5308" t="s">
        <v>31</v>
      </c>
      <c r="E5308" t="s">
        <v>35</v>
      </c>
      <c r="F5308" t="s">
        <v>48</v>
      </c>
      <c r="G5308" s="118">
        <v>0.87385416666666671</v>
      </c>
      <c r="H5308" s="118">
        <v>9.1435185185185185E-4</v>
      </c>
      <c r="I5308" s="118">
        <v>5.2083333333333333E-4</v>
      </c>
      <c r="J5308"/>
      <c r="K5308"/>
    </row>
    <row r="5309" spans="1:11" x14ac:dyDescent="0.25">
      <c r="A5309">
        <v>5</v>
      </c>
      <c r="B5309">
        <v>19</v>
      </c>
      <c r="C5309"/>
      <c r="D5309" t="s">
        <v>31</v>
      </c>
      <c r="E5309" t="s">
        <v>35</v>
      </c>
      <c r="F5309" t="s">
        <v>43</v>
      </c>
      <c r="G5309" s="118">
        <v>0.87400462962962966</v>
      </c>
      <c r="H5309" s="118">
        <v>1.0995370370370371E-3</v>
      </c>
      <c r="I5309" s="118">
        <v>3.4722222222222224E-4</v>
      </c>
      <c r="J5309"/>
      <c r="K5309"/>
    </row>
    <row r="5310" spans="1:11" x14ac:dyDescent="0.25">
      <c r="A5310">
        <v>1</v>
      </c>
      <c r="B5310">
        <v>18</v>
      </c>
      <c r="C5310"/>
      <c r="D5310" t="s">
        <v>31</v>
      </c>
      <c r="E5310" t="s">
        <v>32</v>
      </c>
      <c r="F5310" t="s">
        <v>40</v>
      </c>
      <c r="G5310" s="118">
        <v>0.87416666666666665</v>
      </c>
      <c r="H5310" s="118">
        <v>4.6296296296296293E-4</v>
      </c>
      <c r="I5310" s="118">
        <v>1.0069444444444444E-3</v>
      </c>
      <c r="J5310" s="118">
        <v>7.0717592592592594E-3</v>
      </c>
      <c r="K5310" s="118">
        <v>7.0717592592592594E-3</v>
      </c>
    </row>
    <row r="5311" spans="1:11" x14ac:dyDescent="0.25">
      <c r="A5311">
        <v>5</v>
      </c>
      <c r="B5311">
        <v>19</v>
      </c>
      <c r="C5311"/>
      <c r="D5311" t="s">
        <v>31</v>
      </c>
      <c r="E5311" t="s">
        <v>32</v>
      </c>
      <c r="F5311" t="s">
        <v>43</v>
      </c>
      <c r="G5311" s="118">
        <v>0.87435185185185194</v>
      </c>
      <c r="H5311" s="118">
        <v>3.4722222222222224E-4</v>
      </c>
      <c r="I5311" s="118">
        <v>1.1458333333333333E-3</v>
      </c>
      <c r="J5311" s="118">
        <v>7.0717592592592594E-3</v>
      </c>
      <c r="K5311" s="118">
        <v>7.0717592592592594E-3</v>
      </c>
    </row>
    <row r="5312" spans="1:11" x14ac:dyDescent="0.25">
      <c r="A5312">
        <v>4</v>
      </c>
      <c r="B5312">
        <v>18</v>
      </c>
      <c r="C5312"/>
      <c r="D5312" t="s">
        <v>31</v>
      </c>
      <c r="E5312" t="s">
        <v>32</v>
      </c>
      <c r="F5312" t="s">
        <v>48</v>
      </c>
      <c r="G5312" s="118">
        <v>0.87437500000000001</v>
      </c>
      <c r="H5312" s="118">
        <v>5.2083333333333333E-4</v>
      </c>
      <c r="I5312" s="118">
        <v>8.6805555555555551E-4</v>
      </c>
      <c r="J5312" s="118">
        <v>7.0717592592592594E-3</v>
      </c>
      <c r="K5312" s="118">
        <v>7.0717592592592594E-3</v>
      </c>
    </row>
    <row r="5313" spans="1:11" x14ac:dyDescent="0.25">
      <c r="A5313">
        <v>2</v>
      </c>
      <c r="B5313">
        <v>19</v>
      </c>
      <c r="C5313"/>
      <c r="D5313" t="s">
        <v>31</v>
      </c>
      <c r="E5313" t="s">
        <v>35</v>
      </c>
      <c r="F5313" t="s">
        <v>39</v>
      </c>
      <c r="G5313" s="118">
        <v>0.87438657407407405</v>
      </c>
      <c r="H5313" s="118">
        <v>9.3750000000000007E-4</v>
      </c>
      <c r="I5313" s="118">
        <v>5.2083333333333333E-4</v>
      </c>
      <c r="J5313"/>
      <c r="K5313"/>
    </row>
    <row r="5314" spans="1:11" x14ac:dyDescent="0.25">
      <c r="A5314">
        <v>9</v>
      </c>
      <c r="B5314">
        <v>6</v>
      </c>
      <c r="C5314"/>
      <c r="D5314" t="s">
        <v>31</v>
      </c>
      <c r="E5314" t="s">
        <v>35</v>
      </c>
      <c r="F5314" t="s">
        <v>34</v>
      </c>
      <c r="G5314" s="118">
        <v>0.874537037037037</v>
      </c>
      <c r="H5314" s="118">
        <v>8.449074074074075E-4</v>
      </c>
      <c r="I5314" s="118">
        <v>3.4722222222222224E-4</v>
      </c>
      <c r="J5314"/>
      <c r="K5314"/>
    </row>
    <row r="5315" spans="1:11" x14ac:dyDescent="0.25">
      <c r="A5315">
        <v>9</v>
      </c>
      <c r="B5315">
        <v>6</v>
      </c>
      <c r="C5315"/>
      <c r="D5315" t="s">
        <v>31</v>
      </c>
      <c r="E5315" t="s">
        <v>32</v>
      </c>
      <c r="F5315" t="s">
        <v>34</v>
      </c>
      <c r="G5315" s="118">
        <v>0.87488425925925928</v>
      </c>
      <c r="H5315" s="118">
        <v>3.4722222222222224E-4</v>
      </c>
      <c r="I5315" s="118">
        <v>9.1435185185185185E-4</v>
      </c>
      <c r="J5315" s="118">
        <v>7.0717592592592594E-3</v>
      </c>
      <c r="K5315" s="118">
        <v>7.0717592592592594E-3</v>
      </c>
    </row>
    <row r="5316" spans="1:11" x14ac:dyDescent="0.25">
      <c r="A5316">
        <v>2</v>
      </c>
      <c r="B5316">
        <v>19</v>
      </c>
      <c r="C5316"/>
      <c r="D5316" t="s">
        <v>31</v>
      </c>
      <c r="E5316" t="s">
        <v>32</v>
      </c>
      <c r="F5316" t="s">
        <v>39</v>
      </c>
      <c r="G5316" s="118">
        <v>0.87490740740740736</v>
      </c>
      <c r="H5316" s="118">
        <v>5.2083333333333333E-4</v>
      </c>
      <c r="I5316" s="118">
        <v>1.8055555555555557E-3</v>
      </c>
      <c r="J5316" s="118">
        <v>7.0717592592592594E-3</v>
      </c>
      <c r="K5316" s="118">
        <v>7.0717592592592594E-3</v>
      </c>
    </row>
    <row r="5317" spans="1:11" x14ac:dyDescent="0.25">
      <c r="A5317">
        <v>1</v>
      </c>
      <c r="B5317">
        <v>18</v>
      </c>
      <c r="C5317"/>
      <c r="D5317" t="s">
        <v>31</v>
      </c>
      <c r="E5317" t="s">
        <v>35</v>
      </c>
      <c r="F5317" t="s">
        <v>44</v>
      </c>
      <c r="G5317" s="118">
        <v>0.87517361111111114</v>
      </c>
      <c r="H5317" s="118">
        <v>1.0069444444444444E-3</v>
      </c>
      <c r="I5317" s="118">
        <v>3.4722222222222224E-4</v>
      </c>
      <c r="J5317"/>
      <c r="K5317"/>
    </row>
    <row r="5318" spans="1:11" x14ac:dyDescent="0.25">
      <c r="A5318">
        <v>4</v>
      </c>
      <c r="B5318">
        <v>18</v>
      </c>
      <c r="C5318"/>
      <c r="D5318" t="s">
        <v>31</v>
      </c>
      <c r="E5318" t="s">
        <v>35</v>
      </c>
      <c r="F5318" t="s">
        <v>54</v>
      </c>
      <c r="G5318" s="118">
        <v>0.87524305555555548</v>
      </c>
      <c r="H5318" s="118">
        <v>8.6805555555555551E-4</v>
      </c>
      <c r="I5318" s="118">
        <v>3.4722222222222224E-4</v>
      </c>
      <c r="J5318"/>
      <c r="K5318"/>
    </row>
    <row r="5319" spans="1:11" x14ac:dyDescent="0.25">
      <c r="A5319">
        <v>5</v>
      </c>
      <c r="B5319">
        <v>19</v>
      </c>
      <c r="C5319"/>
      <c r="D5319" t="s">
        <v>31</v>
      </c>
      <c r="E5319" t="s">
        <v>35</v>
      </c>
      <c r="F5319" t="s">
        <v>50</v>
      </c>
      <c r="G5319" s="118">
        <v>0.87549768518518523</v>
      </c>
      <c r="H5319" s="118">
        <v>1.1458333333333333E-3</v>
      </c>
      <c r="I5319" s="118">
        <v>3.4722222222222224E-4</v>
      </c>
      <c r="J5319"/>
      <c r="K5319"/>
    </row>
    <row r="5320" spans="1:11" x14ac:dyDescent="0.25">
      <c r="A5320">
        <v>1</v>
      </c>
      <c r="B5320">
        <v>18</v>
      </c>
      <c r="C5320"/>
      <c r="D5320" t="s">
        <v>31</v>
      </c>
      <c r="E5320" t="s">
        <v>32</v>
      </c>
      <c r="F5320" t="s">
        <v>44</v>
      </c>
      <c r="G5320" s="118">
        <v>0.8755208333333333</v>
      </c>
      <c r="H5320" s="118">
        <v>3.4722222222222224E-4</v>
      </c>
      <c r="I5320" s="118">
        <v>9.2592592592592585E-4</v>
      </c>
      <c r="J5320" s="118">
        <v>7.0717592592592594E-3</v>
      </c>
      <c r="K5320" s="118">
        <v>7.0717592592592594E-3</v>
      </c>
    </row>
    <row r="5321" spans="1:11" x14ac:dyDescent="0.25">
      <c r="A5321">
        <v>4</v>
      </c>
      <c r="B5321">
        <v>18</v>
      </c>
      <c r="C5321"/>
      <c r="D5321" t="s">
        <v>31</v>
      </c>
      <c r="E5321" t="s">
        <v>32</v>
      </c>
      <c r="F5321" t="s">
        <v>54</v>
      </c>
      <c r="G5321" s="118">
        <v>0.87559027777777787</v>
      </c>
      <c r="H5321" s="118">
        <v>3.4722222222222224E-4</v>
      </c>
      <c r="I5321" s="118">
        <v>6.9444444444444447E-4</v>
      </c>
      <c r="J5321" s="118">
        <v>7.0717592592592594E-3</v>
      </c>
      <c r="K5321" s="118">
        <v>7.0717592592592594E-3</v>
      </c>
    </row>
    <row r="5322" spans="1:11" x14ac:dyDescent="0.25">
      <c r="A5322">
        <v>9</v>
      </c>
      <c r="B5322">
        <v>6</v>
      </c>
      <c r="C5322"/>
      <c r="D5322" t="s">
        <v>31</v>
      </c>
      <c r="E5322" t="s">
        <v>35</v>
      </c>
      <c r="F5322" t="s">
        <v>38</v>
      </c>
      <c r="G5322" s="118">
        <v>0.87579861111111112</v>
      </c>
      <c r="H5322" s="118">
        <v>9.1435185185185185E-4</v>
      </c>
      <c r="I5322" s="118">
        <v>3.4722222222222224E-4</v>
      </c>
      <c r="J5322"/>
      <c r="K5322"/>
    </row>
    <row r="5323" spans="1:11" x14ac:dyDescent="0.25">
      <c r="A5323">
        <v>5</v>
      </c>
      <c r="B5323">
        <v>19</v>
      </c>
      <c r="C5323"/>
      <c r="D5323" t="s">
        <v>31</v>
      </c>
      <c r="E5323" t="s">
        <v>32</v>
      </c>
      <c r="F5323" t="s">
        <v>50</v>
      </c>
      <c r="G5323" s="118">
        <v>0.87584490740740739</v>
      </c>
      <c r="H5323" s="118">
        <v>3.4722222222222224E-4</v>
      </c>
      <c r="I5323" s="118">
        <v>1.261574074074074E-3</v>
      </c>
      <c r="J5323" s="118">
        <v>7.0717592592592594E-3</v>
      </c>
      <c r="K5323" s="118">
        <v>7.0717592592592594E-3</v>
      </c>
    </row>
    <row r="5324" spans="1:11" x14ac:dyDescent="0.25">
      <c r="A5324">
        <v>9</v>
      </c>
      <c r="B5324">
        <v>6</v>
      </c>
      <c r="C5324"/>
      <c r="D5324" t="s">
        <v>31</v>
      </c>
      <c r="E5324" t="s">
        <v>32</v>
      </c>
      <c r="F5324" t="s">
        <v>38</v>
      </c>
      <c r="G5324" s="118">
        <v>0.87614583333333329</v>
      </c>
      <c r="H5324" s="118">
        <v>3.4722222222222224E-4</v>
      </c>
      <c r="I5324" s="118">
        <v>1.2384259259259258E-3</v>
      </c>
      <c r="J5324" s="118">
        <v>7.0717592592592594E-3</v>
      </c>
      <c r="K5324" s="118">
        <v>7.0717592592592594E-3</v>
      </c>
    </row>
    <row r="5325" spans="1:11" x14ac:dyDescent="0.25">
      <c r="A5325">
        <v>4</v>
      </c>
      <c r="B5325">
        <v>18</v>
      </c>
      <c r="C5325"/>
      <c r="D5325" t="s">
        <v>31</v>
      </c>
      <c r="E5325" t="s">
        <v>35</v>
      </c>
      <c r="F5325" t="s">
        <v>92</v>
      </c>
      <c r="G5325" s="118">
        <v>0.8762847222222222</v>
      </c>
      <c r="H5325" s="118">
        <v>6.9444444444444447E-4</v>
      </c>
      <c r="I5325" s="118">
        <v>5.2083333333333333E-4</v>
      </c>
      <c r="J5325"/>
      <c r="K5325"/>
    </row>
    <row r="5326" spans="1:11" x14ac:dyDescent="0.25">
      <c r="A5326">
        <v>1</v>
      </c>
      <c r="B5326">
        <v>18</v>
      </c>
      <c r="C5326"/>
      <c r="D5326" t="s">
        <v>31</v>
      </c>
      <c r="E5326" t="s">
        <v>35</v>
      </c>
      <c r="F5326" t="s">
        <v>49</v>
      </c>
      <c r="G5326" s="118">
        <v>0.87644675925925919</v>
      </c>
      <c r="H5326" s="118">
        <v>9.2592592592592585E-4</v>
      </c>
      <c r="I5326" s="118">
        <v>3.4722222222222224E-4</v>
      </c>
      <c r="J5326"/>
      <c r="K5326"/>
    </row>
    <row r="5327" spans="1:11" x14ac:dyDescent="0.25">
      <c r="A5327">
        <v>2</v>
      </c>
      <c r="B5327">
        <v>19</v>
      </c>
      <c r="C5327"/>
      <c r="D5327" t="s">
        <v>31</v>
      </c>
      <c r="E5327" t="s">
        <v>35</v>
      </c>
      <c r="F5327" t="s">
        <v>46</v>
      </c>
      <c r="G5327" s="118">
        <v>0.87671296296296297</v>
      </c>
      <c r="H5327" s="118">
        <v>1.8055555555555557E-3</v>
      </c>
      <c r="I5327" s="118">
        <v>3.4722222222222224E-4</v>
      </c>
      <c r="J5327"/>
      <c r="K5327"/>
    </row>
    <row r="5328" spans="1:11" x14ac:dyDescent="0.25">
      <c r="A5328">
        <v>1</v>
      </c>
      <c r="B5328">
        <v>18</v>
      </c>
      <c r="C5328"/>
      <c r="D5328" t="s">
        <v>31</v>
      </c>
      <c r="E5328" t="s">
        <v>32</v>
      </c>
      <c r="F5328" t="s">
        <v>49</v>
      </c>
      <c r="G5328" s="118">
        <v>0.87679398148148147</v>
      </c>
      <c r="H5328" s="118">
        <v>3.4722222222222224E-4</v>
      </c>
      <c r="I5328" s="118">
        <v>1.3541666666666667E-3</v>
      </c>
      <c r="J5328" s="118">
        <v>7.0717592592592594E-3</v>
      </c>
      <c r="K5328" s="118">
        <v>7.0717592592592594E-3</v>
      </c>
    </row>
    <row r="5329" spans="1:11" x14ac:dyDescent="0.25">
      <c r="A5329">
        <v>4</v>
      </c>
      <c r="B5329">
        <v>19</v>
      </c>
      <c r="C5329"/>
      <c r="D5329" t="s">
        <v>31</v>
      </c>
      <c r="E5329" t="s">
        <v>32</v>
      </c>
      <c r="F5329" t="s">
        <v>92</v>
      </c>
      <c r="G5329" s="118">
        <v>0.8768055555555555</v>
      </c>
      <c r="H5329" s="118">
        <v>5.2083333333333333E-4</v>
      </c>
      <c r="I5329" s="118">
        <v>1.0069444444444444E-3</v>
      </c>
      <c r="J5329" s="118">
        <v>7.0717592592592594E-3</v>
      </c>
      <c r="K5329" s="118">
        <v>7.0717592592592594E-3</v>
      </c>
    </row>
    <row r="5330" spans="1:11" x14ac:dyDescent="0.25">
      <c r="A5330">
        <v>2</v>
      </c>
      <c r="B5330">
        <v>19</v>
      </c>
      <c r="C5330"/>
      <c r="D5330" t="s">
        <v>31</v>
      </c>
      <c r="E5330" t="s">
        <v>32</v>
      </c>
      <c r="F5330" t="s">
        <v>46</v>
      </c>
      <c r="G5330" s="118">
        <v>0.87706018518518514</v>
      </c>
      <c r="H5330" s="118">
        <v>3.4722222222222224E-4</v>
      </c>
      <c r="I5330" s="118">
        <v>9.1435185185185185E-4</v>
      </c>
      <c r="J5330" s="118">
        <v>7.0717592592592594E-3</v>
      </c>
      <c r="K5330" s="118">
        <v>7.0717592592592594E-3</v>
      </c>
    </row>
    <row r="5331" spans="1:11" x14ac:dyDescent="0.25">
      <c r="A5331">
        <v>5</v>
      </c>
      <c r="B5331">
        <v>19</v>
      </c>
      <c r="C5331"/>
      <c r="D5331" t="s">
        <v>31</v>
      </c>
      <c r="E5331" t="s">
        <v>35</v>
      </c>
      <c r="F5331" t="s">
        <v>56</v>
      </c>
      <c r="G5331" s="118">
        <v>0.8771064814814814</v>
      </c>
      <c r="H5331" s="118">
        <v>1.261574074074074E-3</v>
      </c>
      <c r="I5331" s="118">
        <v>3.4722222222222224E-4</v>
      </c>
      <c r="J5331"/>
      <c r="K5331"/>
    </row>
    <row r="5332" spans="1:11" x14ac:dyDescent="0.25">
      <c r="A5332">
        <v>9</v>
      </c>
      <c r="B5332">
        <v>6</v>
      </c>
      <c r="C5332"/>
      <c r="D5332" t="s">
        <v>31</v>
      </c>
      <c r="E5332" t="s">
        <v>35</v>
      </c>
      <c r="F5332" t="s">
        <v>45</v>
      </c>
      <c r="G5332" s="118">
        <v>0.87738425925925922</v>
      </c>
      <c r="H5332" s="118">
        <v>1.2384259259259258E-3</v>
      </c>
      <c r="I5332" s="118">
        <v>3.4722222222222224E-4</v>
      </c>
      <c r="J5332"/>
      <c r="K5332"/>
    </row>
    <row r="5333" spans="1:11" x14ac:dyDescent="0.25">
      <c r="A5333">
        <v>5</v>
      </c>
      <c r="B5333">
        <v>19</v>
      </c>
      <c r="C5333"/>
      <c r="D5333" t="s">
        <v>31</v>
      </c>
      <c r="E5333" t="s">
        <v>32</v>
      </c>
      <c r="F5333" t="s">
        <v>56</v>
      </c>
      <c r="G5333" s="118">
        <v>0.87745370370370368</v>
      </c>
      <c r="H5333" s="118">
        <v>3.4722222222222224E-4</v>
      </c>
      <c r="I5333" s="118">
        <v>9.6064814814814808E-4</v>
      </c>
      <c r="J5333" s="118">
        <v>7.0717592592592594E-3</v>
      </c>
      <c r="K5333" s="118">
        <v>7.0717592592592594E-3</v>
      </c>
    </row>
    <row r="5334" spans="1:11" x14ac:dyDescent="0.25">
      <c r="A5334">
        <v>9</v>
      </c>
      <c r="B5334">
        <v>6</v>
      </c>
      <c r="C5334"/>
      <c r="D5334" t="s">
        <v>31</v>
      </c>
      <c r="E5334" t="s">
        <v>32</v>
      </c>
      <c r="F5334" t="s">
        <v>45</v>
      </c>
      <c r="G5334" s="118">
        <v>0.8777314814814815</v>
      </c>
      <c r="H5334" s="118">
        <v>3.4722222222222224E-4</v>
      </c>
      <c r="I5334" s="118">
        <v>1.0416666666666667E-3</v>
      </c>
      <c r="J5334" s="118">
        <v>7.0717592592592594E-3</v>
      </c>
      <c r="K5334" s="118">
        <v>7.0717592592592594E-3</v>
      </c>
    </row>
    <row r="5335" spans="1:11" x14ac:dyDescent="0.25">
      <c r="A5335">
        <v>4</v>
      </c>
      <c r="B5335">
        <v>19</v>
      </c>
      <c r="C5335"/>
      <c r="D5335" t="s">
        <v>31</v>
      </c>
      <c r="E5335" t="s">
        <v>35</v>
      </c>
      <c r="F5335" t="s">
        <v>41</v>
      </c>
      <c r="G5335" s="118">
        <v>0.8778125</v>
      </c>
      <c r="H5335" s="118">
        <v>1.0069444444444444E-3</v>
      </c>
      <c r="I5335" s="118">
        <v>3.4722222222222224E-4</v>
      </c>
      <c r="J5335"/>
      <c r="K5335"/>
    </row>
    <row r="5336" spans="1:11" x14ac:dyDescent="0.25">
      <c r="A5336">
        <v>2</v>
      </c>
      <c r="B5336">
        <v>19</v>
      </c>
      <c r="C5336"/>
      <c r="D5336" t="s">
        <v>31</v>
      </c>
      <c r="E5336" t="s">
        <v>35</v>
      </c>
      <c r="F5336" t="s">
        <v>51</v>
      </c>
      <c r="G5336" s="118">
        <v>0.87797453703703709</v>
      </c>
      <c r="H5336" s="118">
        <v>9.1435185185185185E-4</v>
      </c>
      <c r="I5336" s="118">
        <v>3.4722222222222224E-4</v>
      </c>
      <c r="J5336"/>
      <c r="K5336"/>
    </row>
    <row r="5337" spans="1:11" x14ac:dyDescent="0.25">
      <c r="A5337">
        <v>1</v>
      </c>
      <c r="B5337">
        <v>18</v>
      </c>
      <c r="C5337"/>
      <c r="D5337" t="s">
        <v>31</v>
      </c>
      <c r="E5337" t="s">
        <v>35</v>
      </c>
      <c r="F5337" t="s">
        <v>33</v>
      </c>
      <c r="G5337" s="118">
        <v>0.87814814814814823</v>
      </c>
      <c r="H5337" s="118">
        <v>1.3541666666666667E-3</v>
      </c>
      <c r="I5337" s="118">
        <v>5.2083333333333333E-4</v>
      </c>
      <c r="J5337"/>
      <c r="K5337"/>
    </row>
    <row r="5338" spans="1:11" x14ac:dyDescent="0.25">
      <c r="A5338">
        <v>4</v>
      </c>
      <c r="B5338">
        <v>19</v>
      </c>
      <c r="C5338"/>
      <c r="D5338" t="s">
        <v>31</v>
      </c>
      <c r="E5338" t="s">
        <v>32</v>
      </c>
      <c r="F5338" t="s">
        <v>41</v>
      </c>
      <c r="G5338" s="118">
        <v>0.87815972222222216</v>
      </c>
      <c r="H5338" s="118">
        <v>3.4722222222222224E-4</v>
      </c>
      <c r="I5338" s="118">
        <v>8.564814814814815E-4</v>
      </c>
      <c r="J5338" s="118">
        <v>7.0717592592592594E-3</v>
      </c>
      <c r="K5338" s="118">
        <v>7.0717592592592594E-3</v>
      </c>
    </row>
    <row r="5339" spans="1:11" x14ac:dyDescent="0.25">
      <c r="A5339">
        <v>2</v>
      </c>
      <c r="B5339">
        <v>19</v>
      </c>
      <c r="C5339"/>
      <c r="D5339" t="s">
        <v>31</v>
      </c>
      <c r="E5339" t="s">
        <v>32</v>
      </c>
      <c r="F5339" t="s">
        <v>51</v>
      </c>
      <c r="G5339" s="118">
        <v>0.87832175925925926</v>
      </c>
      <c r="H5339" s="118">
        <v>3.4722222222222224E-4</v>
      </c>
      <c r="I5339" s="118">
        <v>1.0069444444444444E-3</v>
      </c>
      <c r="J5339" s="118">
        <v>7.0717592592592594E-3</v>
      </c>
      <c r="K5339" s="118">
        <v>7.0717592592592594E-3</v>
      </c>
    </row>
    <row r="5340" spans="1:11" x14ac:dyDescent="0.25">
      <c r="A5340">
        <v>5</v>
      </c>
      <c r="B5340">
        <v>19</v>
      </c>
      <c r="C5340"/>
      <c r="D5340" t="s">
        <v>31</v>
      </c>
      <c r="E5340" t="s">
        <v>35</v>
      </c>
      <c r="F5340" t="s">
        <v>37</v>
      </c>
      <c r="G5340" s="118">
        <v>0.8784143518518519</v>
      </c>
      <c r="H5340" s="118">
        <v>9.6064814814814808E-4</v>
      </c>
      <c r="I5340" s="118">
        <v>3.4722222222222224E-4</v>
      </c>
      <c r="J5340"/>
      <c r="K5340"/>
    </row>
    <row r="5341" spans="1:11" x14ac:dyDescent="0.25">
      <c r="A5341">
        <v>1</v>
      </c>
      <c r="B5341">
        <v>18</v>
      </c>
      <c r="C5341"/>
      <c r="D5341" t="s">
        <v>31</v>
      </c>
      <c r="E5341" t="s">
        <v>32</v>
      </c>
      <c r="F5341" t="s">
        <v>33</v>
      </c>
      <c r="G5341" s="118">
        <v>0.87866898148148154</v>
      </c>
      <c r="H5341" s="118">
        <v>5.2083333333333333E-4</v>
      </c>
      <c r="I5341" s="118">
        <v>9.6064814814814808E-4</v>
      </c>
      <c r="J5341" s="118">
        <v>7.0717592592592594E-3</v>
      </c>
      <c r="K5341" s="118">
        <v>7.0717592592592594E-3</v>
      </c>
    </row>
    <row r="5342" spans="1:11" x14ac:dyDescent="0.25">
      <c r="A5342">
        <v>5</v>
      </c>
      <c r="B5342">
        <v>19</v>
      </c>
      <c r="C5342"/>
      <c r="D5342" t="s">
        <v>31</v>
      </c>
      <c r="E5342" t="s">
        <v>32</v>
      </c>
      <c r="F5342" t="s">
        <v>37</v>
      </c>
      <c r="G5342" s="118">
        <v>0.87876157407407407</v>
      </c>
      <c r="H5342" s="118">
        <v>3.4722222222222224E-4</v>
      </c>
      <c r="I5342" s="118">
        <v>9.0277777777777784E-4</v>
      </c>
      <c r="J5342" s="118">
        <v>7.0717592592592594E-3</v>
      </c>
      <c r="K5342" s="118">
        <v>7.0717592592592594E-3</v>
      </c>
    </row>
    <row r="5343" spans="1:11" x14ac:dyDescent="0.25">
      <c r="A5343">
        <v>9</v>
      </c>
      <c r="B5343">
        <v>6</v>
      </c>
      <c r="C5343"/>
      <c r="D5343" t="s">
        <v>31</v>
      </c>
      <c r="E5343" t="s">
        <v>35</v>
      </c>
      <c r="F5343" t="s">
        <v>52</v>
      </c>
      <c r="G5343" s="118">
        <v>0.87877314814814822</v>
      </c>
      <c r="H5343" s="118">
        <v>1.0416666666666667E-3</v>
      </c>
      <c r="I5343" s="118">
        <v>3.4722222222222224E-4</v>
      </c>
      <c r="J5343"/>
      <c r="K5343"/>
    </row>
    <row r="5344" spans="1:11" x14ac:dyDescent="0.25">
      <c r="A5344">
        <v>4</v>
      </c>
      <c r="B5344">
        <v>19</v>
      </c>
      <c r="C5344"/>
      <c r="D5344" t="s">
        <v>31</v>
      </c>
      <c r="E5344" t="s">
        <v>35</v>
      </c>
      <c r="F5344" t="s">
        <v>47</v>
      </c>
      <c r="G5344" s="118">
        <v>0.8790162037037037</v>
      </c>
      <c r="H5344" s="118">
        <v>8.564814814814815E-4</v>
      </c>
      <c r="I5344" s="118">
        <v>5.2083333333333333E-4</v>
      </c>
      <c r="J5344"/>
      <c r="K5344"/>
    </row>
    <row r="5345" spans="1:11" x14ac:dyDescent="0.25">
      <c r="A5345">
        <v>9</v>
      </c>
      <c r="B5345">
        <v>6</v>
      </c>
      <c r="C5345"/>
      <c r="D5345" t="s">
        <v>31</v>
      </c>
      <c r="E5345" t="s">
        <v>32</v>
      </c>
      <c r="F5345" t="s">
        <v>52</v>
      </c>
      <c r="G5345" s="118">
        <v>0.87912037037037039</v>
      </c>
      <c r="H5345" s="118">
        <v>3.4722222222222224E-4</v>
      </c>
      <c r="I5345" s="118">
        <v>1.0532407407407407E-3</v>
      </c>
      <c r="J5345" s="118">
        <v>7.0717592592592594E-3</v>
      </c>
      <c r="K5345" s="118">
        <v>7.0717592592592594E-3</v>
      </c>
    </row>
    <row r="5346" spans="1:11" x14ac:dyDescent="0.25">
      <c r="A5346">
        <v>2</v>
      </c>
      <c r="B5346">
        <v>19</v>
      </c>
      <c r="C5346"/>
      <c r="D5346" t="s">
        <v>31</v>
      </c>
      <c r="E5346" t="s">
        <v>35</v>
      </c>
      <c r="F5346" t="s">
        <v>55</v>
      </c>
      <c r="G5346" s="118">
        <v>0.87932870370370375</v>
      </c>
      <c r="H5346" s="118">
        <v>1.0069444444444444E-3</v>
      </c>
      <c r="I5346" s="118">
        <v>4.6296296296296293E-4</v>
      </c>
      <c r="J5346"/>
      <c r="K5346"/>
    </row>
    <row r="5347" spans="1:11" x14ac:dyDescent="0.25">
      <c r="A5347">
        <v>4</v>
      </c>
      <c r="B5347">
        <v>19</v>
      </c>
      <c r="C5347"/>
      <c r="D5347" t="s">
        <v>31</v>
      </c>
      <c r="E5347" t="s">
        <v>32</v>
      </c>
      <c r="F5347" t="s">
        <v>47</v>
      </c>
      <c r="G5347" s="118">
        <v>0.87953703703703701</v>
      </c>
      <c r="H5347" s="118">
        <v>5.2083333333333333E-4</v>
      </c>
      <c r="I5347" s="118">
        <v>8.7962962962962962E-4</v>
      </c>
      <c r="J5347" s="118">
        <v>7.0717592592592594E-3</v>
      </c>
      <c r="K5347" s="118">
        <v>7.0717592592592594E-3</v>
      </c>
    </row>
    <row r="5348" spans="1:11" x14ac:dyDescent="0.25">
      <c r="A5348">
        <v>1</v>
      </c>
      <c r="B5348">
        <v>18</v>
      </c>
      <c r="C5348"/>
      <c r="D5348" t="s">
        <v>31</v>
      </c>
      <c r="E5348" t="s">
        <v>35</v>
      </c>
      <c r="F5348" t="s">
        <v>36</v>
      </c>
      <c r="G5348" s="118">
        <v>0.87962962962962965</v>
      </c>
      <c r="H5348" s="118">
        <v>9.6064814814814808E-4</v>
      </c>
      <c r="I5348" s="118">
        <v>3.4722222222222224E-4</v>
      </c>
      <c r="J5348"/>
      <c r="K5348"/>
    </row>
    <row r="5349" spans="1:11" x14ac:dyDescent="0.25">
      <c r="A5349">
        <v>5</v>
      </c>
      <c r="B5349">
        <v>19</v>
      </c>
      <c r="C5349"/>
      <c r="D5349" t="s">
        <v>31</v>
      </c>
      <c r="E5349" t="s">
        <v>35</v>
      </c>
      <c r="F5349" t="s">
        <v>42</v>
      </c>
      <c r="G5349" s="118">
        <v>0.87966435185185177</v>
      </c>
      <c r="H5349" s="118">
        <v>9.0277777777777784E-4</v>
      </c>
      <c r="I5349" s="118">
        <v>3.4722222222222224E-4</v>
      </c>
      <c r="J5349"/>
      <c r="K5349"/>
    </row>
    <row r="5350" spans="1:11" x14ac:dyDescent="0.25">
      <c r="A5350">
        <v>2</v>
      </c>
      <c r="B5350">
        <v>19</v>
      </c>
      <c r="C5350"/>
      <c r="D5350" t="s">
        <v>31</v>
      </c>
      <c r="E5350" t="s">
        <v>32</v>
      </c>
      <c r="F5350" t="s">
        <v>55</v>
      </c>
      <c r="G5350" s="118">
        <v>0.87979166666666664</v>
      </c>
      <c r="H5350" s="118">
        <v>4.6296296296296293E-4</v>
      </c>
      <c r="I5350" s="118">
        <v>4.3981481481481481E-4</v>
      </c>
      <c r="J5350" s="118">
        <v>7.0717592592592594E-3</v>
      </c>
      <c r="K5350" s="118">
        <v>7.0717592592592594E-3</v>
      </c>
    </row>
    <row r="5351" spans="1:11" x14ac:dyDescent="0.25">
      <c r="A5351">
        <v>1</v>
      </c>
      <c r="B5351">
        <v>18</v>
      </c>
      <c r="C5351"/>
      <c r="D5351" t="s">
        <v>31</v>
      </c>
      <c r="E5351" t="s">
        <v>32</v>
      </c>
      <c r="F5351" t="s">
        <v>36</v>
      </c>
      <c r="G5351" s="118">
        <v>0.87997685185185182</v>
      </c>
      <c r="H5351" s="118">
        <v>3.4722222222222224E-4</v>
      </c>
      <c r="I5351" s="118">
        <v>1.0995370370370371E-3</v>
      </c>
      <c r="J5351" s="118">
        <v>7.0717592592592594E-3</v>
      </c>
      <c r="K5351" s="118">
        <v>7.0717592592592594E-3</v>
      </c>
    </row>
    <row r="5352" spans="1:11" x14ac:dyDescent="0.25">
      <c r="A5352">
        <v>5</v>
      </c>
      <c r="B5352">
        <v>19</v>
      </c>
      <c r="C5352"/>
      <c r="D5352" t="s">
        <v>31</v>
      </c>
      <c r="E5352" t="s">
        <v>32</v>
      </c>
      <c r="F5352" t="s">
        <v>42</v>
      </c>
      <c r="G5352" s="118">
        <v>0.88001157407407404</v>
      </c>
      <c r="H5352" s="118">
        <v>3.4722222222222224E-4</v>
      </c>
      <c r="I5352" s="118">
        <v>9.1435185185185185E-4</v>
      </c>
      <c r="J5352" s="118">
        <v>7.0717592592592594E-3</v>
      </c>
      <c r="K5352" s="118">
        <v>7.0717592592592594E-3</v>
      </c>
    </row>
    <row r="5353" spans="1:11" x14ac:dyDescent="0.25">
      <c r="A5353">
        <v>9</v>
      </c>
      <c r="B5353">
        <v>6</v>
      </c>
      <c r="C5353"/>
      <c r="D5353" t="s">
        <v>31</v>
      </c>
      <c r="E5353" t="s">
        <v>35</v>
      </c>
      <c r="F5353" t="s">
        <v>57</v>
      </c>
      <c r="G5353" s="118">
        <v>0.88017361111111114</v>
      </c>
      <c r="H5353" s="118">
        <v>1.0532407407407407E-3</v>
      </c>
      <c r="I5353" s="118">
        <v>3.4722222222222224E-4</v>
      </c>
      <c r="J5353"/>
      <c r="K5353"/>
    </row>
    <row r="5354" spans="1:11" x14ac:dyDescent="0.25">
      <c r="A5354">
        <v>2</v>
      </c>
      <c r="B5354">
        <v>19</v>
      </c>
      <c r="C5354"/>
      <c r="D5354" t="s">
        <v>31</v>
      </c>
      <c r="E5354" t="s">
        <v>35</v>
      </c>
      <c r="F5354" t="s">
        <v>58</v>
      </c>
      <c r="G5354" s="118">
        <v>0.88023148148148145</v>
      </c>
      <c r="H5354" s="118">
        <v>4.3981481481481481E-4</v>
      </c>
      <c r="I5354" s="118">
        <v>5.7870370370370366E-5</v>
      </c>
      <c r="J5354"/>
      <c r="K5354"/>
    </row>
    <row r="5355" spans="1:11" x14ac:dyDescent="0.25">
      <c r="A5355">
        <v>2</v>
      </c>
      <c r="B5355">
        <v>19</v>
      </c>
      <c r="C5355"/>
      <c r="D5355" t="s">
        <v>31</v>
      </c>
      <c r="E5355" t="s">
        <v>32</v>
      </c>
      <c r="F5355" t="s">
        <v>58</v>
      </c>
      <c r="G5355" s="118">
        <v>0.88028935185185186</v>
      </c>
      <c r="H5355" s="118">
        <v>5.7870370370370366E-5</v>
      </c>
      <c r="I5355" s="118">
        <v>4.8611111111111104E-4</v>
      </c>
      <c r="J5355" s="118">
        <v>7.0717592592592594E-3</v>
      </c>
      <c r="K5355" s="118">
        <v>7.0717592592592594E-3</v>
      </c>
    </row>
    <row r="5356" spans="1:11" x14ac:dyDescent="0.25">
      <c r="A5356">
        <v>4</v>
      </c>
      <c r="B5356">
        <v>19</v>
      </c>
      <c r="C5356"/>
      <c r="D5356" t="s">
        <v>31</v>
      </c>
      <c r="E5356" t="s">
        <v>35</v>
      </c>
      <c r="F5356" t="s">
        <v>53</v>
      </c>
      <c r="G5356" s="118">
        <v>0.88041666666666663</v>
      </c>
      <c r="H5356" s="118">
        <v>8.7962962962962962E-4</v>
      </c>
      <c r="I5356" s="118">
        <v>3.4722222222222224E-4</v>
      </c>
      <c r="J5356"/>
      <c r="K5356"/>
    </row>
    <row r="5357" spans="1:11" x14ac:dyDescent="0.25">
      <c r="A5357">
        <v>9</v>
      </c>
      <c r="B5357">
        <v>6</v>
      </c>
      <c r="C5357"/>
      <c r="D5357" t="s">
        <v>31</v>
      </c>
      <c r="E5357" t="s">
        <v>32</v>
      </c>
      <c r="F5357" t="s">
        <v>57</v>
      </c>
      <c r="G5357" s="118">
        <v>0.88052083333333331</v>
      </c>
      <c r="H5357" s="118">
        <v>3.4722222222222224E-4</v>
      </c>
      <c r="I5357" s="118">
        <v>9.3750000000000007E-4</v>
      </c>
      <c r="J5357" s="118">
        <v>7.0717592592592594E-3</v>
      </c>
      <c r="K5357" s="118">
        <v>7.0717592592592594E-3</v>
      </c>
    </row>
    <row r="5358" spans="1:11" x14ac:dyDescent="0.25">
      <c r="A5358">
        <v>4</v>
      </c>
      <c r="B5358">
        <v>19</v>
      </c>
      <c r="C5358"/>
      <c r="D5358" t="s">
        <v>31</v>
      </c>
      <c r="E5358" t="s">
        <v>32</v>
      </c>
      <c r="F5358" t="s">
        <v>53</v>
      </c>
      <c r="G5358" s="118">
        <v>0.88076388888888879</v>
      </c>
      <c r="H5358" s="118">
        <v>3.4722222222222224E-4</v>
      </c>
      <c r="I5358" s="118">
        <v>8.449074074074075E-4</v>
      </c>
      <c r="J5358" s="118">
        <v>7.0717592592592594E-3</v>
      </c>
      <c r="K5358" s="118">
        <v>7.0717592592592594E-3</v>
      </c>
    </row>
    <row r="5359" spans="1:11" x14ac:dyDescent="0.25">
      <c r="A5359">
        <v>2</v>
      </c>
      <c r="B5359">
        <v>19</v>
      </c>
      <c r="C5359"/>
      <c r="D5359" t="s">
        <v>31</v>
      </c>
      <c r="E5359" t="s">
        <v>35</v>
      </c>
      <c r="F5359" t="s">
        <v>40</v>
      </c>
      <c r="G5359" s="118">
        <v>0.88077546296296294</v>
      </c>
      <c r="H5359" s="118">
        <v>4.8611111111111104E-4</v>
      </c>
      <c r="I5359" s="118">
        <v>4.6296296296296293E-4</v>
      </c>
      <c r="J5359"/>
      <c r="K5359"/>
    </row>
    <row r="5360" spans="1:11" x14ac:dyDescent="0.25">
      <c r="A5360">
        <v>5</v>
      </c>
      <c r="B5360">
        <v>19</v>
      </c>
      <c r="C5360"/>
      <c r="D5360" t="s">
        <v>31</v>
      </c>
      <c r="E5360" t="s">
        <v>35</v>
      </c>
      <c r="F5360" t="s">
        <v>48</v>
      </c>
      <c r="G5360" s="118">
        <v>0.880925925925926</v>
      </c>
      <c r="H5360" s="118">
        <v>9.1435185185185185E-4</v>
      </c>
      <c r="I5360" s="118">
        <v>5.2083333333333333E-4</v>
      </c>
      <c r="J5360"/>
      <c r="K5360"/>
    </row>
    <row r="5361" spans="1:11" x14ac:dyDescent="0.25">
      <c r="A5361">
        <v>1</v>
      </c>
      <c r="B5361">
        <v>18</v>
      </c>
      <c r="C5361"/>
      <c r="D5361" t="s">
        <v>31</v>
      </c>
      <c r="E5361" t="s">
        <v>35</v>
      </c>
      <c r="F5361" t="s">
        <v>43</v>
      </c>
      <c r="G5361" s="118">
        <v>0.88107638888888884</v>
      </c>
      <c r="H5361" s="118">
        <v>1.0995370370370371E-3</v>
      </c>
      <c r="I5361" s="118">
        <v>3.4722222222222224E-4</v>
      </c>
      <c r="J5361"/>
      <c r="K5361"/>
    </row>
    <row r="5362" spans="1:11" x14ac:dyDescent="0.25">
      <c r="A5362">
        <v>2</v>
      </c>
      <c r="B5362">
        <v>19</v>
      </c>
      <c r="C5362"/>
      <c r="D5362" t="s">
        <v>31</v>
      </c>
      <c r="E5362" t="s">
        <v>32</v>
      </c>
      <c r="F5362" t="s">
        <v>40</v>
      </c>
      <c r="G5362" s="118">
        <v>0.88123842592592594</v>
      </c>
      <c r="H5362" s="118">
        <v>4.6296296296296293E-4</v>
      </c>
      <c r="I5362" s="118">
        <v>1.0069444444444444E-3</v>
      </c>
      <c r="J5362" s="118">
        <v>7.0717592592592594E-3</v>
      </c>
      <c r="K5362" s="118">
        <v>7.0717592592592594E-3</v>
      </c>
    </row>
    <row r="5363" spans="1:11" x14ac:dyDescent="0.25">
      <c r="A5363">
        <v>1</v>
      </c>
      <c r="B5363">
        <v>18</v>
      </c>
      <c r="C5363"/>
      <c r="D5363" t="s">
        <v>31</v>
      </c>
      <c r="E5363" t="s">
        <v>32</v>
      </c>
      <c r="F5363" t="s">
        <v>43</v>
      </c>
      <c r="G5363" s="118">
        <v>0.88142361111111101</v>
      </c>
      <c r="H5363" s="118">
        <v>3.4722222222222224E-4</v>
      </c>
      <c r="I5363" s="118">
        <v>1.1458333333333333E-3</v>
      </c>
      <c r="J5363" s="118">
        <v>7.0717592592592594E-3</v>
      </c>
      <c r="K5363" s="118">
        <v>7.0717592592592594E-3</v>
      </c>
    </row>
    <row r="5364" spans="1:11" x14ac:dyDescent="0.25">
      <c r="A5364">
        <v>5</v>
      </c>
      <c r="B5364">
        <v>19</v>
      </c>
      <c r="C5364"/>
      <c r="D5364" t="s">
        <v>31</v>
      </c>
      <c r="E5364" t="s">
        <v>32</v>
      </c>
      <c r="F5364" t="s">
        <v>48</v>
      </c>
      <c r="G5364" s="118">
        <v>0.8814467592592593</v>
      </c>
      <c r="H5364" s="118">
        <v>5.2083333333333333E-4</v>
      </c>
      <c r="I5364" s="118">
        <v>8.6805555555555551E-4</v>
      </c>
      <c r="J5364" s="118">
        <v>7.0717592592592594E-3</v>
      </c>
      <c r="K5364" s="118">
        <v>7.0717592592592594E-3</v>
      </c>
    </row>
    <row r="5365" spans="1:11" x14ac:dyDescent="0.25">
      <c r="A5365">
        <v>9</v>
      </c>
      <c r="B5365">
        <v>6</v>
      </c>
      <c r="C5365"/>
      <c r="D5365" t="s">
        <v>31</v>
      </c>
      <c r="E5365" t="s">
        <v>35</v>
      </c>
      <c r="F5365" t="s">
        <v>39</v>
      </c>
      <c r="G5365" s="118">
        <v>0.88145833333333334</v>
      </c>
      <c r="H5365" s="118">
        <v>9.3750000000000007E-4</v>
      </c>
      <c r="I5365" s="118">
        <v>5.2083333333333333E-4</v>
      </c>
      <c r="J5365"/>
      <c r="K5365"/>
    </row>
    <row r="5366" spans="1:11" x14ac:dyDescent="0.25">
      <c r="A5366">
        <v>4</v>
      </c>
      <c r="B5366">
        <v>19</v>
      </c>
      <c r="C5366"/>
      <c r="D5366" t="s">
        <v>31</v>
      </c>
      <c r="E5366" t="s">
        <v>35</v>
      </c>
      <c r="F5366" t="s">
        <v>34</v>
      </c>
      <c r="G5366" s="118">
        <v>0.88160879629629629</v>
      </c>
      <c r="H5366" s="118">
        <v>8.449074074074075E-4</v>
      </c>
      <c r="I5366" s="118">
        <v>3.4722222222222224E-4</v>
      </c>
      <c r="J5366"/>
      <c r="K5366"/>
    </row>
    <row r="5367" spans="1:11" x14ac:dyDescent="0.25">
      <c r="A5367">
        <v>4</v>
      </c>
      <c r="B5367">
        <v>19</v>
      </c>
      <c r="C5367"/>
      <c r="D5367" t="s">
        <v>31</v>
      </c>
      <c r="E5367" t="s">
        <v>32</v>
      </c>
      <c r="F5367" t="s">
        <v>34</v>
      </c>
      <c r="G5367" s="118">
        <v>0.88195601851851846</v>
      </c>
      <c r="H5367" s="118">
        <v>3.4722222222222224E-4</v>
      </c>
      <c r="I5367" s="118">
        <v>9.1435185185185185E-4</v>
      </c>
      <c r="J5367" s="118">
        <v>7.0717592592592594E-3</v>
      </c>
      <c r="K5367" s="118">
        <v>7.0717592592592594E-3</v>
      </c>
    </row>
    <row r="5368" spans="1:11" x14ac:dyDescent="0.25">
      <c r="A5368">
        <v>9</v>
      </c>
      <c r="B5368">
        <v>6</v>
      </c>
      <c r="C5368"/>
      <c r="D5368" t="s">
        <v>31</v>
      </c>
      <c r="E5368" t="s">
        <v>32</v>
      </c>
      <c r="F5368" t="s">
        <v>39</v>
      </c>
      <c r="G5368" s="118">
        <v>0.88197916666666665</v>
      </c>
      <c r="H5368" s="118">
        <v>5.2083333333333333E-4</v>
      </c>
      <c r="I5368" s="118">
        <v>1.8055555555555557E-3</v>
      </c>
      <c r="J5368" s="118">
        <v>7.0717592592592594E-3</v>
      </c>
      <c r="K5368" s="118">
        <v>7.0717592592592594E-3</v>
      </c>
    </row>
    <row r="5369" spans="1:11" x14ac:dyDescent="0.25">
      <c r="A5369">
        <v>2</v>
      </c>
      <c r="B5369">
        <v>19</v>
      </c>
      <c r="C5369"/>
      <c r="D5369" t="s">
        <v>31</v>
      </c>
      <c r="E5369" t="s">
        <v>35</v>
      </c>
      <c r="F5369" t="s">
        <v>44</v>
      </c>
      <c r="G5369" s="118">
        <v>0.88224537037037043</v>
      </c>
      <c r="H5369" s="118">
        <v>1.0069444444444444E-3</v>
      </c>
      <c r="I5369" s="118">
        <v>3.4722222222222224E-4</v>
      </c>
      <c r="J5369"/>
      <c r="K5369"/>
    </row>
    <row r="5370" spans="1:11" x14ac:dyDescent="0.25">
      <c r="A5370">
        <v>5</v>
      </c>
      <c r="B5370">
        <v>19</v>
      </c>
      <c r="C5370"/>
      <c r="D5370" t="s">
        <v>31</v>
      </c>
      <c r="E5370" t="s">
        <v>35</v>
      </c>
      <c r="F5370" t="s">
        <v>54</v>
      </c>
      <c r="G5370" s="118">
        <v>0.88231481481481477</v>
      </c>
      <c r="H5370" s="118">
        <v>8.6805555555555551E-4</v>
      </c>
      <c r="I5370" s="118">
        <v>3.4722222222222224E-4</v>
      </c>
      <c r="J5370"/>
      <c r="K5370"/>
    </row>
    <row r="5371" spans="1:11" x14ac:dyDescent="0.25">
      <c r="A5371">
        <v>1</v>
      </c>
      <c r="B5371">
        <v>18</v>
      </c>
      <c r="C5371"/>
      <c r="D5371" t="s">
        <v>31</v>
      </c>
      <c r="E5371" t="s">
        <v>35</v>
      </c>
      <c r="F5371" t="s">
        <v>50</v>
      </c>
      <c r="G5371" s="118">
        <v>0.88256944444444452</v>
      </c>
      <c r="H5371" s="118">
        <v>1.1458333333333333E-3</v>
      </c>
      <c r="I5371" s="118">
        <v>3.4722222222222224E-4</v>
      </c>
      <c r="J5371"/>
      <c r="K5371"/>
    </row>
    <row r="5372" spans="1:11" x14ac:dyDescent="0.25">
      <c r="A5372">
        <v>2</v>
      </c>
      <c r="B5372">
        <v>19</v>
      </c>
      <c r="C5372"/>
      <c r="D5372" t="s">
        <v>31</v>
      </c>
      <c r="E5372" t="s">
        <v>32</v>
      </c>
      <c r="F5372" t="s">
        <v>44</v>
      </c>
      <c r="G5372" s="118">
        <v>0.8825925925925926</v>
      </c>
      <c r="H5372" s="118">
        <v>3.4722222222222224E-4</v>
      </c>
      <c r="I5372" s="118">
        <v>9.2592592592592585E-4</v>
      </c>
      <c r="J5372" s="118">
        <v>7.0717592592592594E-3</v>
      </c>
      <c r="K5372" s="118">
        <v>7.0717592592592594E-3</v>
      </c>
    </row>
    <row r="5373" spans="1:11" x14ac:dyDescent="0.25">
      <c r="A5373">
        <v>5</v>
      </c>
      <c r="B5373">
        <v>19</v>
      </c>
      <c r="C5373"/>
      <c r="D5373" t="s">
        <v>31</v>
      </c>
      <c r="E5373" t="s">
        <v>32</v>
      </c>
      <c r="F5373" t="s">
        <v>54</v>
      </c>
      <c r="G5373" s="118">
        <v>0.88266203703703694</v>
      </c>
      <c r="H5373" s="118">
        <v>3.4722222222222224E-4</v>
      </c>
      <c r="I5373" s="118">
        <v>6.9444444444444447E-4</v>
      </c>
      <c r="J5373" s="118">
        <v>7.0717592592592594E-3</v>
      </c>
      <c r="K5373" s="118">
        <v>7.0717592592592594E-3</v>
      </c>
    </row>
    <row r="5374" spans="1:11" x14ac:dyDescent="0.25">
      <c r="A5374">
        <v>4</v>
      </c>
      <c r="B5374">
        <v>19</v>
      </c>
      <c r="C5374"/>
      <c r="D5374" t="s">
        <v>31</v>
      </c>
      <c r="E5374" t="s">
        <v>35</v>
      </c>
      <c r="F5374" t="s">
        <v>38</v>
      </c>
      <c r="G5374" s="118">
        <v>0.88287037037037042</v>
      </c>
      <c r="H5374" s="118">
        <v>9.1435185185185185E-4</v>
      </c>
      <c r="I5374" s="118">
        <v>3.4722222222222224E-4</v>
      </c>
      <c r="J5374"/>
      <c r="K5374"/>
    </row>
    <row r="5375" spans="1:11" x14ac:dyDescent="0.25">
      <c r="A5375">
        <v>1</v>
      </c>
      <c r="B5375">
        <v>18</v>
      </c>
      <c r="C5375"/>
      <c r="D5375" t="s">
        <v>31</v>
      </c>
      <c r="E5375" t="s">
        <v>32</v>
      </c>
      <c r="F5375" t="s">
        <v>50</v>
      </c>
      <c r="G5375" s="118">
        <v>0.88291666666666668</v>
      </c>
      <c r="H5375" s="118">
        <v>3.4722222222222224E-4</v>
      </c>
      <c r="I5375" s="118">
        <v>1.261574074074074E-3</v>
      </c>
      <c r="J5375" s="118">
        <v>7.0717592592592594E-3</v>
      </c>
      <c r="K5375" s="118">
        <v>7.0717592592592594E-3</v>
      </c>
    </row>
    <row r="5376" spans="1:11" x14ac:dyDescent="0.25">
      <c r="A5376">
        <v>4</v>
      </c>
      <c r="B5376">
        <v>19</v>
      </c>
      <c r="C5376"/>
      <c r="D5376" t="s">
        <v>31</v>
      </c>
      <c r="E5376" t="s">
        <v>32</v>
      </c>
      <c r="F5376" t="s">
        <v>38</v>
      </c>
      <c r="G5376" s="118">
        <v>0.88321759259259258</v>
      </c>
      <c r="H5376" s="118">
        <v>3.4722222222222224E-4</v>
      </c>
      <c r="I5376" s="118">
        <v>1.2384259259259258E-3</v>
      </c>
      <c r="J5376" s="118">
        <v>7.0717592592592594E-3</v>
      </c>
      <c r="K5376" s="118">
        <v>7.0717592592592594E-3</v>
      </c>
    </row>
    <row r="5377" spans="1:11" x14ac:dyDescent="0.25">
      <c r="A5377">
        <v>5</v>
      </c>
      <c r="B5377">
        <v>19</v>
      </c>
      <c r="C5377"/>
      <c r="D5377" t="s">
        <v>31</v>
      </c>
      <c r="E5377" t="s">
        <v>35</v>
      </c>
      <c r="F5377" t="s">
        <v>92</v>
      </c>
      <c r="G5377" s="118">
        <v>0.88335648148148149</v>
      </c>
      <c r="H5377" s="118">
        <v>6.9444444444444447E-4</v>
      </c>
      <c r="I5377" s="118">
        <v>5.2083333333333333E-4</v>
      </c>
      <c r="J5377"/>
      <c r="K5377"/>
    </row>
    <row r="5378" spans="1:11" x14ac:dyDescent="0.25">
      <c r="A5378">
        <v>2</v>
      </c>
      <c r="B5378">
        <v>19</v>
      </c>
      <c r="C5378"/>
      <c r="D5378" t="s">
        <v>31</v>
      </c>
      <c r="E5378" t="s">
        <v>35</v>
      </c>
      <c r="F5378" t="s">
        <v>49</v>
      </c>
      <c r="G5378" s="118">
        <v>0.88351851851851848</v>
      </c>
      <c r="H5378" s="118">
        <v>9.2592592592592585E-4</v>
      </c>
      <c r="I5378" s="118">
        <v>3.4722222222222224E-4</v>
      </c>
      <c r="J5378"/>
      <c r="K5378"/>
    </row>
    <row r="5379" spans="1:11" x14ac:dyDescent="0.25">
      <c r="A5379">
        <v>9</v>
      </c>
      <c r="B5379">
        <v>6</v>
      </c>
      <c r="C5379"/>
      <c r="D5379" t="s">
        <v>31</v>
      </c>
      <c r="E5379" t="s">
        <v>35</v>
      </c>
      <c r="F5379" t="s">
        <v>46</v>
      </c>
      <c r="G5379" s="118">
        <v>0.88378472222222226</v>
      </c>
      <c r="H5379" s="118">
        <v>1.8055555555555557E-3</v>
      </c>
      <c r="I5379" s="118">
        <v>3.4722222222222224E-4</v>
      </c>
      <c r="J5379"/>
      <c r="K5379"/>
    </row>
    <row r="5380" spans="1:11" x14ac:dyDescent="0.25">
      <c r="A5380">
        <v>2</v>
      </c>
      <c r="B5380">
        <v>19</v>
      </c>
      <c r="C5380"/>
      <c r="D5380" t="s">
        <v>31</v>
      </c>
      <c r="E5380" t="s">
        <v>32</v>
      </c>
      <c r="F5380" t="s">
        <v>49</v>
      </c>
      <c r="G5380" s="118">
        <v>0.88386574074074076</v>
      </c>
      <c r="H5380" s="118">
        <v>3.4722222222222224E-4</v>
      </c>
      <c r="I5380" s="118">
        <v>1.3541666666666667E-3</v>
      </c>
      <c r="J5380" s="118">
        <v>7.0717592592592594E-3</v>
      </c>
      <c r="K5380" s="118">
        <v>7.0717592592592594E-3</v>
      </c>
    </row>
    <row r="5381" spans="1:11" x14ac:dyDescent="0.25">
      <c r="A5381">
        <v>5</v>
      </c>
      <c r="B5381">
        <v>20</v>
      </c>
      <c r="C5381"/>
      <c r="D5381" t="s">
        <v>31</v>
      </c>
      <c r="E5381" t="s">
        <v>32</v>
      </c>
      <c r="F5381" t="s">
        <v>92</v>
      </c>
      <c r="G5381" s="118">
        <v>0.8838773148148148</v>
      </c>
      <c r="H5381" s="118">
        <v>5.2083333333333333E-4</v>
      </c>
      <c r="I5381" s="118">
        <v>1.0069444444444444E-3</v>
      </c>
      <c r="J5381" s="118">
        <v>7.0717592592592594E-3</v>
      </c>
      <c r="K5381" s="118">
        <v>7.0717592592592594E-3</v>
      </c>
    </row>
    <row r="5382" spans="1:11" x14ac:dyDescent="0.25">
      <c r="A5382">
        <v>9</v>
      </c>
      <c r="B5382">
        <v>6</v>
      </c>
      <c r="C5382"/>
      <c r="D5382" t="s">
        <v>31</v>
      </c>
      <c r="E5382" t="s">
        <v>32</v>
      </c>
      <c r="F5382" t="s">
        <v>46</v>
      </c>
      <c r="G5382" s="118">
        <v>0.88413194444444443</v>
      </c>
      <c r="H5382" s="118">
        <v>3.4722222222222224E-4</v>
      </c>
      <c r="I5382" s="118">
        <v>9.1435185185185185E-4</v>
      </c>
      <c r="J5382" s="118">
        <v>7.0717592592592594E-3</v>
      </c>
      <c r="K5382" s="118">
        <v>7.0717592592592594E-3</v>
      </c>
    </row>
    <row r="5383" spans="1:11" x14ac:dyDescent="0.25">
      <c r="A5383">
        <v>1</v>
      </c>
      <c r="B5383">
        <v>18</v>
      </c>
      <c r="C5383"/>
      <c r="D5383" t="s">
        <v>31</v>
      </c>
      <c r="E5383" t="s">
        <v>35</v>
      </c>
      <c r="F5383" t="s">
        <v>56</v>
      </c>
      <c r="G5383" s="118">
        <v>0.8841782407407407</v>
      </c>
      <c r="H5383" s="118">
        <v>1.261574074074074E-3</v>
      </c>
      <c r="I5383" s="118">
        <v>3.4722222222222224E-4</v>
      </c>
      <c r="J5383"/>
      <c r="K5383"/>
    </row>
    <row r="5384" spans="1:11" x14ac:dyDescent="0.25">
      <c r="A5384">
        <v>4</v>
      </c>
      <c r="B5384">
        <v>19</v>
      </c>
      <c r="C5384"/>
      <c r="D5384" t="s">
        <v>31</v>
      </c>
      <c r="E5384" t="s">
        <v>35</v>
      </c>
      <c r="F5384" t="s">
        <v>45</v>
      </c>
      <c r="G5384" s="118">
        <v>0.88445601851851852</v>
      </c>
      <c r="H5384" s="118">
        <v>1.2384259259259258E-3</v>
      </c>
      <c r="I5384" s="118">
        <v>3.4722222222222224E-4</v>
      </c>
      <c r="J5384"/>
      <c r="K5384"/>
    </row>
    <row r="5385" spans="1:11" x14ac:dyDescent="0.25">
      <c r="A5385">
        <v>1</v>
      </c>
      <c r="B5385">
        <v>18</v>
      </c>
      <c r="C5385"/>
      <c r="D5385" t="s">
        <v>31</v>
      </c>
      <c r="E5385" t="s">
        <v>32</v>
      </c>
      <c r="F5385" t="s">
        <v>56</v>
      </c>
      <c r="G5385" s="118">
        <v>0.88452546296296297</v>
      </c>
      <c r="H5385" s="118">
        <v>3.4722222222222224E-4</v>
      </c>
      <c r="I5385" s="118">
        <v>9.6064814814814808E-4</v>
      </c>
      <c r="J5385" s="118">
        <v>7.0717592592592594E-3</v>
      </c>
      <c r="K5385" s="118">
        <v>7.0717592592592594E-3</v>
      </c>
    </row>
    <row r="5386" spans="1:11" x14ac:dyDescent="0.25">
      <c r="A5386">
        <v>4</v>
      </c>
      <c r="B5386">
        <v>19</v>
      </c>
      <c r="C5386"/>
      <c r="D5386" t="s">
        <v>31</v>
      </c>
      <c r="E5386" t="s">
        <v>32</v>
      </c>
      <c r="F5386" t="s">
        <v>45</v>
      </c>
      <c r="G5386" s="118">
        <v>0.88480324074074079</v>
      </c>
      <c r="H5386" s="118">
        <v>3.4722222222222224E-4</v>
      </c>
      <c r="I5386" s="118">
        <v>1.0416666666666667E-3</v>
      </c>
      <c r="J5386" s="118">
        <v>7.0717592592592594E-3</v>
      </c>
      <c r="K5386" s="118">
        <v>7.0717592592592594E-3</v>
      </c>
    </row>
    <row r="5387" spans="1:11" x14ac:dyDescent="0.25">
      <c r="A5387">
        <v>5</v>
      </c>
      <c r="B5387">
        <v>20</v>
      </c>
      <c r="C5387"/>
      <c r="D5387" t="s">
        <v>31</v>
      </c>
      <c r="E5387" t="s">
        <v>35</v>
      </c>
      <c r="F5387" t="s">
        <v>41</v>
      </c>
      <c r="G5387" s="118">
        <v>0.88488425925925929</v>
      </c>
      <c r="H5387" s="118">
        <v>1.0069444444444444E-3</v>
      </c>
      <c r="I5387" s="118">
        <v>3.4722222222222224E-4</v>
      </c>
      <c r="J5387"/>
      <c r="K5387"/>
    </row>
    <row r="5388" spans="1:11" x14ac:dyDescent="0.25">
      <c r="A5388">
        <v>9</v>
      </c>
      <c r="B5388">
        <v>6</v>
      </c>
      <c r="C5388"/>
      <c r="D5388" t="s">
        <v>31</v>
      </c>
      <c r="E5388" t="s">
        <v>35</v>
      </c>
      <c r="F5388" t="s">
        <v>51</v>
      </c>
      <c r="G5388" s="118">
        <v>0.88504629629629628</v>
      </c>
      <c r="H5388" s="118">
        <v>9.1435185185185185E-4</v>
      </c>
      <c r="I5388" s="118">
        <v>3.4722222222222224E-4</v>
      </c>
      <c r="J5388"/>
      <c r="K5388"/>
    </row>
    <row r="5389" spans="1:11" x14ac:dyDescent="0.25">
      <c r="A5389">
        <v>2</v>
      </c>
      <c r="B5389">
        <v>19</v>
      </c>
      <c r="C5389"/>
      <c r="D5389" t="s">
        <v>31</v>
      </c>
      <c r="E5389" t="s">
        <v>35</v>
      </c>
      <c r="F5389" t="s">
        <v>33</v>
      </c>
      <c r="G5389" s="118">
        <v>0.8852199074074073</v>
      </c>
      <c r="H5389" s="118">
        <v>1.3541666666666667E-3</v>
      </c>
      <c r="I5389" s="118">
        <v>5.2083333333333333E-4</v>
      </c>
      <c r="J5389"/>
      <c r="K5389"/>
    </row>
    <row r="5390" spans="1:11" x14ac:dyDescent="0.25">
      <c r="A5390">
        <v>5</v>
      </c>
      <c r="B5390">
        <v>20</v>
      </c>
      <c r="C5390"/>
      <c r="D5390" t="s">
        <v>31</v>
      </c>
      <c r="E5390" t="s">
        <v>32</v>
      </c>
      <c r="F5390" t="s">
        <v>41</v>
      </c>
      <c r="G5390" s="118">
        <v>0.88523148148148145</v>
      </c>
      <c r="H5390" s="118">
        <v>3.4722222222222224E-4</v>
      </c>
      <c r="I5390" s="118">
        <v>8.564814814814815E-4</v>
      </c>
      <c r="J5390" s="118">
        <v>7.0717592592592594E-3</v>
      </c>
      <c r="K5390" s="118">
        <v>7.0717592592592594E-3</v>
      </c>
    </row>
    <row r="5391" spans="1:11" x14ac:dyDescent="0.25">
      <c r="A5391">
        <v>9</v>
      </c>
      <c r="B5391">
        <v>6</v>
      </c>
      <c r="C5391"/>
      <c r="D5391" t="s">
        <v>31</v>
      </c>
      <c r="E5391" t="s">
        <v>32</v>
      </c>
      <c r="F5391" t="s">
        <v>51</v>
      </c>
      <c r="G5391" s="118">
        <v>0.88539351851851855</v>
      </c>
      <c r="H5391" s="118">
        <v>3.4722222222222224E-4</v>
      </c>
      <c r="I5391" s="118">
        <v>1.0069444444444444E-3</v>
      </c>
      <c r="J5391" s="118">
        <v>7.0717592592592594E-3</v>
      </c>
      <c r="K5391" s="118">
        <v>7.0717592592592594E-3</v>
      </c>
    </row>
    <row r="5392" spans="1:11" x14ac:dyDescent="0.25">
      <c r="A5392">
        <v>1</v>
      </c>
      <c r="B5392">
        <v>18</v>
      </c>
      <c r="C5392"/>
      <c r="D5392" t="s">
        <v>31</v>
      </c>
      <c r="E5392" t="s">
        <v>35</v>
      </c>
      <c r="F5392" t="s">
        <v>37</v>
      </c>
      <c r="G5392" s="118">
        <v>0.88548611111111108</v>
      </c>
      <c r="H5392" s="118">
        <v>9.6064814814814808E-4</v>
      </c>
      <c r="I5392" s="118">
        <v>3.4722222222222224E-4</v>
      </c>
      <c r="J5392"/>
      <c r="K5392"/>
    </row>
    <row r="5393" spans="1:11" x14ac:dyDescent="0.25">
      <c r="A5393">
        <v>2</v>
      </c>
      <c r="B5393">
        <v>19</v>
      </c>
      <c r="C5393"/>
      <c r="D5393" t="s">
        <v>31</v>
      </c>
      <c r="E5393" t="s">
        <v>32</v>
      </c>
      <c r="F5393" t="s">
        <v>33</v>
      </c>
      <c r="G5393" s="118">
        <v>0.88574074074074083</v>
      </c>
      <c r="H5393" s="118">
        <v>5.2083333333333333E-4</v>
      </c>
      <c r="I5393" s="118">
        <v>9.6064814814814808E-4</v>
      </c>
      <c r="J5393" s="118">
        <v>7.0717592592592594E-3</v>
      </c>
      <c r="K5393" s="118">
        <v>7.0717592592592594E-3</v>
      </c>
    </row>
    <row r="5394" spans="1:11" x14ac:dyDescent="0.25">
      <c r="A5394">
        <v>1</v>
      </c>
      <c r="B5394">
        <v>18</v>
      </c>
      <c r="C5394"/>
      <c r="D5394" t="s">
        <v>31</v>
      </c>
      <c r="E5394" t="s">
        <v>32</v>
      </c>
      <c r="F5394" t="s">
        <v>37</v>
      </c>
      <c r="G5394" s="118">
        <v>0.88583333333333336</v>
      </c>
      <c r="H5394" s="118">
        <v>3.4722222222222224E-4</v>
      </c>
      <c r="I5394" s="118">
        <v>9.0277777777777784E-4</v>
      </c>
      <c r="J5394" s="118">
        <v>7.0717592592592594E-3</v>
      </c>
      <c r="K5394" s="118">
        <v>7.0717592592592594E-3</v>
      </c>
    </row>
    <row r="5395" spans="1:11" x14ac:dyDescent="0.25">
      <c r="A5395">
        <v>4</v>
      </c>
      <c r="B5395">
        <v>19</v>
      </c>
      <c r="C5395"/>
      <c r="D5395" t="s">
        <v>31</v>
      </c>
      <c r="E5395" t="s">
        <v>35</v>
      </c>
      <c r="F5395" t="s">
        <v>52</v>
      </c>
      <c r="G5395" s="118">
        <v>0.8858449074074074</v>
      </c>
      <c r="H5395" s="118">
        <v>1.0416666666666667E-3</v>
      </c>
      <c r="I5395" s="118">
        <v>3.4722222222222224E-4</v>
      </c>
      <c r="J5395"/>
      <c r="K5395"/>
    </row>
    <row r="5396" spans="1:11" x14ac:dyDescent="0.25">
      <c r="A5396">
        <v>5</v>
      </c>
      <c r="B5396">
        <v>20</v>
      </c>
      <c r="C5396"/>
      <c r="D5396" t="s">
        <v>31</v>
      </c>
      <c r="E5396" t="s">
        <v>35</v>
      </c>
      <c r="F5396" t="s">
        <v>47</v>
      </c>
      <c r="G5396" s="118">
        <v>0.88608796296296299</v>
      </c>
      <c r="H5396" s="118">
        <v>8.564814814814815E-4</v>
      </c>
      <c r="I5396" s="118">
        <v>5.2083333333333333E-4</v>
      </c>
      <c r="J5396"/>
      <c r="K5396"/>
    </row>
    <row r="5397" spans="1:11" x14ac:dyDescent="0.25">
      <c r="A5397">
        <v>4</v>
      </c>
      <c r="B5397">
        <v>19</v>
      </c>
      <c r="C5397"/>
      <c r="D5397" t="s">
        <v>31</v>
      </c>
      <c r="E5397" t="s">
        <v>32</v>
      </c>
      <c r="F5397" t="s">
        <v>52</v>
      </c>
      <c r="G5397" s="118">
        <v>0.88619212962962957</v>
      </c>
      <c r="H5397" s="118">
        <v>3.4722222222222224E-4</v>
      </c>
      <c r="I5397" s="118">
        <v>1.0532407407407407E-3</v>
      </c>
      <c r="J5397" s="118">
        <v>7.0717592592592594E-3</v>
      </c>
      <c r="K5397" s="118">
        <v>7.0717592592592594E-3</v>
      </c>
    </row>
    <row r="5398" spans="1:11" x14ac:dyDescent="0.25">
      <c r="A5398">
        <v>9</v>
      </c>
      <c r="B5398">
        <v>6</v>
      </c>
      <c r="C5398"/>
      <c r="D5398" t="s">
        <v>31</v>
      </c>
      <c r="E5398" t="s">
        <v>35</v>
      </c>
      <c r="F5398" t="s">
        <v>55</v>
      </c>
      <c r="G5398" s="118">
        <v>0.88640046296296304</v>
      </c>
      <c r="H5398" s="118">
        <v>1.0069444444444444E-3</v>
      </c>
      <c r="I5398" s="118">
        <v>4.6296296296296293E-4</v>
      </c>
      <c r="J5398"/>
      <c r="K5398"/>
    </row>
    <row r="5399" spans="1:11" x14ac:dyDescent="0.25">
      <c r="A5399">
        <v>5</v>
      </c>
      <c r="B5399">
        <v>20</v>
      </c>
      <c r="C5399"/>
      <c r="D5399" t="s">
        <v>31</v>
      </c>
      <c r="E5399" t="s">
        <v>32</v>
      </c>
      <c r="F5399" t="s">
        <v>47</v>
      </c>
      <c r="G5399" s="118">
        <v>0.8866087962962963</v>
      </c>
      <c r="H5399" s="118">
        <v>5.2083333333333333E-4</v>
      </c>
      <c r="I5399" s="118">
        <v>8.7962962962962962E-4</v>
      </c>
      <c r="J5399" s="118">
        <v>7.0717592592592594E-3</v>
      </c>
      <c r="K5399" s="118">
        <v>7.0717592592592594E-3</v>
      </c>
    </row>
    <row r="5400" spans="1:11" x14ac:dyDescent="0.25">
      <c r="A5400">
        <v>2</v>
      </c>
      <c r="B5400">
        <v>19</v>
      </c>
      <c r="C5400"/>
      <c r="D5400" t="s">
        <v>31</v>
      </c>
      <c r="E5400" t="s">
        <v>35</v>
      </c>
      <c r="F5400" t="s">
        <v>36</v>
      </c>
      <c r="G5400" s="118">
        <v>0.88670138888888894</v>
      </c>
      <c r="H5400" s="118">
        <v>9.6064814814814808E-4</v>
      </c>
      <c r="I5400" s="118">
        <v>3.4722222222222224E-4</v>
      </c>
      <c r="J5400"/>
      <c r="K5400"/>
    </row>
    <row r="5401" spans="1:11" x14ac:dyDescent="0.25">
      <c r="A5401">
        <v>1</v>
      </c>
      <c r="B5401">
        <v>18</v>
      </c>
      <c r="C5401"/>
      <c r="D5401" t="s">
        <v>31</v>
      </c>
      <c r="E5401" t="s">
        <v>35</v>
      </c>
      <c r="F5401" t="s">
        <v>42</v>
      </c>
      <c r="G5401" s="118">
        <v>0.88673611111111106</v>
      </c>
      <c r="H5401" s="118">
        <v>9.0277777777777784E-4</v>
      </c>
      <c r="I5401" s="118">
        <v>3.4722222222222224E-4</v>
      </c>
      <c r="J5401"/>
      <c r="K5401"/>
    </row>
    <row r="5402" spans="1:11" x14ac:dyDescent="0.25">
      <c r="A5402">
        <v>9</v>
      </c>
      <c r="B5402">
        <v>6</v>
      </c>
      <c r="C5402"/>
      <c r="D5402" t="s">
        <v>31</v>
      </c>
      <c r="E5402" t="s">
        <v>32</v>
      </c>
      <c r="F5402" t="s">
        <v>55</v>
      </c>
      <c r="G5402" s="118">
        <v>0.88686342592592593</v>
      </c>
      <c r="H5402" s="118">
        <v>4.6296296296296293E-4</v>
      </c>
      <c r="I5402" s="118">
        <v>4.3981481481481481E-4</v>
      </c>
      <c r="J5402" s="118">
        <v>7.0717592592592594E-3</v>
      </c>
      <c r="K5402" s="118">
        <v>7.0717592592592594E-3</v>
      </c>
    </row>
    <row r="5403" spans="1:11" x14ac:dyDescent="0.25">
      <c r="A5403">
        <v>2</v>
      </c>
      <c r="B5403">
        <v>19</v>
      </c>
      <c r="C5403"/>
      <c r="D5403" t="s">
        <v>31</v>
      </c>
      <c r="E5403" t="s">
        <v>32</v>
      </c>
      <c r="F5403" t="s">
        <v>36</v>
      </c>
      <c r="G5403" s="118">
        <v>0.88704861111111111</v>
      </c>
      <c r="H5403" s="118">
        <v>3.4722222222222224E-4</v>
      </c>
      <c r="I5403" s="118">
        <v>1.0995370370370371E-3</v>
      </c>
      <c r="J5403" s="118">
        <v>7.0717592592592594E-3</v>
      </c>
      <c r="K5403" s="118">
        <v>7.0717592592592594E-3</v>
      </c>
    </row>
    <row r="5404" spans="1:11" x14ac:dyDescent="0.25">
      <c r="A5404">
        <v>1</v>
      </c>
      <c r="B5404">
        <v>18</v>
      </c>
      <c r="C5404"/>
      <c r="D5404" t="s">
        <v>31</v>
      </c>
      <c r="E5404" t="s">
        <v>32</v>
      </c>
      <c r="F5404" t="s">
        <v>42</v>
      </c>
      <c r="G5404" s="118">
        <v>0.88708333333333333</v>
      </c>
      <c r="H5404" s="118">
        <v>3.4722222222222224E-4</v>
      </c>
      <c r="I5404" s="118">
        <v>9.1435185185185185E-4</v>
      </c>
      <c r="J5404" s="118">
        <v>7.0717592592592594E-3</v>
      </c>
      <c r="K5404" s="118">
        <v>7.0717592592592594E-3</v>
      </c>
    </row>
    <row r="5405" spans="1:11" x14ac:dyDescent="0.25">
      <c r="A5405">
        <v>4</v>
      </c>
      <c r="B5405">
        <v>19</v>
      </c>
      <c r="C5405"/>
      <c r="D5405" t="s">
        <v>31</v>
      </c>
      <c r="E5405" t="s">
        <v>35</v>
      </c>
      <c r="F5405" t="s">
        <v>57</v>
      </c>
      <c r="G5405" s="118">
        <v>0.88724537037037043</v>
      </c>
      <c r="H5405" s="118">
        <v>1.0532407407407407E-3</v>
      </c>
      <c r="I5405" s="118">
        <v>3.4722222222222224E-4</v>
      </c>
      <c r="J5405"/>
      <c r="K5405"/>
    </row>
    <row r="5406" spans="1:11" x14ac:dyDescent="0.25">
      <c r="A5406">
        <v>9</v>
      </c>
      <c r="B5406">
        <v>6</v>
      </c>
      <c r="C5406"/>
      <c r="D5406" t="s">
        <v>31</v>
      </c>
      <c r="E5406" t="s">
        <v>35</v>
      </c>
      <c r="F5406" t="s">
        <v>58</v>
      </c>
      <c r="G5406" s="118">
        <v>0.88730324074074074</v>
      </c>
      <c r="H5406" s="118">
        <v>4.3981481481481481E-4</v>
      </c>
      <c r="I5406" s="118">
        <v>5.7870370370370366E-5</v>
      </c>
      <c r="J5406"/>
      <c r="K5406"/>
    </row>
    <row r="5407" spans="1:11" x14ac:dyDescent="0.25">
      <c r="A5407">
        <v>9</v>
      </c>
      <c r="B5407">
        <v>6</v>
      </c>
      <c r="C5407"/>
      <c r="D5407" t="s">
        <v>31</v>
      </c>
      <c r="E5407" t="s">
        <v>32</v>
      </c>
      <c r="F5407" t="s">
        <v>58</v>
      </c>
      <c r="G5407" s="118">
        <v>0.88736111111111116</v>
      </c>
      <c r="H5407" s="118">
        <v>5.7870370370370366E-5</v>
      </c>
      <c r="I5407" s="118">
        <v>4.8611111111111104E-4</v>
      </c>
      <c r="J5407" s="118">
        <v>7.0717592592592594E-3</v>
      </c>
      <c r="K5407" s="118">
        <v>7.0717592592592594E-3</v>
      </c>
    </row>
    <row r="5408" spans="1:11" x14ac:dyDescent="0.25">
      <c r="A5408">
        <v>5</v>
      </c>
      <c r="B5408">
        <v>20</v>
      </c>
      <c r="C5408"/>
      <c r="D5408" t="s">
        <v>31</v>
      </c>
      <c r="E5408" t="s">
        <v>35</v>
      </c>
      <c r="F5408" t="s">
        <v>53</v>
      </c>
      <c r="G5408" s="118">
        <v>0.88748842592592592</v>
      </c>
      <c r="H5408" s="118">
        <v>8.7962962962962962E-4</v>
      </c>
      <c r="I5408" s="118">
        <v>3.4722222222222224E-4</v>
      </c>
      <c r="J5408"/>
      <c r="K5408"/>
    </row>
    <row r="5409" spans="1:11" x14ac:dyDescent="0.25">
      <c r="A5409">
        <v>4</v>
      </c>
      <c r="B5409">
        <v>19</v>
      </c>
      <c r="C5409"/>
      <c r="D5409" t="s">
        <v>31</v>
      </c>
      <c r="E5409" t="s">
        <v>32</v>
      </c>
      <c r="F5409" t="s">
        <v>57</v>
      </c>
      <c r="G5409" s="118">
        <v>0.8875925925925926</v>
      </c>
      <c r="H5409" s="118">
        <v>3.4722222222222224E-4</v>
      </c>
      <c r="I5409" s="118">
        <v>9.3750000000000007E-4</v>
      </c>
      <c r="J5409" s="118">
        <v>7.0717592592592594E-3</v>
      </c>
      <c r="K5409" s="118">
        <v>7.0717592592592594E-3</v>
      </c>
    </row>
    <row r="5410" spans="1:11" x14ac:dyDescent="0.25">
      <c r="A5410">
        <v>5</v>
      </c>
      <c r="B5410">
        <v>20</v>
      </c>
      <c r="C5410"/>
      <c r="D5410" t="s">
        <v>31</v>
      </c>
      <c r="E5410" t="s">
        <v>32</v>
      </c>
      <c r="F5410" t="s">
        <v>53</v>
      </c>
      <c r="G5410" s="118">
        <v>0.88783564814814808</v>
      </c>
      <c r="H5410" s="118">
        <v>3.4722222222222224E-4</v>
      </c>
      <c r="I5410" s="118">
        <v>8.449074074074075E-4</v>
      </c>
      <c r="J5410" s="118">
        <v>7.0717592592592594E-3</v>
      </c>
      <c r="K5410" s="118">
        <v>7.0717592592592594E-3</v>
      </c>
    </row>
    <row r="5411" spans="1:11" x14ac:dyDescent="0.25">
      <c r="A5411">
        <v>9</v>
      </c>
      <c r="B5411">
        <v>6</v>
      </c>
      <c r="C5411"/>
      <c r="D5411" t="s">
        <v>31</v>
      </c>
      <c r="E5411" t="s">
        <v>35</v>
      </c>
      <c r="F5411" t="s">
        <v>40</v>
      </c>
      <c r="G5411" s="118">
        <v>0.88784722222222223</v>
      </c>
      <c r="H5411" s="118">
        <v>4.8611111111111104E-4</v>
      </c>
      <c r="I5411" s="118">
        <v>4.6296296296296293E-4</v>
      </c>
      <c r="J5411"/>
      <c r="K5411"/>
    </row>
    <row r="5412" spans="1:11" x14ac:dyDescent="0.25">
      <c r="A5412">
        <v>1</v>
      </c>
      <c r="B5412">
        <v>18</v>
      </c>
      <c r="C5412"/>
      <c r="D5412" t="s">
        <v>31</v>
      </c>
      <c r="E5412" t="s">
        <v>35</v>
      </c>
      <c r="F5412" t="s">
        <v>48</v>
      </c>
      <c r="G5412" s="118">
        <v>0.88799768518518529</v>
      </c>
      <c r="H5412" s="118">
        <v>9.1435185185185185E-4</v>
      </c>
      <c r="I5412" s="118">
        <v>5.2083333333333333E-4</v>
      </c>
      <c r="J5412"/>
      <c r="K5412"/>
    </row>
    <row r="5413" spans="1:11" x14ac:dyDescent="0.25">
      <c r="A5413">
        <v>2</v>
      </c>
      <c r="B5413">
        <v>19</v>
      </c>
      <c r="C5413"/>
      <c r="D5413" t="s">
        <v>31</v>
      </c>
      <c r="E5413" t="s">
        <v>35</v>
      </c>
      <c r="F5413" t="s">
        <v>43</v>
      </c>
      <c r="G5413" s="118">
        <v>0.88814814814814813</v>
      </c>
      <c r="H5413" s="118">
        <v>1.0995370370370371E-3</v>
      </c>
      <c r="I5413" s="118">
        <v>3.4722222222222224E-4</v>
      </c>
      <c r="J5413"/>
      <c r="K5413"/>
    </row>
    <row r="5414" spans="1:11" x14ac:dyDescent="0.25">
      <c r="A5414">
        <v>9</v>
      </c>
      <c r="B5414">
        <v>6</v>
      </c>
      <c r="C5414"/>
      <c r="D5414" t="s">
        <v>31</v>
      </c>
      <c r="E5414" t="s">
        <v>32</v>
      </c>
      <c r="F5414" t="s">
        <v>40</v>
      </c>
      <c r="G5414" s="118">
        <v>0.88831018518518512</v>
      </c>
      <c r="H5414" s="118">
        <v>4.6296296296296293E-4</v>
      </c>
      <c r="I5414" s="118">
        <v>1.0069444444444444E-3</v>
      </c>
      <c r="J5414" s="118">
        <v>7.0717592592592594E-3</v>
      </c>
      <c r="K5414" s="118">
        <v>7.0717592592592594E-3</v>
      </c>
    </row>
    <row r="5415" spans="1:11" x14ac:dyDescent="0.25">
      <c r="A5415">
        <v>2</v>
      </c>
      <c r="B5415">
        <v>19</v>
      </c>
      <c r="C5415"/>
      <c r="D5415" t="s">
        <v>31</v>
      </c>
      <c r="E5415" t="s">
        <v>32</v>
      </c>
      <c r="F5415" t="s">
        <v>43</v>
      </c>
      <c r="G5415" s="118">
        <v>0.8884953703703703</v>
      </c>
      <c r="H5415" s="118">
        <v>3.4722222222222224E-4</v>
      </c>
      <c r="I5415" s="118">
        <v>1.1458333333333333E-3</v>
      </c>
      <c r="J5415" s="118">
        <v>7.0717592592592594E-3</v>
      </c>
      <c r="K5415" s="118">
        <v>7.0717592592592594E-3</v>
      </c>
    </row>
    <row r="5416" spans="1:11" x14ac:dyDescent="0.25">
      <c r="A5416">
        <v>1</v>
      </c>
      <c r="B5416">
        <v>18</v>
      </c>
      <c r="C5416"/>
      <c r="D5416" t="s">
        <v>31</v>
      </c>
      <c r="E5416" t="s">
        <v>32</v>
      </c>
      <c r="F5416" t="s">
        <v>48</v>
      </c>
      <c r="G5416" s="118">
        <v>0.8885185185185186</v>
      </c>
      <c r="H5416" s="118">
        <v>5.2083333333333333E-4</v>
      </c>
      <c r="I5416" s="118">
        <v>8.6805555555555551E-4</v>
      </c>
      <c r="J5416" s="118">
        <v>7.0717592592592594E-3</v>
      </c>
      <c r="K5416" s="118">
        <v>7.0717592592592594E-3</v>
      </c>
    </row>
    <row r="5417" spans="1:11" x14ac:dyDescent="0.25">
      <c r="A5417">
        <v>4</v>
      </c>
      <c r="B5417">
        <v>19</v>
      </c>
      <c r="C5417"/>
      <c r="D5417" t="s">
        <v>31</v>
      </c>
      <c r="E5417" t="s">
        <v>35</v>
      </c>
      <c r="F5417" t="s">
        <v>39</v>
      </c>
      <c r="G5417" s="118">
        <v>0.88853009259259252</v>
      </c>
      <c r="H5417" s="118">
        <v>9.3750000000000007E-4</v>
      </c>
      <c r="I5417" s="118">
        <v>5.2083333333333333E-4</v>
      </c>
      <c r="J5417"/>
      <c r="K5417"/>
    </row>
    <row r="5418" spans="1:11" x14ac:dyDescent="0.25">
      <c r="A5418">
        <v>5</v>
      </c>
      <c r="B5418">
        <v>20</v>
      </c>
      <c r="C5418"/>
      <c r="D5418" t="s">
        <v>31</v>
      </c>
      <c r="E5418" t="s">
        <v>35</v>
      </c>
      <c r="F5418" t="s">
        <v>34</v>
      </c>
      <c r="G5418" s="118">
        <v>0.88868055555555558</v>
      </c>
      <c r="H5418" s="118">
        <v>8.449074074074075E-4</v>
      </c>
      <c r="I5418" s="118">
        <v>3.4722222222222224E-4</v>
      </c>
      <c r="J5418"/>
      <c r="K5418"/>
    </row>
    <row r="5419" spans="1:11" x14ac:dyDescent="0.25">
      <c r="A5419">
        <v>5</v>
      </c>
      <c r="B5419">
        <v>20</v>
      </c>
      <c r="C5419"/>
      <c r="D5419" t="s">
        <v>31</v>
      </c>
      <c r="E5419" t="s">
        <v>32</v>
      </c>
      <c r="F5419" t="s">
        <v>34</v>
      </c>
      <c r="G5419" s="118">
        <v>0.88902777777777775</v>
      </c>
      <c r="H5419" s="118">
        <v>3.4722222222222224E-4</v>
      </c>
      <c r="I5419" s="118">
        <v>9.1435185185185185E-4</v>
      </c>
      <c r="J5419" s="118">
        <v>7.0717592592592594E-3</v>
      </c>
      <c r="K5419" s="118">
        <v>7.0717592592592594E-3</v>
      </c>
    </row>
    <row r="5420" spans="1:11" x14ac:dyDescent="0.25">
      <c r="A5420">
        <v>4</v>
      </c>
      <c r="B5420">
        <v>19</v>
      </c>
      <c r="C5420"/>
      <c r="D5420" t="s">
        <v>31</v>
      </c>
      <c r="E5420" t="s">
        <v>32</v>
      </c>
      <c r="F5420" t="s">
        <v>39</v>
      </c>
      <c r="G5420" s="118">
        <v>0.88905092592592594</v>
      </c>
      <c r="H5420" s="118">
        <v>5.2083333333333333E-4</v>
      </c>
      <c r="I5420" s="118">
        <v>1.8055555555555557E-3</v>
      </c>
      <c r="J5420" s="118">
        <v>7.0717592592592594E-3</v>
      </c>
      <c r="K5420" s="118">
        <v>7.0717592592592594E-3</v>
      </c>
    </row>
    <row r="5421" spans="1:11" x14ac:dyDescent="0.25">
      <c r="A5421">
        <v>9</v>
      </c>
      <c r="B5421">
        <v>6</v>
      </c>
      <c r="C5421"/>
      <c r="D5421" t="s">
        <v>31</v>
      </c>
      <c r="E5421" t="s">
        <v>35</v>
      </c>
      <c r="F5421" t="s">
        <v>44</v>
      </c>
      <c r="G5421" s="118">
        <v>0.88931712962962972</v>
      </c>
      <c r="H5421" s="118">
        <v>1.0069444444444444E-3</v>
      </c>
      <c r="I5421" s="118">
        <v>3.4722222222222224E-4</v>
      </c>
      <c r="J5421"/>
      <c r="K5421"/>
    </row>
    <row r="5422" spans="1:11" x14ac:dyDescent="0.25">
      <c r="A5422">
        <v>1</v>
      </c>
      <c r="B5422">
        <v>18</v>
      </c>
      <c r="C5422"/>
      <c r="D5422" t="s">
        <v>31</v>
      </c>
      <c r="E5422" t="s">
        <v>35</v>
      </c>
      <c r="F5422" t="s">
        <v>54</v>
      </c>
      <c r="G5422" s="118">
        <v>0.88938657407407407</v>
      </c>
      <c r="H5422" s="118">
        <v>8.6805555555555551E-4</v>
      </c>
      <c r="I5422" s="118">
        <v>3.4722222222222224E-4</v>
      </c>
      <c r="J5422"/>
      <c r="K5422"/>
    </row>
    <row r="5423" spans="1:11" x14ac:dyDescent="0.25">
      <c r="A5423">
        <v>2</v>
      </c>
      <c r="B5423">
        <v>19</v>
      </c>
      <c r="C5423"/>
      <c r="D5423" t="s">
        <v>31</v>
      </c>
      <c r="E5423" t="s">
        <v>35</v>
      </c>
      <c r="F5423" t="s">
        <v>50</v>
      </c>
      <c r="G5423" s="118">
        <v>0.8896412037037037</v>
      </c>
      <c r="H5423" s="118">
        <v>1.1458333333333333E-3</v>
      </c>
      <c r="I5423" s="118">
        <v>3.4722222222222224E-4</v>
      </c>
      <c r="J5423"/>
      <c r="K5423"/>
    </row>
    <row r="5424" spans="1:11" x14ac:dyDescent="0.25">
      <c r="A5424">
        <v>9</v>
      </c>
      <c r="B5424">
        <v>6</v>
      </c>
      <c r="C5424"/>
      <c r="D5424" t="s">
        <v>31</v>
      </c>
      <c r="E5424" t="s">
        <v>32</v>
      </c>
      <c r="F5424" t="s">
        <v>44</v>
      </c>
      <c r="G5424" s="118">
        <v>0.88966435185185189</v>
      </c>
      <c r="H5424" s="118">
        <v>3.4722222222222224E-4</v>
      </c>
      <c r="I5424" s="118">
        <v>9.2592592592592585E-4</v>
      </c>
      <c r="J5424" s="118">
        <v>7.0717592592592594E-3</v>
      </c>
      <c r="K5424" s="118">
        <v>7.0717592592592594E-3</v>
      </c>
    </row>
    <row r="5425" spans="1:11" x14ac:dyDescent="0.25">
      <c r="A5425">
        <v>1</v>
      </c>
      <c r="B5425">
        <v>18</v>
      </c>
      <c r="C5425"/>
      <c r="D5425" t="s">
        <v>31</v>
      </c>
      <c r="E5425" t="s">
        <v>32</v>
      </c>
      <c r="F5425" t="s">
        <v>54</v>
      </c>
      <c r="G5425" s="118">
        <v>0.88973379629629623</v>
      </c>
      <c r="H5425" s="118">
        <v>3.4722222222222224E-4</v>
      </c>
      <c r="I5425" s="118">
        <v>6.9444444444444447E-4</v>
      </c>
      <c r="J5425" s="118">
        <v>7.0717592592592594E-3</v>
      </c>
      <c r="K5425" s="118">
        <v>7.0717592592592594E-3</v>
      </c>
    </row>
    <row r="5426" spans="1:11" x14ac:dyDescent="0.25">
      <c r="A5426">
        <v>5</v>
      </c>
      <c r="B5426">
        <v>20</v>
      </c>
      <c r="C5426"/>
      <c r="D5426" t="s">
        <v>31</v>
      </c>
      <c r="E5426" t="s">
        <v>35</v>
      </c>
      <c r="F5426" t="s">
        <v>38</v>
      </c>
      <c r="G5426" s="118">
        <v>0.8899421296296296</v>
      </c>
      <c r="H5426" s="118">
        <v>9.1435185185185185E-4</v>
      </c>
      <c r="I5426" s="118">
        <v>3.4722222222222224E-4</v>
      </c>
      <c r="J5426"/>
      <c r="K5426"/>
    </row>
    <row r="5427" spans="1:11" x14ac:dyDescent="0.25">
      <c r="A5427">
        <v>2</v>
      </c>
      <c r="B5427">
        <v>19</v>
      </c>
      <c r="C5427"/>
      <c r="D5427" t="s">
        <v>31</v>
      </c>
      <c r="E5427" t="s">
        <v>32</v>
      </c>
      <c r="F5427" t="s">
        <v>50</v>
      </c>
      <c r="G5427" s="118">
        <v>0.88998842592592586</v>
      </c>
      <c r="H5427" s="118">
        <v>3.4722222222222224E-4</v>
      </c>
      <c r="I5427" s="118">
        <v>1.261574074074074E-3</v>
      </c>
      <c r="J5427" s="118">
        <v>7.0717592592592594E-3</v>
      </c>
      <c r="K5427" s="118">
        <v>7.0717592592592594E-3</v>
      </c>
    </row>
    <row r="5428" spans="1:11" x14ac:dyDescent="0.25">
      <c r="A5428">
        <v>5</v>
      </c>
      <c r="B5428">
        <v>20</v>
      </c>
      <c r="C5428"/>
      <c r="D5428" t="s">
        <v>31</v>
      </c>
      <c r="E5428" t="s">
        <v>32</v>
      </c>
      <c r="F5428" t="s">
        <v>38</v>
      </c>
      <c r="G5428" s="118">
        <v>0.89028935185185187</v>
      </c>
      <c r="H5428" s="118">
        <v>3.4722222222222224E-4</v>
      </c>
      <c r="I5428" s="118">
        <v>1.2384259259259258E-3</v>
      </c>
      <c r="J5428" s="118">
        <v>7.0717592592592594E-3</v>
      </c>
      <c r="K5428" s="118">
        <v>7.0717592592592594E-3</v>
      </c>
    </row>
    <row r="5429" spans="1:11" x14ac:dyDescent="0.25">
      <c r="A5429">
        <v>1</v>
      </c>
      <c r="B5429">
        <v>18</v>
      </c>
      <c r="C5429"/>
      <c r="D5429" t="s">
        <v>31</v>
      </c>
      <c r="E5429" t="s">
        <v>35</v>
      </c>
      <c r="F5429" t="s">
        <v>92</v>
      </c>
      <c r="G5429" s="118">
        <v>0.89042824074074067</v>
      </c>
      <c r="H5429" s="118">
        <v>6.9444444444444447E-4</v>
      </c>
      <c r="I5429" s="118">
        <v>5.2083333333333333E-4</v>
      </c>
      <c r="J5429"/>
      <c r="K5429"/>
    </row>
    <row r="5430" spans="1:11" x14ac:dyDescent="0.25">
      <c r="A5430">
        <v>9</v>
      </c>
      <c r="B5430">
        <v>6</v>
      </c>
      <c r="C5430"/>
      <c r="D5430" t="s">
        <v>31</v>
      </c>
      <c r="E5430" t="s">
        <v>35</v>
      </c>
      <c r="F5430" t="s">
        <v>49</v>
      </c>
      <c r="G5430" s="118">
        <v>0.89059027777777777</v>
      </c>
      <c r="H5430" s="118">
        <v>9.2592592592592585E-4</v>
      </c>
      <c r="I5430" s="118">
        <v>3.4722222222222224E-4</v>
      </c>
      <c r="J5430"/>
      <c r="K5430"/>
    </row>
    <row r="5431" spans="1:11" x14ac:dyDescent="0.25">
      <c r="A5431">
        <v>4</v>
      </c>
      <c r="B5431">
        <v>19</v>
      </c>
      <c r="C5431"/>
      <c r="D5431" t="s">
        <v>31</v>
      </c>
      <c r="E5431" t="s">
        <v>35</v>
      </c>
      <c r="F5431" t="s">
        <v>46</v>
      </c>
      <c r="G5431" s="118">
        <v>0.89085648148148155</v>
      </c>
      <c r="H5431" s="118">
        <v>1.8055555555555557E-3</v>
      </c>
      <c r="I5431" s="118">
        <v>3.4722222222222224E-4</v>
      </c>
      <c r="J5431"/>
      <c r="K5431"/>
    </row>
    <row r="5432" spans="1:11" x14ac:dyDescent="0.25">
      <c r="A5432">
        <v>9</v>
      </c>
      <c r="B5432">
        <v>6</v>
      </c>
      <c r="C5432"/>
      <c r="D5432" t="s">
        <v>31</v>
      </c>
      <c r="E5432" t="s">
        <v>32</v>
      </c>
      <c r="F5432" t="s">
        <v>49</v>
      </c>
      <c r="G5432" s="118">
        <v>0.89093750000000005</v>
      </c>
      <c r="H5432" s="118">
        <v>3.4722222222222224E-4</v>
      </c>
      <c r="I5432" s="118">
        <v>1.3541666666666667E-3</v>
      </c>
      <c r="J5432" s="118">
        <v>7.0717592592592594E-3</v>
      </c>
      <c r="K5432" s="118">
        <v>7.0717592592592594E-3</v>
      </c>
    </row>
    <row r="5433" spans="1:11" x14ac:dyDescent="0.25">
      <c r="A5433">
        <v>1</v>
      </c>
      <c r="B5433">
        <v>19</v>
      </c>
      <c r="C5433"/>
      <c r="D5433" t="s">
        <v>31</v>
      </c>
      <c r="E5433" t="s">
        <v>32</v>
      </c>
      <c r="F5433" t="s">
        <v>92</v>
      </c>
      <c r="G5433" s="118">
        <v>0.89094907407407409</v>
      </c>
      <c r="H5433" s="118">
        <v>5.2083333333333333E-4</v>
      </c>
      <c r="I5433" s="118">
        <v>1.0069444444444444E-3</v>
      </c>
      <c r="J5433" s="118">
        <v>7.0717592592592594E-3</v>
      </c>
      <c r="K5433" s="118">
        <v>7.0717592592592594E-3</v>
      </c>
    </row>
    <row r="5434" spans="1:11" x14ac:dyDescent="0.25">
      <c r="A5434">
        <v>4</v>
      </c>
      <c r="B5434">
        <v>19</v>
      </c>
      <c r="C5434"/>
      <c r="D5434" t="s">
        <v>31</v>
      </c>
      <c r="E5434" t="s">
        <v>32</v>
      </c>
      <c r="F5434" t="s">
        <v>46</v>
      </c>
      <c r="G5434" s="118">
        <v>0.89120370370370372</v>
      </c>
      <c r="H5434" s="118">
        <v>3.4722222222222224E-4</v>
      </c>
      <c r="I5434" s="118">
        <v>9.1435185185185185E-4</v>
      </c>
      <c r="J5434" s="118">
        <v>7.0717592592592594E-3</v>
      </c>
      <c r="K5434" s="118">
        <v>7.0717592592592594E-3</v>
      </c>
    </row>
    <row r="5435" spans="1:11" x14ac:dyDescent="0.25">
      <c r="A5435">
        <v>2</v>
      </c>
      <c r="B5435">
        <v>19</v>
      </c>
      <c r="C5435"/>
      <c r="D5435" t="s">
        <v>31</v>
      </c>
      <c r="E5435" t="s">
        <v>35</v>
      </c>
      <c r="F5435" t="s">
        <v>56</v>
      </c>
      <c r="G5435" s="118">
        <v>0.89124999999999999</v>
      </c>
      <c r="H5435" s="118">
        <v>1.261574074074074E-3</v>
      </c>
      <c r="I5435" s="118">
        <v>3.4722222222222224E-4</v>
      </c>
      <c r="J5435"/>
      <c r="K5435"/>
    </row>
    <row r="5436" spans="1:11" x14ac:dyDescent="0.25">
      <c r="A5436">
        <v>5</v>
      </c>
      <c r="B5436">
        <v>20</v>
      </c>
      <c r="C5436"/>
      <c r="D5436" t="s">
        <v>31</v>
      </c>
      <c r="E5436" t="s">
        <v>35</v>
      </c>
      <c r="F5436" t="s">
        <v>45</v>
      </c>
      <c r="G5436" s="118">
        <v>0.89152777777777781</v>
      </c>
      <c r="H5436" s="118">
        <v>1.2384259259259258E-3</v>
      </c>
      <c r="I5436" s="118">
        <v>3.4722222222222224E-4</v>
      </c>
      <c r="J5436"/>
      <c r="K5436"/>
    </row>
    <row r="5437" spans="1:11" x14ac:dyDescent="0.25">
      <c r="A5437">
        <v>2</v>
      </c>
      <c r="B5437">
        <v>19</v>
      </c>
      <c r="C5437"/>
      <c r="D5437" t="s">
        <v>31</v>
      </c>
      <c r="E5437" t="s">
        <v>32</v>
      </c>
      <c r="F5437" t="s">
        <v>56</v>
      </c>
      <c r="G5437" s="118">
        <v>0.89159722222222226</v>
      </c>
      <c r="H5437" s="118">
        <v>3.4722222222222224E-4</v>
      </c>
      <c r="I5437" s="118">
        <v>9.6064814814814808E-4</v>
      </c>
      <c r="J5437" s="118">
        <v>7.0717592592592594E-3</v>
      </c>
      <c r="K5437" s="118">
        <v>7.0717592592592594E-3</v>
      </c>
    </row>
    <row r="5438" spans="1:11" x14ac:dyDescent="0.25">
      <c r="A5438">
        <v>5</v>
      </c>
      <c r="B5438">
        <v>20</v>
      </c>
      <c r="C5438"/>
      <c r="D5438" t="s">
        <v>31</v>
      </c>
      <c r="E5438" t="s">
        <v>32</v>
      </c>
      <c r="F5438" t="s">
        <v>45</v>
      </c>
      <c r="G5438" s="118">
        <v>0.89187500000000008</v>
      </c>
      <c r="H5438" s="118">
        <v>3.4722222222222224E-4</v>
      </c>
      <c r="I5438" s="118">
        <v>1.0416666666666667E-3</v>
      </c>
      <c r="J5438" s="118">
        <v>7.0717592592592594E-3</v>
      </c>
      <c r="K5438" s="118">
        <v>7.0717592592592594E-3</v>
      </c>
    </row>
    <row r="5439" spans="1:11" x14ac:dyDescent="0.25">
      <c r="A5439">
        <v>1</v>
      </c>
      <c r="B5439">
        <v>19</v>
      </c>
      <c r="C5439"/>
      <c r="D5439" t="s">
        <v>31</v>
      </c>
      <c r="E5439" t="s">
        <v>35</v>
      </c>
      <c r="F5439" t="s">
        <v>41</v>
      </c>
      <c r="G5439" s="118">
        <v>0.89195601851851858</v>
      </c>
      <c r="H5439" s="118">
        <v>1.0069444444444444E-3</v>
      </c>
      <c r="I5439" s="118">
        <v>3.4722222222222224E-4</v>
      </c>
      <c r="J5439"/>
      <c r="K5439"/>
    </row>
    <row r="5440" spans="1:11" x14ac:dyDescent="0.25">
      <c r="A5440">
        <v>4</v>
      </c>
      <c r="B5440">
        <v>19</v>
      </c>
      <c r="C5440"/>
      <c r="D5440" t="s">
        <v>31</v>
      </c>
      <c r="E5440" t="s">
        <v>35</v>
      </c>
      <c r="F5440" t="s">
        <v>51</v>
      </c>
      <c r="G5440" s="118">
        <v>0.89211805555555557</v>
      </c>
      <c r="H5440" s="118">
        <v>9.1435185185185185E-4</v>
      </c>
      <c r="I5440" s="118">
        <v>3.4722222222222224E-4</v>
      </c>
      <c r="J5440"/>
      <c r="K5440"/>
    </row>
    <row r="5441" spans="1:11" x14ac:dyDescent="0.25">
      <c r="A5441">
        <v>9</v>
      </c>
      <c r="B5441">
        <v>6</v>
      </c>
      <c r="C5441"/>
      <c r="D5441" t="s">
        <v>31</v>
      </c>
      <c r="E5441" t="s">
        <v>35</v>
      </c>
      <c r="F5441" t="s">
        <v>33</v>
      </c>
      <c r="G5441" s="118">
        <v>0.89229166666666659</v>
      </c>
      <c r="H5441" s="118">
        <v>1.3541666666666667E-3</v>
      </c>
      <c r="I5441" s="118">
        <v>5.2083333333333333E-4</v>
      </c>
      <c r="J5441"/>
      <c r="K5441"/>
    </row>
    <row r="5442" spans="1:11" x14ac:dyDescent="0.25">
      <c r="A5442">
        <v>1</v>
      </c>
      <c r="B5442">
        <v>19</v>
      </c>
      <c r="C5442"/>
      <c r="D5442" t="s">
        <v>31</v>
      </c>
      <c r="E5442" t="s">
        <v>32</v>
      </c>
      <c r="F5442" t="s">
        <v>41</v>
      </c>
      <c r="G5442" s="118">
        <v>0.89230324074074074</v>
      </c>
      <c r="H5442" s="118">
        <v>3.4722222222222224E-4</v>
      </c>
      <c r="I5442" s="118">
        <v>8.564814814814815E-4</v>
      </c>
      <c r="J5442" s="118">
        <v>7.0717592592592594E-3</v>
      </c>
      <c r="K5442" s="118">
        <v>7.0717592592592594E-3</v>
      </c>
    </row>
    <row r="5443" spans="1:11" x14ac:dyDescent="0.25">
      <c r="A5443">
        <v>4</v>
      </c>
      <c r="B5443">
        <v>19</v>
      </c>
      <c r="C5443"/>
      <c r="D5443" t="s">
        <v>31</v>
      </c>
      <c r="E5443" t="s">
        <v>32</v>
      </c>
      <c r="F5443" t="s">
        <v>51</v>
      </c>
      <c r="G5443" s="118">
        <v>0.89246527777777773</v>
      </c>
      <c r="H5443" s="118">
        <v>3.4722222222222224E-4</v>
      </c>
      <c r="I5443" s="118">
        <v>1.0069444444444444E-3</v>
      </c>
      <c r="J5443" s="118">
        <v>7.0717592592592594E-3</v>
      </c>
      <c r="K5443" s="118">
        <v>7.0717592592592594E-3</v>
      </c>
    </row>
    <row r="5444" spans="1:11" x14ac:dyDescent="0.25">
      <c r="A5444">
        <v>2</v>
      </c>
      <c r="B5444">
        <v>19</v>
      </c>
      <c r="C5444"/>
      <c r="D5444" t="s">
        <v>31</v>
      </c>
      <c r="E5444" t="s">
        <v>35</v>
      </c>
      <c r="F5444" t="s">
        <v>37</v>
      </c>
      <c r="G5444" s="118">
        <v>0.89255787037037038</v>
      </c>
      <c r="H5444" s="118">
        <v>9.6064814814814808E-4</v>
      </c>
      <c r="I5444" s="118">
        <v>3.4722222222222224E-4</v>
      </c>
      <c r="J5444"/>
      <c r="K5444"/>
    </row>
    <row r="5445" spans="1:11" x14ac:dyDescent="0.25">
      <c r="A5445">
        <v>9</v>
      </c>
      <c r="B5445">
        <v>6</v>
      </c>
      <c r="C5445"/>
      <c r="D5445" t="s">
        <v>31</v>
      </c>
      <c r="E5445" t="s">
        <v>32</v>
      </c>
      <c r="F5445" t="s">
        <v>33</v>
      </c>
      <c r="G5445" s="118">
        <v>0.8928124999999999</v>
      </c>
      <c r="H5445" s="118">
        <v>5.2083333333333333E-4</v>
      </c>
      <c r="I5445" s="118">
        <v>9.6064814814814808E-4</v>
      </c>
      <c r="J5445" s="118">
        <v>7.0717592592592594E-3</v>
      </c>
      <c r="K5445" s="118">
        <v>7.0717592592592594E-3</v>
      </c>
    </row>
    <row r="5446" spans="1:11" x14ac:dyDescent="0.25">
      <c r="A5446">
        <v>2</v>
      </c>
      <c r="B5446">
        <v>19</v>
      </c>
      <c r="C5446"/>
      <c r="D5446" t="s">
        <v>31</v>
      </c>
      <c r="E5446" t="s">
        <v>32</v>
      </c>
      <c r="F5446" t="s">
        <v>37</v>
      </c>
      <c r="G5446" s="118">
        <v>0.89290509259259254</v>
      </c>
      <c r="H5446" s="118">
        <v>3.4722222222222224E-4</v>
      </c>
      <c r="I5446" s="118">
        <v>9.0277777777777784E-4</v>
      </c>
      <c r="J5446" s="118">
        <v>7.0717592592592594E-3</v>
      </c>
      <c r="K5446" s="118">
        <v>7.0717592592592594E-3</v>
      </c>
    </row>
    <row r="5447" spans="1:11" x14ac:dyDescent="0.25">
      <c r="A5447">
        <v>5</v>
      </c>
      <c r="B5447">
        <v>20</v>
      </c>
      <c r="C5447"/>
      <c r="D5447" t="s">
        <v>31</v>
      </c>
      <c r="E5447" t="s">
        <v>35</v>
      </c>
      <c r="F5447" t="s">
        <v>52</v>
      </c>
      <c r="G5447" s="118">
        <v>0.89291666666666669</v>
      </c>
      <c r="H5447" s="118">
        <v>1.0416666666666667E-3</v>
      </c>
      <c r="I5447" s="118">
        <v>3.4722222222222224E-4</v>
      </c>
      <c r="J5447"/>
      <c r="K5447"/>
    </row>
    <row r="5448" spans="1:11" x14ac:dyDescent="0.25">
      <c r="A5448">
        <v>1</v>
      </c>
      <c r="B5448">
        <v>19</v>
      </c>
      <c r="C5448"/>
      <c r="D5448" t="s">
        <v>31</v>
      </c>
      <c r="E5448" t="s">
        <v>35</v>
      </c>
      <c r="F5448" t="s">
        <v>47</v>
      </c>
      <c r="G5448" s="118">
        <v>0.89315972222222229</v>
      </c>
      <c r="H5448" s="118">
        <v>8.564814814814815E-4</v>
      </c>
      <c r="I5448" s="118">
        <v>5.2083333333333333E-4</v>
      </c>
      <c r="J5448"/>
      <c r="K5448"/>
    </row>
    <row r="5449" spans="1:11" x14ac:dyDescent="0.25">
      <c r="A5449">
        <v>5</v>
      </c>
      <c r="B5449">
        <v>20</v>
      </c>
      <c r="C5449"/>
      <c r="D5449" t="s">
        <v>31</v>
      </c>
      <c r="E5449" t="s">
        <v>32</v>
      </c>
      <c r="F5449" t="s">
        <v>52</v>
      </c>
      <c r="G5449" s="118">
        <v>0.89326388888888886</v>
      </c>
      <c r="H5449" s="118">
        <v>3.4722222222222224E-4</v>
      </c>
      <c r="I5449" s="118">
        <v>1.0532407407407407E-3</v>
      </c>
      <c r="J5449" s="118">
        <v>7.0717592592592594E-3</v>
      </c>
      <c r="K5449" s="118">
        <v>7.0717592592592594E-3</v>
      </c>
    </row>
    <row r="5450" spans="1:11" x14ac:dyDescent="0.25">
      <c r="A5450">
        <v>4</v>
      </c>
      <c r="B5450">
        <v>19</v>
      </c>
      <c r="C5450"/>
      <c r="D5450" t="s">
        <v>31</v>
      </c>
      <c r="E5450" t="s">
        <v>35</v>
      </c>
      <c r="F5450" t="s">
        <v>55</v>
      </c>
      <c r="G5450" s="118">
        <v>0.89347222222222233</v>
      </c>
      <c r="H5450" s="118">
        <v>1.0069444444444444E-3</v>
      </c>
      <c r="I5450" s="118">
        <v>4.6296296296296293E-4</v>
      </c>
      <c r="J5450"/>
      <c r="K5450"/>
    </row>
    <row r="5451" spans="1:11" x14ac:dyDescent="0.25">
      <c r="A5451">
        <v>1</v>
      </c>
      <c r="B5451">
        <v>19</v>
      </c>
      <c r="C5451"/>
      <c r="D5451" t="s">
        <v>31</v>
      </c>
      <c r="E5451" t="s">
        <v>32</v>
      </c>
      <c r="F5451" t="s">
        <v>47</v>
      </c>
      <c r="G5451" s="118">
        <v>0.89368055555555559</v>
      </c>
      <c r="H5451" s="118">
        <v>5.2083333333333333E-4</v>
      </c>
      <c r="I5451" s="118">
        <v>8.7962962962962962E-4</v>
      </c>
      <c r="J5451" s="118">
        <v>7.0717592592592594E-3</v>
      </c>
      <c r="K5451" s="118">
        <v>7.0717592592592594E-3</v>
      </c>
    </row>
    <row r="5452" spans="1:11" x14ac:dyDescent="0.25">
      <c r="A5452">
        <v>9</v>
      </c>
      <c r="B5452">
        <v>6</v>
      </c>
      <c r="C5452"/>
      <c r="D5452" t="s">
        <v>31</v>
      </c>
      <c r="E5452" t="s">
        <v>35</v>
      </c>
      <c r="F5452" t="s">
        <v>36</v>
      </c>
      <c r="G5452" s="118">
        <v>0.89377314814814823</v>
      </c>
      <c r="H5452" s="118">
        <v>9.6064814814814808E-4</v>
      </c>
      <c r="I5452" s="118">
        <v>3.4722222222222224E-4</v>
      </c>
      <c r="J5452"/>
      <c r="K5452"/>
    </row>
    <row r="5453" spans="1:11" x14ac:dyDescent="0.25">
      <c r="A5453">
        <v>2</v>
      </c>
      <c r="B5453">
        <v>19</v>
      </c>
      <c r="C5453"/>
      <c r="D5453" t="s">
        <v>31</v>
      </c>
      <c r="E5453" t="s">
        <v>35</v>
      </c>
      <c r="F5453" t="s">
        <v>42</v>
      </c>
      <c r="G5453" s="118">
        <v>0.89380787037037035</v>
      </c>
      <c r="H5453" s="118">
        <v>9.0277777777777784E-4</v>
      </c>
      <c r="I5453" s="118">
        <v>3.4722222222222224E-4</v>
      </c>
      <c r="J5453"/>
      <c r="K5453"/>
    </row>
    <row r="5454" spans="1:11" x14ac:dyDescent="0.25">
      <c r="A5454">
        <v>4</v>
      </c>
      <c r="B5454">
        <v>19</v>
      </c>
      <c r="C5454"/>
      <c r="D5454" t="s">
        <v>31</v>
      </c>
      <c r="E5454" t="s">
        <v>32</v>
      </c>
      <c r="F5454" t="s">
        <v>55</v>
      </c>
      <c r="G5454" s="118">
        <v>0.89393518518518522</v>
      </c>
      <c r="H5454" s="118">
        <v>4.6296296296296293E-4</v>
      </c>
      <c r="I5454" s="118">
        <v>4.3981481481481481E-4</v>
      </c>
      <c r="J5454" s="118">
        <v>7.0717592592592594E-3</v>
      </c>
      <c r="K5454" s="118">
        <v>7.0717592592592594E-3</v>
      </c>
    </row>
    <row r="5455" spans="1:11" x14ac:dyDescent="0.25">
      <c r="A5455">
        <v>9</v>
      </c>
      <c r="B5455">
        <v>6</v>
      </c>
      <c r="C5455"/>
      <c r="D5455" t="s">
        <v>31</v>
      </c>
      <c r="E5455" t="s">
        <v>32</v>
      </c>
      <c r="F5455" t="s">
        <v>36</v>
      </c>
      <c r="G5455" s="118">
        <v>0.8941203703703704</v>
      </c>
      <c r="H5455" s="118">
        <v>3.4722222222222224E-4</v>
      </c>
      <c r="I5455" s="118">
        <v>1.0995370370370371E-3</v>
      </c>
      <c r="J5455" s="118">
        <v>7.0717592592592594E-3</v>
      </c>
      <c r="K5455" s="118">
        <v>7.0717592592592594E-3</v>
      </c>
    </row>
    <row r="5456" spans="1:11" x14ac:dyDescent="0.25">
      <c r="A5456">
        <v>2</v>
      </c>
      <c r="B5456">
        <v>19</v>
      </c>
      <c r="C5456"/>
      <c r="D5456" t="s">
        <v>31</v>
      </c>
      <c r="E5456" t="s">
        <v>32</v>
      </c>
      <c r="F5456" t="s">
        <v>42</v>
      </c>
      <c r="G5456" s="118">
        <v>0.89415509259259263</v>
      </c>
      <c r="H5456" s="118">
        <v>3.4722222222222224E-4</v>
      </c>
      <c r="I5456" s="118">
        <v>9.1435185185185185E-4</v>
      </c>
      <c r="J5456" s="118">
        <v>7.0717592592592594E-3</v>
      </c>
      <c r="K5456" s="118">
        <v>7.0717592592592594E-3</v>
      </c>
    </row>
    <row r="5457" spans="1:11" x14ac:dyDescent="0.25">
      <c r="A5457">
        <v>5</v>
      </c>
      <c r="B5457">
        <v>20</v>
      </c>
      <c r="C5457"/>
      <c r="D5457" t="s">
        <v>31</v>
      </c>
      <c r="E5457" t="s">
        <v>35</v>
      </c>
      <c r="F5457" t="s">
        <v>57</v>
      </c>
      <c r="G5457" s="118">
        <v>0.89431712962962961</v>
      </c>
      <c r="H5457" s="118">
        <v>1.0532407407407407E-3</v>
      </c>
      <c r="I5457" s="118">
        <v>3.4722222222222224E-4</v>
      </c>
      <c r="J5457"/>
      <c r="K5457"/>
    </row>
    <row r="5458" spans="1:11" x14ac:dyDescent="0.25">
      <c r="A5458">
        <v>4</v>
      </c>
      <c r="B5458">
        <v>19</v>
      </c>
      <c r="C5458"/>
      <c r="D5458" t="s">
        <v>31</v>
      </c>
      <c r="E5458" t="s">
        <v>35</v>
      </c>
      <c r="F5458" t="s">
        <v>58</v>
      </c>
      <c r="G5458" s="118">
        <v>0.89437500000000003</v>
      </c>
      <c r="H5458" s="118">
        <v>4.3981481481481481E-4</v>
      </c>
      <c r="I5458" s="118">
        <v>5.7870370370370366E-5</v>
      </c>
      <c r="J5458"/>
      <c r="K5458"/>
    </row>
    <row r="5459" spans="1:11" x14ac:dyDescent="0.25">
      <c r="A5459">
        <v>4</v>
      </c>
      <c r="B5459">
        <v>19</v>
      </c>
      <c r="C5459"/>
      <c r="D5459" t="s">
        <v>31</v>
      </c>
      <c r="E5459" t="s">
        <v>32</v>
      </c>
      <c r="F5459" t="s">
        <v>58</v>
      </c>
      <c r="G5459" s="118">
        <v>0.89443287037037045</v>
      </c>
      <c r="H5459" s="118">
        <v>5.7870370370370366E-5</v>
      </c>
      <c r="I5459" s="118">
        <v>4.8611111111111104E-4</v>
      </c>
      <c r="J5459" s="118">
        <v>7.0717592592592594E-3</v>
      </c>
      <c r="K5459" s="118">
        <v>7.0717592592592594E-3</v>
      </c>
    </row>
    <row r="5460" spans="1:11" x14ac:dyDescent="0.25">
      <c r="A5460">
        <v>1</v>
      </c>
      <c r="B5460">
        <v>19</v>
      </c>
      <c r="C5460"/>
      <c r="D5460" t="s">
        <v>31</v>
      </c>
      <c r="E5460" t="s">
        <v>35</v>
      </c>
      <c r="F5460" t="s">
        <v>53</v>
      </c>
      <c r="G5460" s="118">
        <v>0.89456018518518521</v>
      </c>
      <c r="H5460" s="118">
        <v>8.7962962962962962E-4</v>
      </c>
      <c r="I5460" s="118">
        <v>3.4722222222222224E-4</v>
      </c>
      <c r="J5460"/>
      <c r="K5460"/>
    </row>
    <row r="5461" spans="1:11" x14ac:dyDescent="0.25">
      <c r="A5461">
        <v>5</v>
      </c>
      <c r="B5461">
        <v>20</v>
      </c>
      <c r="C5461"/>
      <c r="D5461" t="s">
        <v>31</v>
      </c>
      <c r="E5461" t="s">
        <v>32</v>
      </c>
      <c r="F5461" t="s">
        <v>57</v>
      </c>
      <c r="G5461" s="118">
        <v>0.89466435185185178</v>
      </c>
      <c r="H5461" s="118">
        <v>3.4722222222222224E-4</v>
      </c>
      <c r="I5461" s="118">
        <v>9.3750000000000007E-4</v>
      </c>
      <c r="J5461" s="118">
        <v>7.0717592592592594E-3</v>
      </c>
      <c r="K5461" s="118">
        <v>7.0717592592592594E-3</v>
      </c>
    </row>
    <row r="5462" spans="1:11" x14ac:dyDescent="0.25">
      <c r="A5462">
        <v>1</v>
      </c>
      <c r="B5462">
        <v>19</v>
      </c>
      <c r="C5462"/>
      <c r="D5462" t="s">
        <v>31</v>
      </c>
      <c r="E5462" t="s">
        <v>32</v>
      </c>
      <c r="F5462" t="s">
        <v>53</v>
      </c>
      <c r="G5462" s="118">
        <v>0.89490740740740737</v>
      </c>
      <c r="H5462" s="118">
        <v>3.4722222222222224E-4</v>
      </c>
      <c r="I5462" s="118">
        <v>8.449074074074075E-4</v>
      </c>
      <c r="J5462" s="118">
        <v>7.0717592592592594E-3</v>
      </c>
      <c r="K5462" s="118">
        <v>7.0717592592592594E-3</v>
      </c>
    </row>
    <row r="5463" spans="1:11" x14ac:dyDescent="0.25">
      <c r="A5463">
        <v>4</v>
      </c>
      <c r="B5463">
        <v>19</v>
      </c>
      <c r="C5463"/>
      <c r="D5463" t="s">
        <v>31</v>
      </c>
      <c r="E5463" t="s">
        <v>35</v>
      </c>
      <c r="F5463" t="s">
        <v>40</v>
      </c>
      <c r="G5463" s="118">
        <v>0.89491898148148152</v>
      </c>
      <c r="H5463" s="118">
        <v>4.8611111111111104E-4</v>
      </c>
      <c r="I5463" s="118">
        <v>4.6296296296296293E-4</v>
      </c>
      <c r="J5463"/>
      <c r="K5463"/>
    </row>
    <row r="5464" spans="1:11" x14ac:dyDescent="0.25">
      <c r="A5464">
        <v>2</v>
      </c>
      <c r="B5464">
        <v>19</v>
      </c>
      <c r="C5464"/>
      <c r="D5464" t="s">
        <v>31</v>
      </c>
      <c r="E5464" t="s">
        <v>35</v>
      </c>
      <c r="F5464" t="s">
        <v>48</v>
      </c>
      <c r="G5464" s="118">
        <v>0.89506944444444436</v>
      </c>
      <c r="H5464" s="118">
        <v>9.1435185185185185E-4</v>
      </c>
      <c r="I5464" s="118">
        <v>5.2083333333333333E-4</v>
      </c>
      <c r="J5464"/>
      <c r="K5464"/>
    </row>
    <row r="5465" spans="1:11" x14ac:dyDescent="0.25">
      <c r="A5465">
        <v>9</v>
      </c>
      <c r="B5465">
        <v>6</v>
      </c>
      <c r="C5465"/>
      <c r="D5465" t="s">
        <v>31</v>
      </c>
      <c r="E5465" t="s">
        <v>35</v>
      </c>
      <c r="F5465" t="s">
        <v>43</v>
      </c>
      <c r="G5465" s="118">
        <v>0.89521990740740742</v>
      </c>
      <c r="H5465" s="118">
        <v>1.0995370370370371E-3</v>
      </c>
      <c r="I5465" s="118">
        <v>3.4722222222222224E-4</v>
      </c>
      <c r="J5465"/>
      <c r="K5465"/>
    </row>
    <row r="5466" spans="1:11" x14ac:dyDescent="0.25">
      <c r="A5466">
        <v>4</v>
      </c>
      <c r="B5466">
        <v>19</v>
      </c>
      <c r="C5466"/>
      <c r="D5466" t="s">
        <v>31</v>
      </c>
      <c r="E5466" t="s">
        <v>32</v>
      </c>
      <c r="F5466" t="s">
        <v>40</v>
      </c>
      <c r="G5466" s="118">
        <v>0.89538194444444441</v>
      </c>
      <c r="H5466" s="118">
        <v>4.6296296296296293E-4</v>
      </c>
      <c r="I5466" s="118">
        <v>1.0069444444444444E-3</v>
      </c>
      <c r="J5466" s="118">
        <v>7.0717592592592594E-3</v>
      </c>
      <c r="K5466" s="118">
        <v>7.0717592592592594E-3</v>
      </c>
    </row>
    <row r="5467" spans="1:11" x14ac:dyDescent="0.25">
      <c r="A5467">
        <v>9</v>
      </c>
      <c r="B5467">
        <v>6</v>
      </c>
      <c r="C5467"/>
      <c r="D5467" t="s">
        <v>31</v>
      </c>
      <c r="E5467" t="s">
        <v>32</v>
      </c>
      <c r="F5467" t="s">
        <v>43</v>
      </c>
      <c r="G5467" s="118">
        <v>0.89556712962962959</v>
      </c>
      <c r="H5467" s="118">
        <v>3.4722222222222224E-4</v>
      </c>
      <c r="I5467" s="118">
        <v>1.1458333333333333E-3</v>
      </c>
      <c r="J5467" s="118">
        <v>7.0717592592592594E-3</v>
      </c>
      <c r="K5467" s="118">
        <v>7.0717592592592594E-3</v>
      </c>
    </row>
    <row r="5468" spans="1:11" x14ac:dyDescent="0.25">
      <c r="A5468">
        <v>2</v>
      </c>
      <c r="B5468">
        <v>19</v>
      </c>
      <c r="C5468"/>
      <c r="D5468" t="s">
        <v>31</v>
      </c>
      <c r="E5468" t="s">
        <v>32</v>
      </c>
      <c r="F5468" t="s">
        <v>48</v>
      </c>
      <c r="G5468" s="118">
        <v>0.89559027777777767</v>
      </c>
      <c r="H5468" s="118">
        <v>5.2083333333333333E-4</v>
      </c>
      <c r="I5468" s="118">
        <v>8.6805555555555551E-4</v>
      </c>
      <c r="J5468" s="118">
        <v>7.0717592592592594E-3</v>
      </c>
      <c r="K5468" s="118">
        <v>7.0717592592592594E-3</v>
      </c>
    </row>
    <row r="5469" spans="1:11" x14ac:dyDescent="0.25">
      <c r="A5469">
        <v>5</v>
      </c>
      <c r="B5469">
        <v>20</v>
      </c>
      <c r="C5469"/>
      <c r="D5469" t="s">
        <v>31</v>
      </c>
      <c r="E5469" t="s">
        <v>35</v>
      </c>
      <c r="F5469" t="s">
        <v>39</v>
      </c>
      <c r="G5469" s="118">
        <v>0.89560185185185182</v>
      </c>
      <c r="H5469" s="118">
        <v>9.3750000000000007E-4</v>
      </c>
      <c r="I5469" s="118">
        <v>5.2083333333333333E-4</v>
      </c>
      <c r="J5469"/>
      <c r="K5469"/>
    </row>
    <row r="5470" spans="1:11" x14ac:dyDescent="0.25">
      <c r="A5470">
        <v>1</v>
      </c>
      <c r="B5470">
        <v>19</v>
      </c>
      <c r="C5470"/>
      <c r="D5470" t="s">
        <v>31</v>
      </c>
      <c r="E5470" t="s">
        <v>35</v>
      </c>
      <c r="F5470" t="s">
        <v>34</v>
      </c>
      <c r="G5470" s="118">
        <v>0.89575231481481488</v>
      </c>
      <c r="H5470" s="118">
        <v>8.449074074074075E-4</v>
      </c>
      <c r="I5470" s="118">
        <v>3.4722222222222224E-4</v>
      </c>
      <c r="J5470"/>
      <c r="K5470"/>
    </row>
    <row r="5471" spans="1:11" x14ac:dyDescent="0.25">
      <c r="A5471">
        <v>1</v>
      </c>
      <c r="B5471">
        <v>19</v>
      </c>
      <c r="C5471"/>
      <c r="D5471" t="s">
        <v>31</v>
      </c>
      <c r="E5471" t="s">
        <v>32</v>
      </c>
      <c r="F5471" t="s">
        <v>34</v>
      </c>
      <c r="G5471" s="118">
        <v>0.89609953703703704</v>
      </c>
      <c r="H5471" s="118">
        <v>3.4722222222222224E-4</v>
      </c>
      <c r="I5471" s="118">
        <v>9.1435185185185185E-4</v>
      </c>
      <c r="J5471" s="118">
        <v>7.0717592592592594E-3</v>
      </c>
      <c r="K5471" s="118">
        <v>7.0717592592592594E-3</v>
      </c>
    </row>
    <row r="5472" spans="1:11" x14ac:dyDescent="0.25">
      <c r="A5472">
        <v>5</v>
      </c>
      <c r="B5472">
        <v>20</v>
      </c>
      <c r="C5472"/>
      <c r="D5472" t="s">
        <v>31</v>
      </c>
      <c r="E5472" t="s">
        <v>32</v>
      </c>
      <c r="F5472" t="s">
        <v>39</v>
      </c>
      <c r="G5472" s="118">
        <v>0.89612268518518512</v>
      </c>
      <c r="H5472" s="118">
        <v>5.2083333333333333E-4</v>
      </c>
      <c r="I5472" s="118">
        <v>1.8055555555555557E-3</v>
      </c>
      <c r="J5472" s="118">
        <v>7.0717592592592594E-3</v>
      </c>
      <c r="K5472" s="118">
        <v>7.0717592592592594E-3</v>
      </c>
    </row>
    <row r="5473" spans="1:11" x14ac:dyDescent="0.25">
      <c r="A5473">
        <v>4</v>
      </c>
      <c r="B5473">
        <v>19</v>
      </c>
      <c r="C5473"/>
      <c r="D5473" t="s">
        <v>31</v>
      </c>
      <c r="E5473" t="s">
        <v>35</v>
      </c>
      <c r="F5473" t="s">
        <v>44</v>
      </c>
      <c r="G5473" s="118">
        <v>0.89638888888888879</v>
      </c>
      <c r="H5473" s="118">
        <v>1.0069444444444444E-3</v>
      </c>
      <c r="I5473" s="118">
        <v>3.4722222222222224E-4</v>
      </c>
      <c r="J5473"/>
      <c r="K5473"/>
    </row>
    <row r="5474" spans="1:11" x14ac:dyDescent="0.25">
      <c r="A5474">
        <v>2</v>
      </c>
      <c r="B5474">
        <v>19</v>
      </c>
      <c r="C5474"/>
      <c r="D5474" t="s">
        <v>31</v>
      </c>
      <c r="E5474" t="s">
        <v>35</v>
      </c>
      <c r="F5474" t="s">
        <v>54</v>
      </c>
      <c r="G5474" s="118">
        <v>0.89645833333333336</v>
      </c>
      <c r="H5474" s="118">
        <v>8.6805555555555551E-4</v>
      </c>
      <c r="I5474" s="118">
        <v>3.4722222222222224E-4</v>
      </c>
      <c r="J5474"/>
      <c r="K5474"/>
    </row>
    <row r="5475" spans="1:11" x14ac:dyDescent="0.25">
      <c r="A5475">
        <v>9</v>
      </c>
      <c r="B5475">
        <v>6</v>
      </c>
      <c r="C5475"/>
      <c r="D5475" t="s">
        <v>31</v>
      </c>
      <c r="E5475" t="s">
        <v>35</v>
      </c>
      <c r="F5475" t="s">
        <v>50</v>
      </c>
      <c r="G5475" s="118">
        <v>0.89671296296296299</v>
      </c>
      <c r="H5475" s="118">
        <v>1.1458333333333333E-3</v>
      </c>
      <c r="I5475" s="118">
        <v>3.4722222222222224E-4</v>
      </c>
      <c r="J5475"/>
      <c r="K5475"/>
    </row>
    <row r="5476" spans="1:11" x14ac:dyDescent="0.25">
      <c r="A5476">
        <v>4</v>
      </c>
      <c r="B5476">
        <v>19</v>
      </c>
      <c r="C5476"/>
      <c r="D5476" t="s">
        <v>31</v>
      </c>
      <c r="E5476" t="s">
        <v>32</v>
      </c>
      <c r="F5476" t="s">
        <v>44</v>
      </c>
      <c r="G5476" s="118">
        <v>0.89673611111111118</v>
      </c>
      <c r="H5476" s="118">
        <v>3.4722222222222224E-4</v>
      </c>
      <c r="I5476" s="118">
        <v>9.2592592592592585E-4</v>
      </c>
      <c r="J5476" s="118">
        <v>7.0717592592592594E-3</v>
      </c>
      <c r="K5476" s="118">
        <v>7.0717592592592594E-3</v>
      </c>
    </row>
    <row r="5477" spans="1:11" x14ac:dyDescent="0.25">
      <c r="A5477">
        <v>2</v>
      </c>
      <c r="B5477">
        <v>19</v>
      </c>
      <c r="C5477"/>
      <c r="D5477" t="s">
        <v>31</v>
      </c>
      <c r="E5477" t="s">
        <v>32</v>
      </c>
      <c r="F5477" t="s">
        <v>54</v>
      </c>
      <c r="G5477" s="118">
        <v>0.89680555555555552</v>
      </c>
      <c r="H5477" s="118">
        <v>3.4722222222222224E-4</v>
      </c>
      <c r="I5477" s="118">
        <v>6.9444444444444447E-4</v>
      </c>
      <c r="J5477" s="118">
        <v>7.0717592592592594E-3</v>
      </c>
      <c r="K5477" s="118">
        <v>7.0717592592592594E-3</v>
      </c>
    </row>
    <row r="5478" spans="1:11" x14ac:dyDescent="0.25">
      <c r="A5478">
        <v>1</v>
      </c>
      <c r="B5478">
        <v>19</v>
      </c>
      <c r="C5478"/>
      <c r="D5478" t="s">
        <v>31</v>
      </c>
      <c r="E5478" t="s">
        <v>35</v>
      </c>
      <c r="F5478" t="s">
        <v>38</v>
      </c>
      <c r="G5478" s="118">
        <v>0.89701388888888889</v>
      </c>
      <c r="H5478" s="118">
        <v>9.1435185185185185E-4</v>
      </c>
      <c r="I5478" s="118">
        <v>3.4722222222222224E-4</v>
      </c>
      <c r="J5478"/>
      <c r="K5478"/>
    </row>
    <row r="5479" spans="1:11" x14ac:dyDescent="0.25">
      <c r="A5479">
        <v>9</v>
      </c>
      <c r="B5479">
        <v>6</v>
      </c>
      <c r="C5479"/>
      <c r="D5479" t="s">
        <v>31</v>
      </c>
      <c r="E5479" t="s">
        <v>32</v>
      </c>
      <c r="F5479" t="s">
        <v>50</v>
      </c>
      <c r="G5479" s="118">
        <v>0.89706018518518515</v>
      </c>
      <c r="H5479" s="118">
        <v>3.4722222222222224E-4</v>
      </c>
      <c r="I5479" s="118">
        <v>1.261574074074074E-3</v>
      </c>
      <c r="J5479" s="118">
        <v>7.0717592592592594E-3</v>
      </c>
      <c r="K5479" s="118">
        <v>7.0717592592592594E-3</v>
      </c>
    </row>
    <row r="5480" spans="1:11" x14ac:dyDescent="0.25">
      <c r="A5480">
        <v>1</v>
      </c>
      <c r="B5480">
        <v>19</v>
      </c>
      <c r="C5480"/>
      <c r="D5480" t="s">
        <v>31</v>
      </c>
      <c r="E5480" t="s">
        <v>32</v>
      </c>
      <c r="F5480" t="s">
        <v>38</v>
      </c>
      <c r="G5480" s="118">
        <v>0.89736111111111105</v>
      </c>
      <c r="H5480" s="118">
        <v>3.4722222222222224E-4</v>
      </c>
      <c r="I5480" s="118">
        <v>1.2384259259259258E-3</v>
      </c>
      <c r="J5480" s="118">
        <v>7.0717592592592594E-3</v>
      </c>
      <c r="K5480" s="118">
        <v>7.0717592592592594E-3</v>
      </c>
    </row>
    <row r="5481" spans="1:11" x14ac:dyDescent="0.25">
      <c r="A5481">
        <v>2</v>
      </c>
      <c r="B5481">
        <v>19</v>
      </c>
      <c r="C5481"/>
      <c r="D5481" t="s">
        <v>31</v>
      </c>
      <c r="E5481" t="s">
        <v>35</v>
      </c>
      <c r="F5481" t="s">
        <v>92</v>
      </c>
      <c r="G5481" s="118">
        <v>0.89749999999999996</v>
      </c>
      <c r="H5481" s="118">
        <v>6.9444444444444447E-4</v>
      </c>
      <c r="I5481" s="118">
        <v>5.2083333333333333E-4</v>
      </c>
      <c r="J5481"/>
      <c r="K5481"/>
    </row>
    <row r="5482" spans="1:11" x14ac:dyDescent="0.25">
      <c r="A5482">
        <v>4</v>
      </c>
      <c r="B5482">
        <v>19</v>
      </c>
      <c r="C5482"/>
      <c r="D5482" t="s">
        <v>31</v>
      </c>
      <c r="E5482" t="s">
        <v>35</v>
      </c>
      <c r="F5482" t="s">
        <v>49</v>
      </c>
      <c r="G5482" s="118">
        <v>0.89766203703703706</v>
      </c>
      <c r="H5482" s="118">
        <v>9.2592592592592585E-4</v>
      </c>
      <c r="I5482" s="118">
        <v>3.4722222222222224E-4</v>
      </c>
      <c r="J5482"/>
      <c r="K5482"/>
    </row>
    <row r="5483" spans="1:11" x14ac:dyDescent="0.25">
      <c r="A5483">
        <v>5</v>
      </c>
      <c r="B5483">
        <v>20</v>
      </c>
      <c r="C5483"/>
      <c r="D5483" t="s">
        <v>31</v>
      </c>
      <c r="E5483" t="s">
        <v>35</v>
      </c>
      <c r="F5483" t="s">
        <v>46</v>
      </c>
      <c r="G5483" s="118">
        <v>0.89792824074074085</v>
      </c>
      <c r="H5483" s="118">
        <v>1.8055555555555557E-3</v>
      </c>
      <c r="I5483" s="118">
        <v>3.4722222222222224E-4</v>
      </c>
      <c r="J5483"/>
      <c r="K5483"/>
    </row>
    <row r="5484" spans="1:11" x14ac:dyDescent="0.25">
      <c r="A5484">
        <v>4</v>
      </c>
      <c r="B5484">
        <v>19</v>
      </c>
      <c r="C5484"/>
      <c r="D5484" t="s">
        <v>31</v>
      </c>
      <c r="E5484" t="s">
        <v>32</v>
      </c>
      <c r="F5484" t="s">
        <v>49</v>
      </c>
      <c r="G5484" s="118">
        <v>0.89800925925925934</v>
      </c>
      <c r="H5484" s="118">
        <v>3.4722222222222224E-4</v>
      </c>
      <c r="I5484" s="118">
        <v>1.3541666666666667E-3</v>
      </c>
      <c r="J5484" s="118">
        <v>7.0717592592592594E-3</v>
      </c>
      <c r="K5484" s="118">
        <v>7.0717592592592594E-3</v>
      </c>
    </row>
    <row r="5485" spans="1:11" x14ac:dyDescent="0.25">
      <c r="A5485">
        <v>2</v>
      </c>
      <c r="B5485">
        <v>20</v>
      </c>
      <c r="C5485"/>
      <c r="D5485" t="s">
        <v>31</v>
      </c>
      <c r="E5485" t="s">
        <v>32</v>
      </c>
      <c r="F5485" t="s">
        <v>92</v>
      </c>
      <c r="G5485" s="118">
        <v>0.89802083333333327</v>
      </c>
      <c r="H5485" s="118">
        <v>5.2083333333333333E-4</v>
      </c>
      <c r="I5485" s="118">
        <v>1.0069444444444444E-3</v>
      </c>
      <c r="J5485" s="118">
        <v>7.0717592592592594E-3</v>
      </c>
      <c r="K5485" s="118">
        <v>7.0717592592592594E-3</v>
      </c>
    </row>
    <row r="5486" spans="1:11" x14ac:dyDescent="0.25">
      <c r="A5486">
        <v>5</v>
      </c>
      <c r="B5486">
        <v>20</v>
      </c>
      <c r="C5486"/>
      <c r="D5486" t="s">
        <v>31</v>
      </c>
      <c r="E5486" t="s">
        <v>32</v>
      </c>
      <c r="F5486" t="s">
        <v>46</v>
      </c>
      <c r="G5486" s="118">
        <v>0.89827546296296301</v>
      </c>
      <c r="H5486" s="118">
        <v>3.4722222222222224E-4</v>
      </c>
      <c r="I5486" s="118">
        <v>9.1435185185185185E-4</v>
      </c>
      <c r="J5486" s="118">
        <v>7.0717592592592594E-3</v>
      </c>
      <c r="K5486" s="118">
        <v>7.0717592592592594E-3</v>
      </c>
    </row>
    <row r="5487" spans="1:11" x14ac:dyDescent="0.25">
      <c r="A5487">
        <v>9</v>
      </c>
      <c r="B5487">
        <v>6</v>
      </c>
      <c r="C5487"/>
      <c r="D5487" t="s">
        <v>31</v>
      </c>
      <c r="E5487" t="s">
        <v>35</v>
      </c>
      <c r="F5487" t="s">
        <v>56</v>
      </c>
      <c r="G5487" s="118">
        <v>0.89832175925925928</v>
      </c>
      <c r="H5487" s="118">
        <v>1.261574074074074E-3</v>
      </c>
      <c r="I5487" s="118">
        <v>3.4722222222222224E-4</v>
      </c>
      <c r="J5487"/>
      <c r="K5487"/>
    </row>
    <row r="5488" spans="1:11" x14ac:dyDescent="0.25">
      <c r="A5488">
        <v>1</v>
      </c>
      <c r="B5488">
        <v>19</v>
      </c>
      <c r="C5488"/>
      <c r="D5488" t="s">
        <v>31</v>
      </c>
      <c r="E5488" t="s">
        <v>35</v>
      </c>
      <c r="F5488" t="s">
        <v>45</v>
      </c>
      <c r="G5488" s="118">
        <v>0.89859953703703699</v>
      </c>
      <c r="H5488" s="118">
        <v>1.2384259259259258E-3</v>
      </c>
      <c r="I5488" s="118">
        <v>3.4722222222222224E-4</v>
      </c>
      <c r="J5488"/>
      <c r="K5488"/>
    </row>
    <row r="5489" spans="1:11" x14ac:dyDescent="0.25">
      <c r="A5489">
        <v>9</v>
      </c>
      <c r="B5489">
        <v>6</v>
      </c>
      <c r="C5489"/>
      <c r="D5489" t="s">
        <v>31</v>
      </c>
      <c r="E5489" t="s">
        <v>32</v>
      </c>
      <c r="F5489" t="s">
        <v>56</v>
      </c>
      <c r="G5489" s="118">
        <v>0.89866898148148155</v>
      </c>
      <c r="H5489" s="118">
        <v>3.4722222222222224E-4</v>
      </c>
      <c r="I5489" s="118">
        <v>9.6064814814814808E-4</v>
      </c>
      <c r="J5489" s="118">
        <v>7.0717592592592594E-3</v>
      </c>
      <c r="K5489" s="118">
        <v>7.0717592592592594E-3</v>
      </c>
    </row>
    <row r="5490" spans="1:11" x14ac:dyDescent="0.25">
      <c r="A5490">
        <v>1</v>
      </c>
      <c r="B5490">
        <v>19</v>
      </c>
      <c r="C5490"/>
      <c r="D5490" t="s">
        <v>31</v>
      </c>
      <c r="E5490" t="s">
        <v>32</v>
      </c>
      <c r="F5490" t="s">
        <v>45</v>
      </c>
      <c r="G5490" s="118">
        <v>0.89894675925925915</v>
      </c>
      <c r="H5490" s="118">
        <v>3.4722222222222224E-4</v>
      </c>
      <c r="I5490" s="118">
        <v>1.0416666666666667E-3</v>
      </c>
      <c r="J5490" s="118">
        <v>7.0717592592592594E-3</v>
      </c>
      <c r="K5490" s="118">
        <v>7.0717592592592594E-3</v>
      </c>
    </row>
    <row r="5491" spans="1:11" x14ac:dyDescent="0.25">
      <c r="A5491">
        <v>2</v>
      </c>
      <c r="B5491">
        <v>20</v>
      </c>
      <c r="C5491"/>
      <c r="D5491" t="s">
        <v>31</v>
      </c>
      <c r="E5491" t="s">
        <v>35</v>
      </c>
      <c r="F5491" t="s">
        <v>41</v>
      </c>
      <c r="G5491" s="118">
        <v>0.89902777777777787</v>
      </c>
      <c r="H5491" s="118">
        <v>1.0069444444444444E-3</v>
      </c>
      <c r="I5491" s="118">
        <v>3.4722222222222224E-4</v>
      </c>
      <c r="J5491"/>
      <c r="K5491"/>
    </row>
    <row r="5492" spans="1:11" x14ac:dyDescent="0.25">
      <c r="A5492">
        <v>5</v>
      </c>
      <c r="B5492">
        <v>20</v>
      </c>
      <c r="C5492"/>
      <c r="D5492" t="s">
        <v>31</v>
      </c>
      <c r="E5492" t="s">
        <v>35</v>
      </c>
      <c r="F5492" t="s">
        <v>51</v>
      </c>
      <c r="G5492" s="118">
        <v>0.89918981481481486</v>
      </c>
      <c r="H5492" s="118">
        <v>9.1435185185185185E-4</v>
      </c>
      <c r="I5492" s="118">
        <v>3.4722222222222224E-4</v>
      </c>
      <c r="J5492"/>
      <c r="K5492"/>
    </row>
    <row r="5493" spans="1:11" x14ac:dyDescent="0.25">
      <c r="A5493">
        <v>4</v>
      </c>
      <c r="B5493">
        <v>19</v>
      </c>
      <c r="C5493"/>
      <c r="D5493" t="s">
        <v>31</v>
      </c>
      <c r="E5493" t="s">
        <v>35</v>
      </c>
      <c r="F5493" t="s">
        <v>33</v>
      </c>
      <c r="G5493" s="118">
        <v>0.89936342592592589</v>
      </c>
      <c r="H5493" s="118">
        <v>1.3541666666666667E-3</v>
      </c>
      <c r="I5493" s="118">
        <v>5.2083333333333333E-4</v>
      </c>
      <c r="J5493"/>
      <c r="K5493"/>
    </row>
    <row r="5494" spans="1:11" x14ac:dyDescent="0.25">
      <c r="A5494">
        <v>2</v>
      </c>
      <c r="B5494">
        <v>20</v>
      </c>
      <c r="C5494"/>
      <c r="D5494" t="s">
        <v>31</v>
      </c>
      <c r="E5494" t="s">
        <v>32</v>
      </c>
      <c r="F5494" t="s">
        <v>41</v>
      </c>
      <c r="G5494" s="118">
        <v>0.89937500000000004</v>
      </c>
      <c r="H5494" s="118">
        <v>3.4722222222222224E-4</v>
      </c>
      <c r="I5494" s="118">
        <v>8.564814814814815E-4</v>
      </c>
      <c r="J5494" s="118">
        <v>7.0717592592592594E-3</v>
      </c>
      <c r="K5494" s="118">
        <v>7.0717592592592594E-3</v>
      </c>
    </row>
    <row r="5495" spans="1:11" x14ac:dyDescent="0.25">
      <c r="A5495">
        <v>5</v>
      </c>
      <c r="B5495">
        <v>20</v>
      </c>
      <c r="C5495"/>
      <c r="D5495" t="s">
        <v>31</v>
      </c>
      <c r="E5495" t="s">
        <v>32</v>
      </c>
      <c r="F5495" t="s">
        <v>51</v>
      </c>
      <c r="G5495" s="118">
        <v>0.89953703703703702</v>
      </c>
      <c r="H5495" s="118">
        <v>3.4722222222222224E-4</v>
      </c>
      <c r="I5495" s="118">
        <v>1.0069444444444444E-3</v>
      </c>
      <c r="J5495" s="118">
        <v>7.0717592592592594E-3</v>
      </c>
      <c r="K5495" s="118">
        <v>7.0717592592592594E-3</v>
      </c>
    </row>
    <row r="5496" spans="1:11" x14ac:dyDescent="0.25">
      <c r="A5496">
        <v>9</v>
      </c>
      <c r="B5496">
        <v>6</v>
      </c>
      <c r="C5496"/>
      <c r="D5496" t="s">
        <v>31</v>
      </c>
      <c r="E5496" t="s">
        <v>35</v>
      </c>
      <c r="F5496" t="s">
        <v>37</v>
      </c>
      <c r="G5496" s="118">
        <v>0.89962962962962967</v>
      </c>
      <c r="H5496" s="118">
        <v>9.6064814814814808E-4</v>
      </c>
      <c r="I5496" s="118">
        <v>3.4722222222222224E-4</v>
      </c>
      <c r="J5496"/>
      <c r="K5496"/>
    </row>
    <row r="5497" spans="1:11" x14ac:dyDescent="0.25">
      <c r="A5497">
        <v>4</v>
      </c>
      <c r="B5497">
        <v>19</v>
      </c>
      <c r="C5497"/>
      <c r="D5497" t="s">
        <v>31</v>
      </c>
      <c r="E5497" t="s">
        <v>32</v>
      </c>
      <c r="F5497" t="s">
        <v>33</v>
      </c>
      <c r="G5497" s="118">
        <v>0.89988425925925919</v>
      </c>
      <c r="H5497" s="118">
        <v>5.2083333333333333E-4</v>
      </c>
      <c r="I5497" s="118">
        <v>9.6064814814814808E-4</v>
      </c>
      <c r="J5497" s="118">
        <v>7.0717592592592594E-3</v>
      </c>
      <c r="K5497" s="118">
        <v>7.0717592592592594E-3</v>
      </c>
    </row>
    <row r="5498" spans="1:11" x14ac:dyDescent="0.25">
      <c r="A5498">
        <v>9</v>
      </c>
      <c r="B5498">
        <v>6</v>
      </c>
      <c r="C5498"/>
      <c r="D5498" t="s">
        <v>31</v>
      </c>
      <c r="E5498" t="s">
        <v>32</v>
      </c>
      <c r="F5498" t="s">
        <v>37</v>
      </c>
      <c r="G5498" s="118">
        <v>0.89997685185185183</v>
      </c>
      <c r="H5498" s="118">
        <v>3.4722222222222224E-4</v>
      </c>
      <c r="I5498" s="118">
        <v>9.0277777777777784E-4</v>
      </c>
      <c r="J5498" s="118">
        <v>7.0717592592592594E-3</v>
      </c>
      <c r="K5498" s="118">
        <v>7.0717592592592594E-3</v>
      </c>
    </row>
    <row r="5499" spans="1:11" x14ac:dyDescent="0.25">
      <c r="A5499">
        <v>1</v>
      </c>
      <c r="B5499">
        <v>19</v>
      </c>
      <c r="C5499"/>
      <c r="D5499" t="s">
        <v>31</v>
      </c>
      <c r="E5499" t="s">
        <v>35</v>
      </c>
      <c r="F5499" t="s">
        <v>52</v>
      </c>
      <c r="G5499" s="118">
        <v>0.89998842592592598</v>
      </c>
      <c r="H5499" s="118">
        <v>1.0416666666666667E-3</v>
      </c>
      <c r="I5499" s="118">
        <v>3.4722222222222224E-4</v>
      </c>
      <c r="J5499"/>
      <c r="K5499"/>
    </row>
    <row r="5500" spans="1:11" x14ac:dyDescent="0.25">
      <c r="A5500">
        <v>2</v>
      </c>
      <c r="B5500">
        <v>20</v>
      </c>
      <c r="C5500"/>
      <c r="D5500" t="s">
        <v>31</v>
      </c>
      <c r="E5500" t="s">
        <v>35</v>
      </c>
      <c r="F5500" t="s">
        <v>47</v>
      </c>
      <c r="G5500" s="118">
        <v>0.90023148148148147</v>
      </c>
      <c r="H5500" s="118">
        <v>8.564814814814815E-4</v>
      </c>
      <c r="I5500" s="118">
        <v>5.2083333333333333E-4</v>
      </c>
      <c r="J5500"/>
      <c r="K5500"/>
    </row>
    <row r="5501" spans="1:11" x14ac:dyDescent="0.25">
      <c r="A5501">
        <v>1</v>
      </c>
      <c r="B5501">
        <v>19</v>
      </c>
      <c r="C5501"/>
      <c r="D5501" t="s">
        <v>31</v>
      </c>
      <c r="E5501" t="s">
        <v>32</v>
      </c>
      <c r="F5501" t="s">
        <v>52</v>
      </c>
      <c r="G5501" s="118">
        <v>0.90033564814814815</v>
      </c>
      <c r="H5501" s="118">
        <v>3.4722222222222224E-4</v>
      </c>
      <c r="I5501" s="118">
        <v>1.0532407407407407E-3</v>
      </c>
      <c r="J5501" s="118">
        <v>7.0717592592592594E-3</v>
      </c>
      <c r="K5501" s="118">
        <v>7.0717592592592594E-3</v>
      </c>
    </row>
    <row r="5502" spans="1:11" x14ac:dyDescent="0.25">
      <c r="A5502">
        <v>5</v>
      </c>
      <c r="B5502">
        <v>20</v>
      </c>
      <c r="C5502"/>
      <c r="D5502" t="s">
        <v>31</v>
      </c>
      <c r="E5502" t="s">
        <v>35</v>
      </c>
      <c r="F5502" t="s">
        <v>55</v>
      </c>
      <c r="G5502" s="118">
        <v>0.9005439814814814</v>
      </c>
      <c r="H5502" s="118">
        <v>1.0069444444444444E-3</v>
      </c>
      <c r="I5502" s="118">
        <v>4.6296296296296293E-4</v>
      </c>
      <c r="J5502"/>
      <c r="K5502"/>
    </row>
    <row r="5503" spans="1:11" x14ac:dyDescent="0.25">
      <c r="A5503">
        <v>2</v>
      </c>
      <c r="B5503">
        <v>20</v>
      </c>
      <c r="C5503"/>
      <c r="D5503" t="s">
        <v>31</v>
      </c>
      <c r="E5503" t="s">
        <v>32</v>
      </c>
      <c r="F5503" t="s">
        <v>47</v>
      </c>
      <c r="G5503" s="118">
        <v>0.90075231481481488</v>
      </c>
      <c r="H5503" s="118">
        <v>5.2083333333333333E-4</v>
      </c>
      <c r="I5503" s="118">
        <v>8.7962962962962962E-4</v>
      </c>
      <c r="J5503" s="118">
        <v>7.0717592592592594E-3</v>
      </c>
      <c r="K5503" s="118">
        <v>7.0717592592592594E-3</v>
      </c>
    </row>
    <row r="5504" spans="1:11" x14ac:dyDescent="0.25">
      <c r="A5504">
        <v>4</v>
      </c>
      <c r="B5504">
        <v>19</v>
      </c>
      <c r="C5504"/>
      <c r="D5504" t="s">
        <v>31</v>
      </c>
      <c r="E5504" t="s">
        <v>35</v>
      </c>
      <c r="F5504" t="s">
        <v>36</v>
      </c>
      <c r="G5504" s="118">
        <v>0.9008449074074073</v>
      </c>
      <c r="H5504" s="118">
        <v>9.6064814814814808E-4</v>
      </c>
      <c r="I5504" s="118">
        <v>3.4722222222222224E-4</v>
      </c>
      <c r="J5504"/>
      <c r="K5504"/>
    </row>
    <row r="5505" spans="1:11" x14ac:dyDescent="0.25">
      <c r="A5505">
        <v>9</v>
      </c>
      <c r="B5505">
        <v>6</v>
      </c>
      <c r="C5505"/>
      <c r="D5505" t="s">
        <v>31</v>
      </c>
      <c r="E5505" t="s">
        <v>35</v>
      </c>
      <c r="F5505" t="s">
        <v>42</v>
      </c>
      <c r="G5505" s="118">
        <v>0.90087962962962964</v>
      </c>
      <c r="H5505" s="118">
        <v>9.0277777777777784E-4</v>
      </c>
      <c r="I5505" s="118">
        <v>3.4722222222222224E-4</v>
      </c>
      <c r="J5505"/>
      <c r="K5505"/>
    </row>
    <row r="5506" spans="1:11" x14ac:dyDescent="0.25">
      <c r="A5506">
        <v>5</v>
      </c>
      <c r="B5506">
        <v>20</v>
      </c>
      <c r="C5506"/>
      <c r="D5506" t="s">
        <v>31</v>
      </c>
      <c r="E5506" t="s">
        <v>32</v>
      </c>
      <c r="F5506" t="s">
        <v>55</v>
      </c>
      <c r="G5506" s="118">
        <v>0.90100694444444451</v>
      </c>
      <c r="H5506" s="118">
        <v>4.6296296296296293E-4</v>
      </c>
      <c r="I5506" s="118">
        <v>4.3981481481481481E-4</v>
      </c>
      <c r="J5506" s="118">
        <v>7.0717592592592594E-3</v>
      </c>
      <c r="K5506" s="118">
        <v>7.0717592592592594E-3</v>
      </c>
    </row>
    <row r="5507" spans="1:11" x14ac:dyDescent="0.25">
      <c r="A5507">
        <v>4</v>
      </c>
      <c r="B5507">
        <v>19</v>
      </c>
      <c r="C5507"/>
      <c r="D5507" t="s">
        <v>31</v>
      </c>
      <c r="E5507" t="s">
        <v>32</v>
      </c>
      <c r="F5507" t="s">
        <v>36</v>
      </c>
      <c r="G5507" s="118">
        <v>0.90119212962962969</v>
      </c>
      <c r="H5507" s="118">
        <v>3.4722222222222224E-4</v>
      </c>
      <c r="I5507" s="118">
        <v>1.0995370370370371E-3</v>
      </c>
      <c r="J5507" s="118">
        <v>7.0717592592592594E-3</v>
      </c>
      <c r="K5507" s="118">
        <v>7.0717592592592594E-3</v>
      </c>
    </row>
    <row r="5508" spans="1:11" x14ac:dyDescent="0.25">
      <c r="A5508">
        <v>9</v>
      </c>
      <c r="B5508">
        <v>6</v>
      </c>
      <c r="C5508"/>
      <c r="D5508" t="s">
        <v>31</v>
      </c>
      <c r="E5508" t="s">
        <v>32</v>
      </c>
      <c r="F5508" t="s">
        <v>42</v>
      </c>
      <c r="G5508" s="118">
        <v>0.90122685185185192</v>
      </c>
      <c r="H5508" s="118">
        <v>3.4722222222222224E-4</v>
      </c>
      <c r="I5508" s="118">
        <v>9.1435185185185185E-4</v>
      </c>
      <c r="J5508" s="118">
        <v>7.0717592592592594E-3</v>
      </c>
      <c r="K5508" s="118">
        <v>7.0717592592592594E-3</v>
      </c>
    </row>
    <row r="5509" spans="1:11" x14ac:dyDescent="0.25">
      <c r="A5509">
        <v>1</v>
      </c>
      <c r="B5509">
        <v>19</v>
      </c>
      <c r="C5509"/>
      <c r="D5509" t="s">
        <v>31</v>
      </c>
      <c r="E5509" t="s">
        <v>35</v>
      </c>
      <c r="F5509" t="s">
        <v>57</v>
      </c>
      <c r="G5509" s="118">
        <v>0.90138888888888891</v>
      </c>
      <c r="H5509" s="118">
        <v>1.0532407407407407E-3</v>
      </c>
      <c r="I5509" s="118">
        <v>3.4722222222222224E-4</v>
      </c>
      <c r="J5509"/>
      <c r="K5509"/>
    </row>
    <row r="5510" spans="1:11" x14ac:dyDescent="0.25">
      <c r="A5510">
        <v>5</v>
      </c>
      <c r="B5510">
        <v>20</v>
      </c>
      <c r="C5510"/>
      <c r="D5510" t="s">
        <v>31</v>
      </c>
      <c r="E5510" t="s">
        <v>35</v>
      </c>
      <c r="F5510" t="s">
        <v>58</v>
      </c>
      <c r="G5510" s="118">
        <v>0.90144675925925932</v>
      </c>
      <c r="H5510" s="118">
        <v>4.3981481481481481E-4</v>
      </c>
      <c r="I5510" s="118">
        <v>5.7870370370370366E-5</v>
      </c>
      <c r="J5510"/>
      <c r="K5510"/>
    </row>
    <row r="5511" spans="1:11" x14ac:dyDescent="0.25">
      <c r="A5511">
        <v>5</v>
      </c>
      <c r="B5511">
        <v>20</v>
      </c>
      <c r="C5511"/>
      <c r="D5511" t="s">
        <v>31</v>
      </c>
      <c r="E5511" t="s">
        <v>32</v>
      </c>
      <c r="F5511" t="s">
        <v>58</v>
      </c>
      <c r="G5511" s="118">
        <v>0.90150462962962974</v>
      </c>
      <c r="H5511" s="118">
        <v>5.7870370370370366E-5</v>
      </c>
      <c r="I5511" s="118">
        <v>4.8611111111111104E-4</v>
      </c>
      <c r="J5511" s="118">
        <v>7.0717592592592594E-3</v>
      </c>
      <c r="K5511" s="118">
        <v>7.0717592592592594E-3</v>
      </c>
    </row>
    <row r="5512" spans="1:11" x14ac:dyDescent="0.25">
      <c r="A5512">
        <v>2</v>
      </c>
      <c r="B5512">
        <v>20</v>
      </c>
      <c r="C5512"/>
      <c r="D5512" t="s">
        <v>31</v>
      </c>
      <c r="E5512" t="s">
        <v>35</v>
      </c>
      <c r="F5512" t="s">
        <v>53</v>
      </c>
      <c r="G5512" s="118">
        <v>0.9016319444444445</v>
      </c>
      <c r="H5512" s="118">
        <v>8.7962962962962962E-4</v>
      </c>
      <c r="I5512" s="118">
        <v>3.4722222222222224E-4</v>
      </c>
      <c r="J5512"/>
      <c r="K5512"/>
    </row>
    <row r="5513" spans="1:11" x14ac:dyDescent="0.25">
      <c r="A5513">
        <v>1</v>
      </c>
      <c r="B5513">
        <v>19</v>
      </c>
      <c r="C5513"/>
      <c r="D5513" t="s">
        <v>31</v>
      </c>
      <c r="E5513" t="s">
        <v>32</v>
      </c>
      <c r="F5513" t="s">
        <v>57</v>
      </c>
      <c r="G5513" s="118">
        <v>0.90173611111111107</v>
      </c>
      <c r="H5513" s="118">
        <v>3.4722222222222224E-4</v>
      </c>
      <c r="I5513" s="118">
        <v>9.3750000000000007E-4</v>
      </c>
      <c r="J5513" s="118">
        <v>7.0717592592592594E-3</v>
      </c>
      <c r="K5513" s="118">
        <v>7.0717592592592594E-3</v>
      </c>
    </row>
    <row r="5514" spans="1:11" x14ac:dyDescent="0.25">
      <c r="A5514">
        <v>2</v>
      </c>
      <c r="B5514">
        <v>20</v>
      </c>
      <c r="C5514"/>
      <c r="D5514" t="s">
        <v>31</v>
      </c>
      <c r="E5514" t="s">
        <v>32</v>
      </c>
      <c r="F5514" t="s">
        <v>53</v>
      </c>
      <c r="G5514" s="118">
        <v>0.90197916666666667</v>
      </c>
      <c r="H5514" s="118">
        <v>3.4722222222222224E-4</v>
      </c>
      <c r="I5514" s="118">
        <v>8.449074074074075E-4</v>
      </c>
      <c r="J5514" s="118">
        <v>7.0717592592592594E-3</v>
      </c>
      <c r="K5514" s="118">
        <v>7.0717592592592594E-3</v>
      </c>
    </row>
    <row r="5515" spans="1:11" x14ac:dyDescent="0.25">
      <c r="A5515">
        <v>5</v>
      </c>
      <c r="B5515">
        <v>20</v>
      </c>
      <c r="C5515"/>
      <c r="D5515" t="s">
        <v>31</v>
      </c>
      <c r="E5515" t="s">
        <v>35</v>
      </c>
      <c r="F5515" t="s">
        <v>40</v>
      </c>
      <c r="G5515" s="118">
        <v>0.9019907407407407</v>
      </c>
      <c r="H5515" s="118">
        <v>4.8611111111111104E-4</v>
      </c>
      <c r="I5515" s="118">
        <v>4.6296296296296293E-4</v>
      </c>
      <c r="J5515"/>
      <c r="K5515"/>
    </row>
    <row r="5516" spans="1:11" x14ac:dyDescent="0.25">
      <c r="A5516">
        <v>9</v>
      </c>
      <c r="B5516">
        <v>6</v>
      </c>
      <c r="C5516"/>
      <c r="D5516" t="s">
        <v>31</v>
      </c>
      <c r="E5516" t="s">
        <v>35</v>
      </c>
      <c r="F5516" t="s">
        <v>48</v>
      </c>
      <c r="G5516" s="118">
        <v>0.90214120370370365</v>
      </c>
      <c r="H5516" s="118">
        <v>9.1435185185185185E-4</v>
      </c>
      <c r="I5516" s="118">
        <v>5.2083333333333333E-4</v>
      </c>
      <c r="J5516"/>
      <c r="K5516"/>
    </row>
    <row r="5517" spans="1:11" x14ac:dyDescent="0.25">
      <c r="A5517">
        <v>4</v>
      </c>
      <c r="B5517">
        <v>19</v>
      </c>
      <c r="C5517"/>
      <c r="D5517" t="s">
        <v>31</v>
      </c>
      <c r="E5517" t="s">
        <v>35</v>
      </c>
      <c r="F5517" t="s">
        <v>43</v>
      </c>
      <c r="G5517" s="118">
        <v>0.90229166666666671</v>
      </c>
      <c r="H5517" s="118">
        <v>1.0995370370370371E-3</v>
      </c>
      <c r="I5517" s="118">
        <v>3.4722222222222224E-4</v>
      </c>
      <c r="J5517"/>
      <c r="K5517"/>
    </row>
    <row r="5518" spans="1:11" x14ac:dyDescent="0.25">
      <c r="A5518">
        <v>5</v>
      </c>
      <c r="B5518">
        <v>20</v>
      </c>
      <c r="C5518"/>
      <c r="D5518" t="s">
        <v>31</v>
      </c>
      <c r="E5518" t="s">
        <v>32</v>
      </c>
      <c r="F5518" t="s">
        <v>40</v>
      </c>
      <c r="G5518" s="118">
        <v>0.9024537037037037</v>
      </c>
      <c r="H5518" s="118">
        <v>4.6296296296296293E-4</v>
      </c>
      <c r="I5518" s="118">
        <v>1.0069444444444444E-3</v>
      </c>
      <c r="J5518" s="118">
        <v>7.0717592592592594E-3</v>
      </c>
      <c r="K5518" s="118">
        <v>7.0717592592592594E-3</v>
      </c>
    </row>
    <row r="5519" spans="1:11" x14ac:dyDescent="0.25">
      <c r="A5519">
        <v>4</v>
      </c>
      <c r="B5519">
        <v>19</v>
      </c>
      <c r="C5519"/>
      <c r="D5519" t="s">
        <v>31</v>
      </c>
      <c r="E5519" t="s">
        <v>32</v>
      </c>
      <c r="F5519" t="s">
        <v>43</v>
      </c>
      <c r="G5519" s="118">
        <v>0.90263888888888888</v>
      </c>
      <c r="H5519" s="118">
        <v>3.4722222222222224E-4</v>
      </c>
      <c r="I5519" s="118">
        <v>1.1458333333333333E-3</v>
      </c>
      <c r="J5519" s="118">
        <v>7.0717592592592594E-3</v>
      </c>
      <c r="K5519" s="118">
        <v>7.0717592592592594E-3</v>
      </c>
    </row>
    <row r="5520" spans="1:11" x14ac:dyDescent="0.25">
      <c r="A5520">
        <v>9</v>
      </c>
      <c r="B5520">
        <v>6</v>
      </c>
      <c r="C5520"/>
      <c r="D5520" t="s">
        <v>31</v>
      </c>
      <c r="E5520" t="s">
        <v>32</v>
      </c>
      <c r="F5520" t="s">
        <v>48</v>
      </c>
      <c r="G5520" s="118">
        <v>0.90266203703703696</v>
      </c>
      <c r="H5520" s="118">
        <v>5.2083333333333333E-4</v>
      </c>
      <c r="I5520" s="118">
        <v>8.6805555555555551E-4</v>
      </c>
      <c r="J5520" s="118">
        <v>7.0717592592592594E-3</v>
      </c>
      <c r="K5520" s="118">
        <v>7.0717592592592594E-3</v>
      </c>
    </row>
    <row r="5521" spans="1:11" x14ac:dyDescent="0.25">
      <c r="A5521">
        <v>1</v>
      </c>
      <c r="B5521">
        <v>19</v>
      </c>
      <c r="C5521"/>
      <c r="D5521" t="s">
        <v>31</v>
      </c>
      <c r="E5521" t="s">
        <v>35</v>
      </c>
      <c r="F5521" t="s">
        <v>39</v>
      </c>
      <c r="G5521" s="118">
        <v>0.90267361111111111</v>
      </c>
      <c r="H5521" s="118">
        <v>9.3750000000000007E-4</v>
      </c>
      <c r="I5521" s="118">
        <v>5.2083333333333333E-4</v>
      </c>
      <c r="J5521"/>
      <c r="K5521"/>
    </row>
    <row r="5522" spans="1:11" x14ac:dyDescent="0.25">
      <c r="A5522">
        <v>2</v>
      </c>
      <c r="B5522">
        <v>20</v>
      </c>
      <c r="C5522"/>
      <c r="D5522" t="s">
        <v>31</v>
      </c>
      <c r="E5522" t="s">
        <v>35</v>
      </c>
      <c r="F5522" t="s">
        <v>34</v>
      </c>
      <c r="G5522" s="118">
        <v>0.90282407407407417</v>
      </c>
      <c r="H5522" s="118">
        <v>8.449074074074075E-4</v>
      </c>
      <c r="I5522" s="118">
        <v>3.4722222222222224E-4</v>
      </c>
      <c r="J5522"/>
      <c r="K5522"/>
    </row>
    <row r="5523" spans="1:11" x14ac:dyDescent="0.25">
      <c r="A5523">
        <v>2</v>
      </c>
      <c r="B5523">
        <v>20</v>
      </c>
      <c r="C5523"/>
      <c r="D5523" t="s">
        <v>31</v>
      </c>
      <c r="E5523" t="s">
        <v>32</v>
      </c>
      <c r="F5523" t="s">
        <v>34</v>
      </c>
      <c r="G5523" s="118">
        <v>0.90317129629629633</v>
      </c>
      <c r="H5523" s="118">
        <v>3.4722222222222224E-4</v>
      </c>
      <c r="I5523" s="118">
        <v>9.1435185185185185E-4</v>
      </c>
      <c r="J5523" s="118">
        <v>7.0717592592592594E-3</v>
      </c>
      <c r="K5523" s="118">
        <v>7.0717592592592594E-3</v>
      </c>
    </row>
    <row r="5524" spans="1:11" x14ac:dyDescent="0.25">
      <c r="A5524">
        <v>1</v>
      </c>
      <c r="B5524">
        <v>19</v>
      </c>
      <c r="C5524"/>
      <c r="D5524" t="s">
        <v>31</v>
      </c>
      <c r="E5524" t="s">
        <v>32</v>
      </c>
      <c r="F5524" t="s">
        <v>39</v>
      </c>
      <c r="G5524" s="118">
        <v>0.90319444444444441</v>
      </c>
      <c r="H5524" s="118">
        <v>5.2083333333333333E-4</v>
      </c>
      <c r="I5524" s="118">
        <v>1.8055555555555557E-3</v>
      </c>
      <c r="J5524" s="118">
        <v>7.0717592592592594E-3</v>
      </c>
      <c r="K5524" s="118">
        <v>7.0717592592592594E-3</v>
      </c>
    </row>
    <row r="5525" spans="1:11" x14ac:dyDescent="0.25">
      <c r="A5525">
        <v>5</v>
      </c>
      <c r="B5525">
        <v>20</v>
      </c>
      <c r="C5525"/>
      <c r="D5525" t="s">
        <v>31</v>
      </c>
      <c r="E5525" t="s">
        <v>35</v>
      </c>
      <c r="F5525" t="s">
        <v>44</v>
      </c>
      <c r="G5525" s="118">
        <v>0.90346064814814808</v>
      </c>
      <c r="H5525" s="118">
        <v>1.0069444444444444E-3</v>
      </c>
      <c r="I5525" s="118">
        <v>3.4722222222222224E-4</v>
      </c>
      <c r="J5525"/>
      <c r="K5525"/>
    </row>
    <row r="5526" spans="1:11" x14ac:dyDescent="0.25">
      <c r="A5526">
        <v>9</v>
      </c>
      <c r="B5526">
        <v>6</v>
      </c>
      <c r="C5526"/>
      <c r="D5526" t="s">
        <v>31</v>
      </c>
      <c r="E5526" t="s">
        <v>35</v>
      </c>
      <c r="F5526" t="s">
        <v>54</v>
      </c>
      <c r="G5526" s="118">
        <v>0.90353009259259265</v>
      </c>
      <c r="H5526" s="118">
        <v>8.6805555555555551E-4</v>
      </c>
      <c r="I5526" s="118">
        <v>3.4722222222222224E-4</v>
      </c>
      <c r="J5526"/>
      <c r="K5526"/>
    </row>
    <row r="5527" spans="1:11" x14ac:dyDescent="0.25">
      <c r="A5527">
        <v>4</v>
      </c>
      <c r="B5527">
        <v>19</v>
      </c>
      <c r="C5527"/>
      <c r="D5527" t="s">
        <v>31</v>
      </c>
      <c r="E5527" t="s">
        <v>35</v>
      </c>
      <c r="F5527" t="s">
        <v>50</v>
      </c>
      <c r="G5527" s="118">
        <v>0.90378472222222228</v>
      </c>
      <c r="H5527" s="118">
        <v>1.1458333333333333E-3</v>
      </c>
      <c r="I5527" s="118">
        <v>3.4722222222222224E-4</v>
      </c>
      <c r="J5527"/>
      <c r="K5527"/>
    </row>
    <row r="5528" spans="1:11" x14ac:dyDescent="0.25">
      <c r="A5528">
        <v>5</v>
      </c>
      <c r="B5528">
        <v>20</v>
      </c>
      <c r="C5528"/>
      <c r="D5528" t="s">
        <v>31</v>
      </c>
      <c r="E5528" t="s">
        <v>32</v>
      </c>
      <c r="F5528" t="s">
        <v>44</v>
      </c>
      <c r="G5528" s="118">
        <v>0.90380787037037036</v>
      </c>
      <c r="H5528" s="118">
        <v>3.4722222222222224E-4</v>
      </c>
      <c r="I5528" s="118">
        <v>9.2592592592592585E-4</v>
      </c>
      <c r="J5528" s="118">
        <v>7.0717592592592594E-3</v>
      </c>
      <c r="K5528" s="118">
        <v>7.0717592592592594E-3</v>
      </c>
    </row>
    <row r="5529" spans="1:11" x14ac:dyDescent="0.25">
      <c r="A5529">
        <v>9</v>
      </c>
      <c r="B5529">
        <v>6</v>
      </c>
      <c r="C5529"/>
      <c r="D5529" t="s">
        <v>31</v>
      </c>
      <c r="E5529" t="s">
        <v>32</v>
      </c>
      <c r="F5529" t="s">
        <v>54</v>
      </c>
      <c r="G5529" s="118">
        <v>0.90387731481481481</v>
      </c>
      <c r="H5529" s="118">
        <v>3.4722222222222224E-4</v>
      </c>
      <c r="I5529" s="118">
        <v>6.9444444444444447E-4</v>
      </c>
      <c r="J5529" s="118">
        <v>7.0717592592592594E-3</v>
      </c>
      <c r="K5529" s="118">
        <v>7.0717592592592594E-3</v>
      </c>
    </row>
    <row r="5530" spans="1:11" x14ac:dyDescent="0.25">
      <c r="A5530">
        <v>2</v>
      </c>
      <c r="B5530">
        <v>20</v>
      </c>
      <c r="C5530"/>
      <c r="D5530" t="s">
        <v>31</v>
      </c>
      <c r="E5530" t="s">
        <v>35</v>
      </c>
      <c r="F5530" t="s">
        <v>38</v>
      </c>
      <c r="G5530" s="118">
        <v>0.90408564814814818</v>
      </c>
      <c r="H5530" s="118">
        <v>9.1435185185185185E-4</v>
      </c>
      <c r="I5530" s="118">
        <v>3.4722222222222224E-4</v>
      </c>
      <c r="J5530"/>
      <c r="K5530"/>
    </row>
    <row r="5531" spans="1:11" x14ac:dyDescent="0.25">
      <c r="A5531">
        <v>4</v>
      </c>
      <c r="B5531">
        <v>19</v>
      </c>
      <c r="C5531"/>
      <c r="D5531" t="s">
        <v>31</v>
      </c>
      <c r="E5531" t="s">
        <v>32</v>
      </c>
      <c r="F5531" t="s">
        <v>50</v>
      </c>
      <c r="G5531" s="118">
        <v>0.90413194444444445</v>
      </c>
      <c r="H5531" s="118">
        <v>3.4722222222222224E-4</v>
      </c>
      <c r="I5531" s="118">
        <v>1.261574074074074E-3</v>
      </c>
      <c r="J5531" s="118">
        <v>7.0717592592592594E-3</v>
      </c>
      <c r="K5531" s="118">
        <v>7.0717592592592594E-3</v>
      </c>
    </row>
    <row r="5532" spans="1:11" x14ac:dyDescent="0.25">
      <c r="A5532">
        <v>2</v>
      </c>
      <c r="B5532">
        <v>20</v>
      </c>
      <c r="C5532"/>
      <c r="D5532" t="s">
        <v>31</v>
      </c>
      <c r="E5532" t="s">
        <v>32</v>
      </c>
      <c r="F5532" t="s">
        <v>38</v>
      </c>
      <c r="G5532" s="118">
        <v>0.90443287037037035</v>
      </c>
      <c r="H5532" s="118">
        <v>3.4722222222222224E-4</v>
      </c>
      <c r="I5532" s="118">
        <v>1.2384259259259258E-3</v>
      </c>
      <c r="J5532" s="118">
        <v>7.0717592592592594E-3</v>
      </c>
      <c r="K5532" s="118">
        <v>7.0717592592592594E-3</v>
      </c>
    </row>
    <row r="5533" spans="1:11" x14ac:dyDescent="0.25">
      <c r="A5533">
        <v>9</v>
      </c>
      <c r="B5533">
        <v>6</v>
      </c>
      <c r="C5533"/>
      <c r="D5533" t="s">
        <v>31</v>
      </c>
      <c r="E5533" t="s">
        <v>35</v>
      </c>
      <c r="F5533" t="s">
        <v>92</v>
      </c>
      <c r="G5533" s="118">
        <v>0.90457175925925926</v>
      </c>
      <c r="H5533" s="118">
        <v>6.9444444444444447E-4</v>
      </c>
      <c r="I5533" s="118">
        <v>5.2083333333333333E-4</v>
      </c>
      <c r="J5533"/>
      <c r="K5533"/>
    </row>
    <row r="5534" spans="1:11" x14ac:dyDescent="0.25">
      <c r="A5534">
        <v>5</v>
      </c>
      <c r="B5534">
        <v>20</v>
      </c>
      <c r="C5534"/>
      <c r="D5534" t="s">
        <v>31</v>
      </c>
      <c r="E5534" t="s">
        <v>35</v>
      </c>
      <c r="F5534" t="s">
        <v>49</v>
      </c>
      <c r="G5534" s="118">
        <v>0.90473379629629624</v>
      </c>
      <c r="H5534" s="118">
        <v>9.2592592592592585E-4</v>
      </c>
      <c r="I5534" s="118">
        <v>3.4722222222222224E-4</v>
      </c>
      <c r="J5534"/>
      <c r="K5534"/>
    </row>
    <row r="5535" spans="1:11" x14ac:dyDescent="0.25">
      <c r="A5535">
        <v>1</v>
      </c>
      <c r="B5535">
        <v>19</v>
      </c>
      <c r="C5535"/>
      <c r="D5535" t="s">
        <v>31</v>
      </c>
      <c r="E5535" t="s">
        <v>35</v>
      </c>
      <c r="F5535" t="s">
        <v>46</v>
      </c>
      <c r="G5535" s="118">
        <v>0.90499999999999992</v>
      </c>
      <c r="H5535" s="118">
        <v>1.8055555555555557E-3</v>
      </c>
      <c r="I5535" s="118">
        <v>3.4722222222222224E-4</v>
      </c>
      <c r="J5535"/>
      <c r="K5535"/>
    </row>
    <row r="5536" spans="1:11" x14ac:dyDescent="0.25">
      <c r="A5536">
        <v>5</v>
      </c>
      <c r="B5536">
        <v>20</v>
      </c>
      <c r="C5536"/>
      <c r="D5536" t="s">
        <v>31</v>
      </c>
      <c r="E5536" t="s">
        <v>32</v>
      </c>
      <c r="F5536" t="s">
        <v>49</v>
      </c>
      <c r="G5536" s="118">
        <v>0.90508101851851863</v>
      </c>
      <c r="H5536" s="118">
        <v>3.4722222222222224E-4</v>
      </c>
      <c r="I5536" s="118">
        <v>1.3541666666666667E-3</v>
      </c>
      <c r="J5536" s="118">
        <v>7.0717592592592594E-3</v>
      </c>
      <c r="K5536" s="118">
        <v>7.0717592592592594E-3</v>
      </c>
    </row>
    <row r="5537" spans="1:11" x14ac:dyDescent="0.25">
      <c r="A5537">
        <v>9</v>
      </c>
      <c r="B5537">
        <v>7</v>
      </c>
      <c r="C5537"/>
      <c r="D5537" t="s">
        <v>31</v>
      </c>
      <c r="E5537" t="s">
        <v>32</v>
      </c>
      <c r="F5537" t="s">
        <v>92</v>
      </c>
      <c r="G5537" s="118">
        <v>0.90509259259259256</v>
      </c>
      <c r="H5537" s="118">
        <v>5.2083333333333333E-4</v>
      </c>
      <c r="I5537" s="118">
        <v>1.0069444444444444E-3</v>
      </c>
      <c r="J5537" s="118">
        <v>7.0717592592592594E-3</v>
      </c>
      <c r="K5537" s="118">
        <v>7.0717592592592594E-3</v>
      </c>
    </row>
    <row r="5538" spans="1:11" x14ac:dyDescent="0.25">
      <c r="A5538">
        <v>1</v>
      </c>
      <c r="B5538">
        <v>19</v>
      </c>
      <c r="C5538"/>
      <c r="D5538" t="s">
        <v>31</v>
      </c>
      <c r="E5538" t="s">
        <v>32</v>
      </c>
      <c r="F5538" t="s">
        <v>46</v>
      </c>
      <c r="G5538" s="118">
        <v>0.90534722222222219</v>
      </c>
      <c r="H5538" s="118">
        <v>3.4722222222222224E-4</v>
      </c>
      <c r="I5538" s="118">
        <v>9.1435185185185185E-4</v>
      </c>
      <c r="J5538" s="118">
        <v>7.0717592592592594E-3</v>
      </c>
      <c r="K5538" s="118">
        <v>7.0717592592592594E-3</v>
      </c>
    </row>
    <row r="5539" spans="1:11" x14ac:dyDescent="0.25">
      <c r="A5539">
        <v>4</v>
      </c>
      <c r="B5539">
        <v>19</v>
      </c>
      <c r="C5539"/>
      <c r="D5539" t="s">
        <v>31</v>
      </c>
      <c r="E5539" t="s">
        <v>35</v>
      </c>
      <c r="F5539" t="s">
        <v>56</v>
      </c>
      <c r="G5539" s="118">
        <v>0.90539351851851846</v>
      </c>
      <c r="H5539" s="118">
        <v>1.261574074074074E-3</v>
      </c>
      <c r="I5539" s="118">
        <v>3.4722222222222224E-4</v>
      </c>
      <c r="J5539"/>
      <c r="K5539"/>
    </row>
    <row r="5540" spans="1:11" x14ac:dyDescent="0.25">
      <c r="A5540">
        <v>2</v>
      </c>
      <c r="B5540">
        <v>20</v>
      </c>
      <c r="C5540"/>
      <c r="D5540" t="s">
        <v>31</v>
      </c>
      <c r="E5540" t="s">
        <v>35</v>
      </c>
      <c r="F5540" t="s">
        <v>45</v>
      </c>
      <c r="G5540" s="118">
        <v>0.90567129629629628</v>
      </c>
      <c r="H5540" s="118">
        <v>1.2384259259259258E-3</v>
      </c>
      <c r="I5540" s="118">
        <v>3.4722222222222224E-4</v>
      </c>
      <c r="J5540"/>
      <c r="K5540"/>
    </row>
    <row r="5541" spans="1:11" x14ac:dyDescent="0.25">
      <c r="A5541">
        <v>4</v>
      </c>
      <c r="B5541">
        <v>19</v>
      </c>
      <c r="C5541"/>
      <c r="D5541" t="s">
        <v>31</v>
      </c>
      <c r="E5541" t="s">
        <v>32</v>
      </c>
      <c r="F5541" t="s">
        <v>56</v>
      </c>
      <c r="G5541" s="118">
        <v>0.90574074074074085</v>
      </c>
      <c r="H5541" s="118">
        <v>3.4722222222222224E-4</v>
      </c>
      <c r="I5541" s="118">
        <v>9.6064814814814808E-4</v>
      </c>
      <c r="J5541" s="118">
        <v>7.0717592592592594E-3</v>
      </c>
      <c r="K5541" s="118">
        <v>7.0717592592592594E-3</v>
      </c>
    </row>
    <row r="5542" spans="1:11" x14ac:dyDescent="0.25">
      <c r="A5542">
        <v>2</v>
      </c>
      <c r="B5542">
        <v>20</v>
      </c>
      <c r="C5542"/>
      <c r="D5542" t="s">
        <v>31</v>
      </c>
      <c r="E5542" t="s">
        <v>32</v>
      </c>
      <c r="F5542" t="s">
        <v>45</v>
      </c>
      <c r="G5542" s="118">
        <v>0.90601851851851845</v>
      </c>
      <c r="H5542" s="118">
        <v>3.4722222222222224E-4</v>
      </c>
      <c r="I5542" s="118">
        <v>1.0416666666666667E-3</v>
      </c>
      <c r="J5542" s="118">
        <v>7.0717592592592594E-3</v>
      </c>
      <c r="K5542" s="118">
        <v>7.0717592592592594E-3</v>
      </c>
    </row>
    <row r="5543" spans="1:11" x14ac:dyDescent="0.25">
      <c r="A5543">
        <v>9</v>
      </c>
      <c r="B5543">
        <v>7</v>
      </c>
      <c r="C5543"/>
      <c r="D5543" t="s">
        <v>31</v>
      </c>
      <c r="E5543" t="s">
        <v>35</v>
      </c>
      <c r="F5543" t="s">
        <v>41</v>
      </c>
      <c r="G5543" s="118">
        <v>0.90609953703703694</v>
      </c>
      <c r="H5543" s="118">
        <v>1.0069444444444444E-3</v>
      </c>
      <c r="I5543" s="118">
        <v>3.4722222222222224E-4</v>
      </c>
      <c r="J5543"/>
      <c r="K5543"/>
    </row>
    <row r="5544" spans="1:11" x14ac:dyDescent="0.25">
      <c r="A5544">
        <v>1</v>
      </c>
      <c r="B5544">
        <v>19</v>
      </c>
      <c r="C5544"/>
      <c r="D5544" t="s">
        <v>31</v>
      </c>
      <c r="E5544" t="s">
        <v>35</v>
      </c>
      <c r="F5544" t="s">
        <v>51</v>
      </c>
      <c r="G5544" s="118">
        <v>0.90626157407407415</v>
      </c>
      <c r="H5544" s="118">
        <v>9.1435185185185185E-4</v>
      </c>
      <c r="I5544" s="118">
        <v>3.4722222222222224E-4</v>
      </c>
      <c r="J5544"/>
      <c r="K5544"/>
    </row>
    <row r="5545" spans="1:11" x14ac:dyDescent="0.25">
      <c r="A5545">
        <v>5</v>
      </c>
      <c r="B5545">
        <v>20</v>
      </c>
      <c r="C5545"/>
      <c r="D5545" t="s">
        <v>31</v>
      </c>
      <c r="E5545" t="s">
        <v>35</v>
      </c>
      <c r="F5545" t="s">
        <v>33</v>
      </c>
      <c r="G5545" s="118">
        <v>0.90643518518518518</v>
      </c>
      <c r="H5545" s="118">
        <v>1.3541666666666667E-3</v>
      </c>
      <c r="I5545" s="118">
        <v>5.2083333333333333E-4</v>
      </c>
      <c r="J5545"/>
      <c r="K5545"/>
    </row>
    <row r="5546" spans="1:11" x14ac:dyDescent="0.25">
      <c r="A5546">
        <v>9</v>
      </c>
      <c r="B5546">
        <v>7</v>
      </c>
      <c r="C5546"/>
      <c r="D5546" t="s">
        <v>31</v>
      </c>
      <c r="E5546" t="s">
        <v>32</v>
      </c>
      <c r="F5546" t="s">
        <v>41</v>
      </c>
      <c r="G5546" s="118">
        <v>0.90644675925925933</v>
      </c>
      <c r="H5546" s="118">
        <v>3.4722222222222224E-4</v>
      </c>
      <c r="I5546" s="118">
        <v>8.564814814814815E-4</v>
      </c>
      <c r="J5546" s="118">
        <v>7.0717592592592594E-3</v>
      </c>
      <c r="K5546" s="118">
        <v>7.0717592592592594E-3</v>
      </c>
    </row>
    <row r="5547" spans="1:11" x14ac:dyDescent="0.25">
      <c r="A5547">
        <v>1</v>
      </c>
      <c r="B5547">
        <v>19</v>
      </c>
      <c r="C5547"/>
      <c r="D5547" t="s">
        <v>31</v>
      </c>
      <c r="E5547" t="s">
        <v>32</v>
      </c>
      <c r="F5547" t="s">
        <v>51</v>
      </c>
      <c r="G5547" s="118">
        <v>0.90660879629629632</v>
      </c>
      <c r="H5547" s="118">
        <v>3.4722222222222224E-4</v>
      </c>
      <c r="I5547" s="118">
        <v>1.0069444444444444E-3</v>
      </c>
      <c r="J5547" s="118">
        <v>7.0717592592592594E-3</v>
      </c>
      <c r="K5547" s="118">
        <v>7.0717592592592594E-3</v>
      </c>
    </row>
    <row r="5548" spans="1:11" x14ac:dyDescent="0.25">
      <c r="A5548">
        <v>4</v>
      </c>
      <c r="B5548">
        <v>19</v>
      </c>
      <c r="C5548"/>
      <c r="D5548" t="s">
        <v>31</v>
      </c>
      <c r="E5548" t="s">
        <v>35</v>
      </c>
      <c r="F5548" t="s">
        <v>37</v>
      </c>
      <c r="G5548" s="118">
        <v>0.90670138888888896</v>
      </c>
      <c r="H5548" s="118">
        <v>9.6064814814814808E-4</v>
      </c>
      <c r="I5548" s="118">
        <v>3.4722222222222224E-4</v>
      </c>
      <c r="J5548"/>
      <c r="K5548"/>
    </row>
    <row r="5549" spans="1:11" x14ac:dyDescent="0.25">
      <c r="A5549">
        <v>5</v>
      </c>
      <c r="B5549">
        <v>20</v>
      </c>
      <c r="C5549"/>
      <c r="D5549" t="s">
        <v>31</v>
      </c>
      <c r="E5549" t="s">
        <v>32</v>
      </c>
      <c r="F5549" t="s">
        <v>33</v>
      </c>
      <c r="G5549" s="118">
        <v>0.90695601851851848</v>
      </c>
      <c r="H5549" s="118">
        <v>5.2083333333333333E-4</v>
      </c>
      <c r="I5549" s="118">
        <v>9.6064814814814808E-4</v>
      </c>
      <c r="J5549" s="118">
        <v>7.0717592592592594E-3</v>
      </c>
      <c r="K5549" s="118">
        <v>7.0717592592592594E-3</v>
      </c>
    </row>
    <row r="5550" spans="1:11" x14ac:dyDescent="0.25">
      <c r="A5550">
        <v>4</v>
      </c>
      <c r="B5550">
        <v>19</v>
      </c>
      <c r="C5550"/>
      <c r="D5550" t="s">
        <v>31</v>
      </c>
      <c r="E5550" t="s">
        <v>32</v>
      </c>
      <c r="F5550" t="s">
        <v>37</v>
      </c>
      <c r="G5550" s="118">
        <v>0.90704861111111112</v>
      </c>
      <c r="H5550" s="118">
        <v>3.4722222222222224E-4</v>
      </c>
      <c r="I5550" s="118">
        <v>9.0277777777777784E-4</v>
      </c>
      <c r="J5550" s="118">
        <v>7.0717592592592594E-3</v>
      </c>
      <c r="K5550" s="118">
        <v>7.0717592592592594E-3</v>
      </c>
    </row>
    <row r="5551" spans="1:11" x14ac:dyDescent="0.25">
      <c r="A5551">
        <v>2</v>
      </c>
      <c r="B5551">
        <v>20</v>
      </c>
      <c r="C5551"/>
      <c r="D5551" t="s">
        <v>31</v>
      </c>
      <c r="E5551" t="s">
        <v>35</v>
      </c>
      <c r="F5551" t="s">
        <v>52</v>
      </c>
      <c r="G5551" s="118">
        <v>0.90706018518518527</v>
      </c>
      <c r="H5551" s="118">
        <v>1.0416666666666667E-3</v>
      </c>
      <c r="I5551" s="118">
        <v>3.4722222222222224E-4</v>
      </c>
      <c r="J5551"/>
      <c r="K5551"/>
    </row>
    <row r="5552" spans="1:11" x14ac:dyDescent="0.25">
      <c r="A5552">
        <v>9</v>
      </c>
      <c r="B5552">
        <v>7</v>
      </c>
      <c r="C5552"/>
      <c r="D5552" t="s">
        <v>31</v>
      </c>
      <c r="E5552" t="s">
        <v>35</v>
      </c>
      <c r="F5552" t="s">
        <v>47</v>
      </c>
      <c r="G5552" s="118">
        <v>0.90730324074074076</v>
      </c>
      <c r="H5552" s="118">
        <v>8.564814814814815E-4</v>
      </c>
      <c r="I5552" s="118">
        <v>5.2083333333333333E-4</v>
      </c>
      <c r="J5552"/>
      <c r="K5552"/>
    </row>
    <row r="5553" spans="1:11" x14ac:dyDescent="0.25">
      <c r="A5553">
        <v>2</v>
      </c>
      <c r="B5553">
        <v>20</v>
      </c>
      <c r="C5553"/>
      <c r="D5553" t="s">
        <v>31</v>
      </c>
      <c r="E5553" t="s">
        <v>32</v>
      </c>
      <c r="F5553" t="s">
        <v>52</v>
      </c>
      <c r="G5553" s="118">
        <v>0.90740740740740744</v>
      </c>
      <c r="H5553" s="118">
        <v>3.4722222222222224E-4</v>
      </c>
      <c r="I5553" s="118">
        <v>1.0532407407407407E-3</v>
      </c>
      <c r="J5553" s="118">
        <v>7.0717592592592594E-3</v>
      </c>
      <c r="K5553" s="118">
        <v>7.0717592592592594E-3</v>
      </c>
    </row>
    <row r="5554" spans="1:11" x14ac:dyDescent="0.25">
      <c r="A5554">
        <v>1</v>
      </c>
      <c r="B5554">
        <v>19</v>
      </c>
      <c r="C5554"/>
      <c r="D5554" t="s">
        <v>31</v>
      </c>
      <c r="E5554" t="s">
        <v>35</v>
      </c>
      <c r="F5554" t="s">
        <v>55</v>
      </c>
      <c r="G5554" s="118">
        <v>0.9076157407407407</v>
      </c>
      <c r="H5554" s="118">
        <v>1.0069444444444444E-3</v>
      </c>
      <c r="I5554" s="118">
        <v>4.6296296296296293E-4</v>
      </c>
      <c r="J5554"/>
      <c r="K5554"/>
    </row>
    <row r="5555" spans="1:11" x14ac:dyDescent="0.25">
      <c r="A5555">
        <v>9</v>
      </c>
      <c r="B5555">
        <v>7</v>
      </c>
      <c r="C5555"/>
      <c r="D5555" t="s">
        <v>31</v>
      </c>
      <c r="E5555" t="s">
        <v>32</v>
      </c>
      <c r="F5555" t="s">
        <v>47</v>
      </c>
      <c r="G5555" s="118">
        <v>0.90782407407407406</v>
      </c>
      <c r="H5555" s="118">
        <v>5.2083333333333333E-4</v>
      </c>
      <c r="I5555" s="118">
        <v>8.7962962962962962E-4</v>
      </c>
      <c r="J5555" s="118">
        <v>7.0717592592592594E-3</v>
      </c>
      <c r="K5555" s="118">
        <v>7.0717592592592594E-3</v>
      </c>
    </row>
    <row r="5556" spans="1:11" x14ac:dyDescent="0.25">
      <c r="A5556">
        <v>5</v>
      </c>
      <c r="B5556">
        <v>20</v>
      </c>
      <c r="C5556"/>
      <c r="D5556" t="s">
        <v>31</v>
      </c>
      <c r="E5556" t="s">
        <v>35</v>
      </c>
      <c r="F5556" t="s">
        <v>36</v>
      </c>
      <c r="G5556" s="118">
        <v>0.90791666666666659</v>
      </c>
      <c r="H5556" s="118">
        <v>9.6064814814814808E-4</v>
      </c>
      <c r="I5556" s="118">
        <v>3.4722222222222224E-4</v>
      </c>
      <c r="J5556"/>
      <c r="K5556"/>
    </row>
    <row r="5557" spans="1:11" x14ac:dyDescent="0.25">
      <c r="A5557">
        <v>4</v>
      </c>
      <c r="B5557">
        <v>19</v>
      </c>
      <c r="C5557"/>
      <c r="D5557" t="s">
        <v>31</v>
      </c>
      <c r="E5557" t="s">
        <v>35</v>
      </c>
      <c r="F5557" t="s">
        <v>42</v>
      </c>
      <c r="G5557" s="118">
        <v>0.90795138888888882</v>
      </c>
      <c r="H5557" s="118">
        <v>9.0277777777777784E-4</v>
      </c>
      <c r="I5557" s="118">
        <v>3.4722222222222224E-4</v>
      </c>
      <c r="J5557"/>
      <c r="K5557"/>
    </row>
    <row r="5558" spans="1:11" x14ac:dyDescent="0.25">
      <c r="A5558">
        <v>1</v>
      </c>
      <c r="B5558">
        <v>19</v>
      </c>
      <c r="C5558"/>
      <c r="D5558" t="s">
        <v>31</v>
      </c>
      <c r="E5558" t="s">
        <v>32</v>
      </c>
      <c r="F5558" t="s">
        <v>55</v>
      </c>
      <c r="G5558" s="118">
        <v>0.9080787037037038</v>
      </c>
      <c r="H5558" s="118">
        <v>4.6296296296296293E-4</v>
      </c>
      <c r="I5558" s="118">
        <v>4.3981481481481481E-4</v>
      </c>
      <c r="J5558" s="118">
        <v>7.0717592592592594E-3</v>
      </c>
      <c r="K5558" s="118">
        <v>7.0717592592592594E-3</v>
      </c>
    </row>
    <row r="5559" spans="1:11" x14ac:dyDescent="0.25">
      <c r="A5559">
        <v>5</v>
      </c>
      <c r="B5559">
        <v>20</v>
      </c>
      <c r="C5559"/>
      <c r="D5559" t="s">
        <v>31</v>
      </c>
      <c r="E5559" t="s">
        <v>32</v>
      </c>
      <c r="F5559" t="s">
        <v>36</v>
      </c>
      <c r="G5559" s="118">
        <v>0.90826388888888887</v>
      </c>
      <c r="H5559" s="118">
        <v>3.4722222222222224E-4</v>
      </c>
      <c r="I5559" s="118">
        <v>1.0995370370370371E-3</v>
      </c>
      <c r="J5559" s="118">
        <v>7.0717592592592594E-3</v>
      </c>
      <c r="K5559" s="118">
        <v>7.0717592592592594E-3</v>
      </c>
    </row>
    <row r="5560" spans="1:11" x14ac:dyDescent="0.25">
      <c r="A5560">
        <v>4</v>
      </c>
      <c r="B5560">
        <v>19</v>
      </c>
      <c r="C5560"/>
      <c r="D5560" t="s">
        <v>31</v>
      </c>
      <c r="E5560" t="s">
        <v>32</v>
      </c>
      <c r="F5560" t="s">
        <v>42</v>
      </c>
      <c r="G5560" s="118">
        <v>0.90829861111111121</v>
      </c>
      <c r="H5560" s="118">
        <v>3.4722222222222224E-4</v>
      </c>
      <c r="I5560" s="118">
        <v>9.1435185185185185E-4</v>
      </c>
      <c r="J5560" s="118">
        <v>7.0717592592592594E-3</v>
      </c>
      <c r="K5560" s="118">
        <v>7.0717592592592594E-3</v>
      </c>
    </row>
    <row r="5561" spans="1:11" x14ac:dyDescent="0.25">
      <c r="A5561">
        <v>2</v>
      </c>
      <c r="B5561">
        <v>20</v>
      </c>
      <c r="C5561"/>
      <c r="D5561" t="s">
        <v>31</v>
      </c>
      <c r="E5561" t="s">
        <v>35</v>
      </c>
      <c r="F5561" t="s">
        <v>57</v>
      </c>
      <c r="G5561" s="118">
        <v>0.9084606481481482</v>
      </c>
      <c r="H5561" s="118">
        <v>1.0532407407407407E-3</v>
      </c>
      <c r="I5561" s="118">
        <v>3.4722222222222224E-4</v>
      </c>
      <c r="J5561"/>
      <c r="K5561"/>
    </row>
    <row r="5562" spans="1:11" x14ac:dyDescent="0.25">
      <c r="A5562">
        <v>1</v>
      </c>
      <c r="B5562">
        <v>19</v>
      </c>
      <c r="C5562"/>
      <c r="D5562" t="s">
        <v>31</v>
      </c>
      <c r="E5562" t="s">
        <v>35</v>
      </c>
      <c r="F5562" t="s">
        <v>58</v>
      </c>
      <c r="G5562" s="118">
        <v>0.90851851851851861</v>
      </c>
      <c r="H5562" s="118">
        <v>4.3981481481481481E-4</v>
      </c>
      <c r="I5562" s="118">
        <v>5.7870370370370366E-5</v>
      </c>
      <c r="J5562"/>
      <c r="K5562"/>
    </row>
    <row r="5563" spans="1:11" x14ac:dyDescent="0.25">
      <c r="A5563">
        <v>1</v>
      </c>
      <c r="B5563">
        <v>19</v>
      </c>
      <c r="C5563"/>
      <c r="D5563" t="s">
        <v>31</v>
      </c>
      <c r="E5563" t="s">
        <v>32</v>
      </c>
      <c r="F5563" t="s">
        <v>58</v>
      </c>
      <c r="G5563" s="118">
        <v>0.90857638888888881</v>
      </c>
      <c r="H5563" s="118">
        <v>5.7870370370370366E-5</v>
      </c>
      <c r="I5563" s="118">
        <v>4.8611111111111104E-4</v>
      </c>
      <c r="J5563" s="118">
        <v>7.0717592592592594E-3</v>
      </c>
      <c r="K5563" s="118">
        <v>7.0717592592592594E-3</v>
      </c>
    </row>
    <row r="5564" spans="1:11" x14ac:dyDescent="0.25">
      <c r="A5564">
        <v>9</v>
      </c>
      <c r="B5564">
        <v>7</v>
      </c>
      <c r="C5564"/>
      <c r="D5564" t="s">
        <v>31</v>
      </c>
      <c r="E5564" t="s">
        <v>35</v>
      </c>
      <c r="F5564" t="s">
        <v>53</v>
      </c>
      <c r="G5564" s="118">
        <v>0.90870370370370368</v>
      </c>
      <c r="H5564" s="118">
        <v>8.7962962962962962E-4</v>
      </c>
      <c r="I5564" s="118">
        <v>3.4722222222222224E-4</v>
      </c>
      <c r="J5564"/>
      <c r="K5564"/>
    </row>
    <row r="5565" spans="1:11" x14ac:dyDescent="0.25">
      <c r="A5565">
        <v>2</v>
      </c>
      <c r="B5565">
        <v>20</v>
      </c>
      <c r="C5565"/>
      <c r="D5565" t="s">
        <v>31</v>
      </c>
      <c r="E5565" t="s">
        <v>32</v>
      </c>
      <c r="F5565" t="s">
        <v>57</v>
      </c>
      <c r="G5565" s="118">
        <v>0.90880787037037036</v>
      </c>
      <c r="H5565" s="118">
        <v>3.4722222222222224E-4</v>
      </c>
      <c r="I5565" s="118">
        <v>9.3750000000000007E-4</v>
      </c>
      <c r="J5565" s="118">
        <v>7.0717592592592594E-3</v>
      </c>
      <c r="K5565" s="118">
        <v>7.0717592592592594E-3</v>
      </c>
    </row>
    <row r="5566" spans="1:11" x14ac:dyDescent="0.25">
      <c r="A5566">
        <v>9</v>
      </c>
      <c r="B5566">
        <v>7</v>
      </c>
      <c r="C5566"/>
      <c r="D5566" t="s">
        <v>31</v>
      </c>
      <c r="E5566" t="s">
        <v>32</v>
      </c>
      <c r="F5566" t="s">
        <v>53</v>
      </c>
      <c r="G5566" s="118">
        <v>0.90905092592592596</v>
      </c>
      <c r="H5566" s="118">
        <v>3.4722222222222224E-4</v>
      </c>
      <c r="I5566" s="118">
        <v>8.449074074074075E-4</v>
      </c>
      <c r="J5566" s="118">
        <v>7.0717592592592594E-3</v>
      </c>
      <c r="K5566" s="118">
        <v>7.0717592592592594E-3</v>
      </c>
    </row>
    <row r="5567" spans="1:11" x14ac:dyDescent="0.25">
      <c r="A5567">
        <v>1</v>
      </c>
      <c r="B5567">
        <v>19</v>
      </c>
      <c r="C5567"/>
      <c r="D5567" t="s">
        <v>31</v>
      </c>
      <c r="E5567" t="s">
        <v>35</v>
      </c>
      <c r="F5567" t="s">
        <v>40</v>
      </c>
      <c r="G5567" s="118">
        <v>0.9090625</v>
      </c>
      <c r="H5567" s="118">
        <v>4.8611111111111104E-4</v>
      </c>
      <c r="I5567" s="118">
        <v>4.6296296296296293E-4</v>
      </c>
      <c r="J5567"/>
      <c r="K5567"/>
    </row>
    <row r="5568" spans="1:11" x14ac:dyDescent="0.25">
      <c r="A5568">
        <v>4</v>
      </c>
      <c r="B5568">
        <v>19</v>
      </c>
      <c r="C5568"/>
      <c r="D5568" t="s">
        <v>31</v>
      </c>
      <c r="E5568" t="s">
        <v>35</v>
      </c>
      <c r="F5568" t="s">
        <v>48</v>
      </c>
      <c r="G5568" s="118">
        <v>0.90921296296296295</v>
      </c>
      <c r="H5568" s="118">
        <v>9.1435185185185185E-4</v>
      </c>
      <c r="I5568" s="118">
        <v>5.2083333333333333E-4</v>
      </c>
      <c r="J5568"/>
      <c r="K5568"/>
    </row>
    <row r="5569" spans="1:11" x14ac:dyDescent="0.25">
      <c r="A5569">
        <v>5</v>
      </c>
      <c r="B5569">
        <v>20</v>
      </c>
      <c r="C5569"/>
      <c r="D5569" t="s">
        <v>31</v>
      </c>
      <c r="E5569" t="s">
        <v>35</v>
      </c>
      <c r="F5569" t="s">
        <v>43</v>
      </c>
      <c r="G5569" s="118">
        <v>0.90936342592592589</v>
      </c>
      <c r="H5569" s="118">
        <v>1.0995370370370371E-3</v>
      </c>
      <c r="I5569" s="118">
        <v>3.4722222222222224E-4</v>
      </c>
      <c r="J5569"/>
      <c r="K5569"/>
    </row>
    <row r="5570" spans="1:11" x14ac:dyDescent="0.25">
      <c r="A5570">
        <v>1</v>
      </c>
      <c r="B5570">
        <v>19</v>
      </c>
      <c r="C5570"/>
      <c r="D5570" t="s">
        <v>31</v>
      </c>
      <c r="E5570" t="s">
        <v>32</v>
      </c>
      <c r="F5570" t="s">
        <v>40</v>
      </c>
      <c r="G5570" s="118">
        <v>0.90952546296296299</v>
      </c>
      <c r="H5570" s="118">
        <v>4.6296296296296293E-4</v>
      </c>
      <c r="I5570" s="118">
        <v>1.0069444444444444E-3</v>
      </c>
      <c r="J5570" s="118">
        <v>7.0717592592592594E-3</v>
      </c>
      <c r="K5570" s="118">
        <v>7.0717592592592594E-3</v>
      </c>
    </row>
    <row r="5571" spans="1:11" x14ac:dyDescent="0.25">
      <c r="A5571">
        <v>5</v>
      </c>
      <c r="B5571">
        <v>20</v>
      </c>
      <c r="C5571"/>
      <c r="D5571" t="s">
        <v>31</v>
      </c>
      <c r="E5571" t="s">
        <v>32</v>
      </c>
      <c r="F5571" t="s">
        <v>43</v>
      </c>
      <c r="G5571" s="118">
        <v>0.90971064814814817</v>
      </c>
      <c r="H5571" s="118">
        <v>3.4722222222222224E-4</v>
      </c>
      <c r="I5571" s="118">
        <v>1.1458333333333333E-3</v>
      </c>
      <c r="J5571" s="118">
        <v>7.0717592592592594E-3</v>
      </c>
      <c r="K5571" s="118">
        <v>7.0717592592592594E-3</v>
      </c>
    </row>
    <row r="5572" spans="1:11" x14ac:dyDescent="0.25">
      <c r="A5572">
        <v>4</v>
      </c>
      <c r="B5572">
        <v>19</v>
      </c>
      <c r="C5572"/>
      <c r="D5572" t="s">
        <v>31</v>
      </c>
      <c r="E5572" t="s">
        <v>32</v>
      </c>
      <c r="F5572" t="s">
        <v>48</v>
      </c>
      <c r="G5572" s="118">
        <v>0.90973379629629625</v>
      </c>
      <c r="H5572" s="118">
        <v>5.2083333333333333E-4</v>
      </c>
      <c r="I5572" s="118">
        <v>8.6805555555555551E-4</v>
      </c>
      <c r="J5572" s="118">
        <v>7.0717592592592594E-3</v>
      </c>
      <c r="K5572" s="118">
        <v>7.0717592592592594E-3</v>
      </c>
    </row>
    <row r="5573" spans="1:11" x14ac:dyDescent="0.25">
      <c r="A5573">
        <v>2</v>
      </c>
      <c r="B5573">
        <v>20</v>
      </c>
      <c r="C5573"/>
      <c r="D5573" t="s">
        <v>31</v>
      </c>
      <c r="E5573" t="s">
        <v>35</v>
      </c>
      <c r="F5573" t="s">
        <v>39</v>
      </c>
      <c r="G5573" s="118">
        <v>0.9097453703703704</v>
      </c>
      <c r="H5573" s="118">
        <v>9.3750000000000007E-4</v>
      </c>
      <c r="I5573" s="118">
        <v>5.2083333333333333E-4</v>
      </c>
      <c r="J5573"/>
      <c r="K5573"/>
    </row>
    <row r="5574" spans="1:11" x14ac:dyDescent="0.25">
      <c r="A5574">
        <v>9</v>
      </c>
      <c r="B5574">
        <v>7</v>
      </c>
      <c r="C5574"/>
      <c r="D5574" t="s">
        <v>31</v>
      </c>
      <c r="E5574" t="s">
        <v>35</v>
      </c>
      <c r="F5574" t="s">
        <v>34</v>
      </c>
      <c r="G5574" s="118">
        <v>0.90989583333333324</v>
      </c>
      <c r="H5574" s="118">
        <v>8.449074074074075E-4</v>
      </c>
      <c r="I5574" s="118">
        <v>3.4722222222222224E-4</v>
      </c>
      <c r="J5574"/>
      <c r="K5574"/>
    </row>
    <row r="5575" spans="1:11" x14ac:dyDescent="0.25">
      <c r="A5575">
        <v>9</v>
      </c>
      <c r="B5575">
        <v>7</v>
      </c>
      <c r="C5575"/>
      <c r="D5575" t="s">
        <v>31</v>
      </c>
      <c r="E5575" t="s">
        <v>32</v>
      </c>
      <c r="F5575" t="s">
        <v>34</v>
      </c>
      <c r="G5575" s="118">
        <v>0.91024305555555562</v>
      </c>
      <c r="H5575" s="118">
        <v>3.4722222222222224E-4</v>
      </c>
      <c r="I5575" s="118">
        <v>9.1435185185185185E-4</v>
      </c>
      <c r="J5575" s="118">
        <v>7.0717592592592594E-3</v>
      </c>
      <c r="K5575" s="118">
        <v>7.0717592592592594E-3</v>
      </c>
    </row>
    <row r="5576" spans="1:11" x14ac:dyDescent="0.25">
      <c r="A5576">
        <v>2</v>
      </c>
      <c r="B5576">
        <v>20</v>
      </c>
      <c r="C5576"/>
      <c r="D5576" t="s">
        <v>31</v>
      </c>
      <c r="E5576" t="s">
        <v>32</v>
      </c>
      <c r="F5576" t="s">
        <v>39</v>
      </c>
      <c r="G5576" s="118">
        <v>0.9102662037037037</v>
      </c>
      <c r="H5576" s="118">
        <v>5.2083333333333333E-4</v>
      </c>
      <c r="I5576" s="118">
        <v>1.8055555555555557E-3</v>
      </c>
      <c r="J5576" s="118">
        <v>7.0717592592592594E-3</v>
      </c>
      <c r="K5576" s="118">
        <v>7.0717592592592594E-3</v>
      </c>
    </row>
    <row r="5577" spans="1:11" x14ac:dyDescent="0.25">
      <c r="A5577">
        <v>1</v>
      </c>
      <c r="B5577">
        <v>19</v>
      </c>
      <c r="C5577"/>
      <c r="D5577" t="s">
        <v>31</v>
      </c>
      <c r="E5577" t="s">
        <v>35</v>
      </c>
      <c r="F5577" t="s">
        <v>44</v>
      </c>
      <c r="G5577" s="118">
        <v>0.91053240740740737</v>
      </c>
      <c r="H5577" s="118">
        <v>1.0069444444444444E-3</v>
      </c>
      <c r="I5577" s="118">
        <v>3.4722222222222224E-4</v>
      </c>
      <c r="J5577"/>
      <c r="K5577"/>
    </row>
    <row r="5578" spans="1:11" x14ac:dyDescent="0.25">
      <c r="A5578">
        <v>4</v>
      </c>
      <c r="B5578">
        <v>19</v>
      </c>
      <c r="C5578"/>
      <c r="D5578" t="s">
        <v>31</v>
      </c>
      <c r="E5578" t="s">
        <v>35</v>
      </c>
      <c r="F5578" t="s">
        <v>54</v>
      </c>
      <c r="G5578" s="118">
        <v>0.91060185185185183</v>
      </c>
      <c r="H5578" s="118">
        <v>8.6805555555555551E-4</v>
      </c>
      <c r="I5578" s="118">
        <v>3.4722222222222224E-4</v>
      </c>
      <c r="J5578"/>
      <c r="K5578"/>
    </row>
    <row r="5579" spans="1:11" x14ac:dyDescent="0.25">
      <c r="A5579">
        <v>5</v>
      </c>
      <c r="B5579">
        <v>20</v>
      </c>
      <c r="C5579"/>
      <c r="D5579" t="s">
        <v>31</v>
      </c>
      <c r="E5579" t="s">
        <v>35</v>
      </c>
      <c r="F5579" t="s">
        <v>50</v>
      </c>
      <c r="G5579" s="118">
        <v>0.91085648148148157</v>
      </c>
      <c r="H5579" s="118">
        <v>1.1458333333333333E-3</v>
      </c>
      <c r="I5579" s="118">
        <v>3.4722222222222224E-4</v>
      </c>
      <c r="J5579"/>
      <c r="K5579"/>
    </row>
    <row r="5580" spans="1:11" x14ac:dyDescent="0.25">
      <c r="A5580">
        <v>1</v>
      </c>
      <c r="B5580">
        <v>19</v>
      </c>
      <c r="C5580"/>
      <c r="D5580" t="s">
        <v>31</v>
      </c>
      <c r="E5580" t="s">
        <v>32</v>
      </c>
      <c r="F5580" t="s">
        <v>44</v>
      </c>
      <c r="G5580" s="118">
        <v>0.91087962962962965</v>
      </c>
      <c r="H5580" s="118">
        <v>3.4722222222222224E-4</v>
      </c>
      <c r="I5580" s="118">
        <v>9.2592592592592585E-4</v>
      </c>
      <c r="J5580" s="118">
        <v>7.0717592592592594E-3</v>
      </c>
      <c r="K5580" s="118">
        <v>7.0717592592592594E-3</v>
      </c>
    </row>
    <row r="5581" spans="1:11" x14ac:dyDescent="0.25">
      <c r="A5581">
        <v>4</v>
      </c>
      <c r="B5581">
        <v>19</v>
      </c>
      <c r="C5581"/>
      <c r="D5581" t="s">
        <v>31</v>
      </c>
      <c r="E5581" t="s">
        <v>32</v>
      </c>
      <c r="F5581" t="s">
        <v>54</v>
      </c>
      <c r="G5581" s="118">
        <v>0.91094907407407411</v>
      </c>
      <c r="H5581" s="118">
        <v>3.4722222222222224E-4</v>
      </c>
      <c r="I5581" s="118">
        <v>6.9444444444444447E-4</v>
      </c>
      <c r="J5581" s="118">
        <v>7.0717592592592594E-3</v>
      </c>
      <c r="K5581" s="118">
        <v>7.0717592592592594E-3</v>
      </c>
    </row>
    <row r="5582" spans="1:11" x14ac:dyDescent="0.25">
      <c r="A5582">
        <v>9</v>
      </c>
      <c r="B5582">
        <v>7</v>
      </c>
      <c r="C5582"/>
      <c r="D5582" t="s">
        <v>31</v>
      </c>
      <c r="E5582" t="s">
        <v>35</v>
      </c>
      <c r="F5582" t="s">
        <v>38</v>
      </c>
      <c r="G5582" s="118">
        <v>0.91115740740740747</v>
      </c>
      <c r="H5582" s="118">
        <v>9.1435185185185185E-4</v>
      </c>
      <c r="I5582" s="118">
        <v>3.4722222222222224E-4</v>
      </c>
      <c r="J5582"/>
      <c r="K5582"/>
    </row>
    <row r="5583" spans="1:11" x14ac:dyDescent="0.25">
      <c r="A5583">
        <v>5</v>
      </c>
      <c r="B5583">
        <v>20</v>
      </c>
      <c r="C5583"/>
      <c r="D5583" t="s">
        <v>31</v>
      </c>
      <c r="E5583" t="s">
        <v>32</v>
      </c>
      <c r="F5583" t="s">
        <v>50</v>
      </c>
      <c r="G5583" s="118">
        <v>0.91120370370370374</v>
      </c>
      <c r="H5583" s="118">
        <v>3.4722222222222224E-4</v>
      </c>
      <c r="I5583" s="118">
        <v>1.261574074074074E-3</v>
      </c>
      <c r="J5583" s="118">
        <v>7.0717592592592594E-3</v>
      </c>
      <c r="K5583" s="118">
        <v>7.0717592592592594E-3</v>
      </c>
    </row>
    <row r="5584" spans="1:11" x14ac:dyDescent="0.25">
      <c r="A5584">
        <v>9</v>
      </c>
      <c r="B5584">
        <v>7</v>
      </c>
      <c r="C5584"/>
      <c r="D5584" t="s">
        <v>31</v>
      </c>
      <c r="E5584" t="s">
        <v>32</v>
      </c>
      <c r="F5584" t="s">
        <v>38</v>
      </c>
      <c r="G5584" s="118">
        <v>0.91150462962962964</v>
      </c>
      <c r="H5584" s="118">
        <v>3.4722222222222224E-4</v>
      </c>
      <c r="I5584" s="118">
        <v>1.2384259259259258E-3</v>
      </c>
      <c r="J5584" s="118">
        <v>7.0717592592592594E-3</v>
      </c>
      <c r="K5584" s="118">
        <v>7.0717592592592594E-3</v>
      </c>
    </row>
    <row r="5585" spans="1:11" x14ac:dyDescent="0.25">
      <c r="A5585">
        <v>4</v>
      </c>
      <c r="B5585">
        <v>19</v>
      </c>
      <c r="C5585"/>
      <c r="D5585" t="s">
        <v>31</v>
      </c>
      <c r="E5585" t="s">
        <v>35</v>
      </c>
      <c r="F5585" t="s">
        <v>92</v>
      </c>
      <c r="G5585" s="118">
        <v>0.91164351851851855</v>
      </c>
      <c r="H5585" s="118">
        <v>6.9444444444444447E-4</v>
      </c>
      <c r="I5585" s="118">
        <v>5.2083333333333333E-4</v>
      </c>
      <c r="J5585"/>
      <c r="K5585"/>
    </row>
    <row r="5586" spans="1:11" x14ac:dyDescent="0.25">
      <c r="A5586">
        <v>1</v>
      </c>
      <c r="B5586">
        <v>19</v>
      </c>
      <c r="C5586"/>
      <c r="D5586" t="s">
        <v>31</v>
      </c>
      <c r="E5586" t="s">
        <v>35</v>
      </c>
      <c r="F5586" t="s">
        <v>49</v>
      </c>
      <c r="G5586" s="118">
        <v>0.91180555555555554</v>
      </c>
      <c r="H5586" s="118">
        <v>9.2592592592592585E-4</v>
      </c>
      <c r="I5586" s="118">
        <v>3.4722222222222224E-4</v>
      </c>
      <c r="J5586"/>
      <c r="K5586"/>
    </row>
    <row r="5587" spans="1:11" x14ac:dyDescent="0.25">
      <c r="A5587">
        <v>2</v>
      </c>
      <c r="B5587">
        <v>20</v>
      </c>
      <c r="C5587"/>
      <c r="D5587" t="s">
        <v>31</v>
      </c>
      <c r="E5587" t="s">
        <v>35</v>
      </c>
      <c r="F5587" t="s">
        <v>46</v>
      </c>
      <c r="G5587" s="118">
        <v>0.91207175925925921</v>
      </c>
      <c r="H5587" s="118">
        <v>1.8055555555555557E-3</v>
      </c>
      <c r="I5587" s="118">
        <v>3.4722222222222224E-4</v>
      </c>
      <c r="J5587"/>
      <c r="K5587"/>
    </row>
    <row r="5588" spans="1:11" x14ac:dyDescent="0.25">
      <c r="A5588">
        <v>1</v>
      </c>
      <c r="B5588">
        <v>19</v>
      </c>
      <c r="C5588"/>
      <c r="D5588" t="s">
        <v>31</v>
      </c>
      <c r="E5588" t="s">
        <v>32</v>
      </c>
      <c r="F5588" t="s">
        <v>49</v>
      </c>
      <c r="G5588" s="118">
        <v>0.9121527777777777</v>
      </c>
      <c r="H5588" s="118">
        <v>3.4722222222222224E-4</v>
      </c>
      <c r="I5588" s="118">
        <v>1.3541666666666667E-3</v>
      </c>
      <c r="J5588" s="118">
        <v>7.0717592592592594E-3</v>
      </c>
      <c r="K5588" s="118">
        <v>7.0717592592592594E-3</v>
      </c>
    </row>
    <row r="5589" spans="1:11" x14ac:dyDescent="0.25">
      <c r="A5589">
        <v>4</v>
      </c>
      <c r="B5589">
        <v>20</v>
      </c>
      <c r="C5589"/>
      <c r="D5589" t="s">
        <v>31</v>
      </c>
      <c r="E5589" t="s">
        <v>32</v>
      </c>
      <c r="F5589" t="s">
        <v>92</v>
      </c>
      <c r="G5589" s="118">
        <v>0.91216435185185185</v>
      </c>
      <c r="H5589" s="118">
        <v>5.2083333333333333E-4</v>
      </c>
      <c r="I5589" s="118">
        <v>1.0069444444444444E-3</v>
      </c>
      <c r="J5589" s="118">
        <v>7.0717592592592594E-3</v>
      </c>
      <c r="K5589" s="118">
        <v>7.0717592592592594E-3</v>
      </c>
    </row>
    <row r="5590" spans="1:11" x14ac:dyDescent="0.25">
      <c r="A5590">
        <v>2</v>
      </c>
      <c r="B5590">
        <v>20</v>
      </c>
      <c r="C5590"/>
      <c r="D5590" t="s">
        <v>31</v>
      </c>
      <c r="E5590" t="s">
        <v>32</v>
      </c>
      <c r="F5590" t="s">
        <v>46</v>
      </c>
      <c r="G5590" s="118">
        <v>0.91241898148148148</v>
      </c>
      <c r="H5590" s="118">
        <v>3.4722222222222224E-4</v>
      </c>
      <c r="I5590" s="118">
        <v>9.1435185185185185E-4</v>
      </c>
      <c r="J5590" s="118">
        <v>7.0717592592592594E-3</v>
      </c>
      <c r="K5590" s="118">
        <v>7.0717592592592594E-3</v>
      </c>
    </row>
    <row r="5591" spans="1:11" x14ac:dyDescent="0.25">
      <c r="A5591">
        <v>5</v>
      </c>
      <c r="B5591">
        <v>20</v>
      </c>
      <c r="C5591"/>
      <c r="D5591" t="s">
        <v>31</v>
      </c>
      <c r="E5591" t="s">
        <v>35</v>
      </c>
      <c r="F5591" t="s">
        <v>56</v>
      </c>
      <c r="G5591" s="118">
        <v>0.91246527777777775</v>
      </c>
      <c r="H5591" s="118">
        <v>1.261574074074074E-3</v>
      </c>
      <c r="I5591" s="118">
        <v>3.4722222222222224E-4</v>
      </c>
      <c r="J5591"/>
      <c r="K5591"/>
    </row>
    <row r="5592" spans="1:11" x14ac:dyDescent="0.25">
      <c r="A5592">
        <v>9</v>
      </c>
      <c r="B5592">
        <v>7</v>
      </c>
      <c r="C5592"/>
      <c r="D5592" t="s">
        <v>31</v>
      </c>
      <c r="E5592" t="s">
        <v>35</v>
      </c>
      <c r="F5592" t="s">
        <v>45</v>
      </c>
      <c r="G5592" s="118">
        <v>0.91274305555555557</v>
      </c>
      <c r="H5592" s="118">
        <v>1.2384259259259258E-3</v>
      </c>
      <c r="I5592" s="118">
        <v>3.4722222222222224E-4</v>
      </c>
      <c r="J5592"/>
      <c r="K5592"/>
    </row>
    <row r="5593" spans="1:11" x14ac:dyDescent="0.25">
      <c r="A5593">
        <v>5</v>
      </c>
      <c r="B5593">
        <v>20</v>
      </c>
      <c r="C5593"/>
      <c r="D5593" t="s">
        <v>31</v>
      </c>
      <c r="E5593" t="s">
        <v>32</v>
      </c>
      <c r="F5593" t="s">
        <v>56</v>
      </c>
      <c r="G5593" s="118">
        <v>0.91281249999999992</v>
      </c>
      <c r="H5593" s="118">
        <v>3.4722222222222224E-4</v>
      </c>
      <c r="I5593" s="118">
        <v>9.6064814814814808E-4</v>
      </c>
      <c r="J5593" s="118">
        <v>7.0717592592592594E-3</v>
      </c>
      <c r="K5593" s="118">
        <v>7.0717592592592594E-3</v>
      </c>
    </row>
    <row r="5594" spans="1:11" x14ac:dyDescent="0.25">
      <c r="A5594">
        <v>9</v>
      </c>
      <c r="B5594">
        <v>7</v>
      </c>
      <c r="C5594"/>
      <c r="D5594" t="s">
        <v>31</v>
      </c>
      <c r="E5594" t="s">
        <v>32</v>
      </c>
      <c r="F5594" t="s">
        <v>45</v>
      </c>
      <c r="G5594" s="118">
        <v>0.91309027777777774</v>
      </c>
      <c r="H5594" s="118">
        <v>3.4722222222222224E-4</v>
      </c>
      <c r="I5594" s="118">
        <v>1.0416666666666667E-3</v>
      </c>
      <c r="J5594" s="118">
        <v>7.0717592592592594E-3</v>
      </c>
      <c r="K5594" s="118">
        <v>7.0717592592592594E-3</v>
      </c>
    </row>
    <row r="5595" spans="1:11" x14ac:dyDescent="0.25">
      <c r="A5595">
        <v>4</v>
      </c>
      <c r="B5595">
        <v>20</v>
      </c>
      <c r="C5595"/>
      <c r="D5595" t="s">
        <v>31</v>
      </c>
      <c r="E5595" t="s">
        <v>35</v>
      </c>
      <c r="F5595" t="s">
        <v>41</v>
      </c>
      <c r="G5595" s="118">
        <v>0.91317129629629623</v>
      </c>
      <c r="H5595" s="118">
        <v>1.0069444444444444E-3</v>
      </c>
      <c r="I5595" s="118">
        <v>3.4722222222222224E-4</v>
      </c>
      <c r="J5595"/>
      <c r="K5595"/>
    </row>
    <row r="5596" spans="1:11" x14ac:dyDescent="0.25">
      <c r="A5596">
        <v>2</v>
      </c>
      <c r="B5596">
        <v>20</v>
      </c>
      <c r="C5596"/>
      <c r="D5596" t="s">
        <v>31</v>
      </c>
      <c r="E5596" t="s">
        <v>35</v>
      </c>
      <c r="F5596" t="s">
        <v>51</v>
      </c>
      <c r="G5596" s="118">
        <v>0.91333333333333344</v>
      </c>
      <c r="H5596" s="118">
        <v>9.1435185185185185E-4</v>
      </c>
      <c r="I5596" s="118">
        <v>3.4722222222222224E-4</v>
      </c>
      <c r="J5596"/>
      <c r="K5596"/>
    </row>
    <row r="5597" spans="1:11" x14ac:dyDescent="0.25">
      <c r="A5597">
        <v>1</v>
      </c>
      <c r="B5597">
        <v>19</v>
      </c>
      <c r="C5597"/>
      <c r="D5597" t="s">
        <v>31</v>
      </c>
      <c r="E5597" t="s">
        <v>35</v>
      </c>
      <c r="F5597" t="s">
        <v>33</v>
      </c>
      <c r="G5597" s="118">
        <v>0.91350694444444447</v>
      </c>
      <c r="H5597" s="118">
        <v>1.3541666666666667E-3</v>
      </c>
      <c r="I5597" s="118">
        <v>5.2083333333333333E-4</v>
      </c>
      <c r="J5597"/>
      <c r="K5597"/>
    </row>
    <row r="5598" spans="1:11" x14ac:dyDescent="0.25">
      <c r="A5598">
        <v>4</v>
      </c>
      <c r="B5598">
        <v>20</v>
      </c>
      <c r="C5598"/>
      <c r="D5598" t="s">
        <v>31</v>
      </c>
      <c r="E5598" t="s">
        <v>32</v>
      </c>
      <c r="F5598" t="s">
        <v>41</v>
      </c>
      <c r="G5598" s="118">
        <v>0.91351851851851851</v>
      </c>
      <c r="H5598" s="118">
        <v>3.4722222222222224E-4</v>
      </c>
      <c r="I5598" s="118">
        <v>8.564814814814815E-4</v>
      </c>
      <c r="J5598" s="118">
        <v>7.0717592592592594E-3</v>
      </c>
      <c r="K5598" s="118">
        <v>7.0717592592592594E-3</v>
      </c>
    </row>
    <row r="5599" spans="1:11" x14ac:dyDescent="0.25">
      <c r="A5599">
        <v>2</v>
      </c>
      <c r="B5599">
        <v>20</v>
      </c>
      <c r="C5599"/>
      <c r="D5599" t="s">
        <v>31</v>
      </c>
      <c r="E5599" t="s">
        <v>32</v>
      </c>
      <c r="F5599" t="s">
        <v>51</v>
      </c>
      <c r="G5599" s="118">
        <v>0.91368055555555561</v>
      </c>
      <c r="H5599" s="118">
        <v>3.4722222222222224E-4</v>
      </c>
      <c r="I5599" s="118">
        <v>1.0069444444444444E-3</v>
      </c>
      <c r="J5599" s="118">
        <v>7.0717592592592594E-3</v>
      </c>
      <c r="K5599" s="118">
        <v>7.0717592592592594E-3</v>
      </c>
    </row>
    <row r="5600" spans="1:11" x14ac:dyDescent="0.25">
      <c r="A5600">
        <v>5</v>
      </c>
      <c r="B5600">
        <v>20</v>
      </c>
      <c r="C5600"/>
      <c r="D5600" t="s">
        <v>31</v>
      </c>
      <c r="E5600" t="s">
        <v>35</v>
      </c>
      <c r="F5600" t="s">
        <v>37</v>
      </c>
      <c r="G5600" s="118">
        <v>0.91377314814814825</v>
      </c>
      <c r="H5600" s="118">
        <v>9.6064814814814808E-4</v>
      </c>
      <c r="I5600" s="118">
        <v>3.4722222222222224E-4</v>
      </c>
      <c r="J5600"/>
      <c r="K5600"/>
    </row>
    <row r="5601" spans="1:11" x14ac:dyDescent="0.25">
      <c r="A5601">
        <v>1</v>
      </c>
      <c r="B5601">
        <v>19</v>
      </c>
      <c r="C5601"/>
      <c r="D5601" t="s">
        <v>31</v>
      </c>
      <c r="E5601" t="s">
        <v>32</v>
      </c>
      <c r="F5601" t="s">
        <v>33</v>
      </c>
      <c r="G5601" s="118">
        <v>0.91402777777777777</v>
      </c>
      <c r="H5601" s="118">
        <v>5.2083333333333333E-4</v>
      </c>
      <c r="I5601" s="118">
        <v>9.6064814814814808E-4</v>
      </c>
      <c r="J5601" s="118">
        <v>7.0717592592592594E-3</v>
      </c>
      <c r="K5601" s="118">
        <v>7.0717592592592594E-3</v>
      </c>
    </row>
    <row r="5602" spans="1:11" x14ac:dyDescent="0.25">
      <c r="A5602">
        <v>5</v>
      </c>
      <c r="B5602">
        <v>20</v>
      </c>
      <c r="C5602"/>
      <c r="D5602" t="s">
        <v>31</v>
      </c>
      <c r="E5602" t="s">
        <v>32</v>
      </c>
      <c r="F5602" t="s">
        <v>37</v>
      </c>
      <c r="G5602" s="118">
        <v>0.91412037037037042</v>
      </c>
      <c r="H5602" s="118">
        <v>3.4722222222222224E-4</v>
      </c>
      <c r="I5602" s="118">
        <v>9.0277777777777784E-4</v>
      </c>
      <c r="J5602" s="118">
        <v>7.0717592592592594E-3</v>
      </c>
      <c r="K5602" s="118">
        <v>7.0717592592592594E-3</v>
      </c>
    </row>
    <row r="5603" spans="1:11" x14ac:dyDescent="0.25">
      <c r="A5603">
        <v>9</v>
      </c>
      <c r="B5603">
        <v>7</v>
      </c>
      <c r="C5603"/>
      <c r="D5603" t="s">
        <v>31</v>
      </c>
      <c r="E5603" t="s">
        <v>35</v>
      </c>
      <c r="F5603" t="s">
        <v>52</v>
      </c>
      <c r="G5603" s="118">
        <v>0.91413194444444434</v>
      </c>
      <c r="H5603" s="118">
        <v>1.0416666666666667E-3</v>
      </c>
      <c r="I5603" s="118">
        <v>3.4722222222222224E-4</v>
      </c>
      <c r="J5603"/>
      <c r="K5603"/>
    </row>
    <row r="5604" spans="1:11" x14ac:dyDescent="0.25">
      <c r="A5604">
        <v>4</v>
      </c>
      <c r="B5604">
        <v>20</v>
      </c>
      <c r="C5604"/>
      <c r="D5604" t="s">
        <v>31</v>
      </c>
      <c r="E5604" t="s">
        <v>35</v>
      </c>
      <c r="F5604" t="s">
        <v>47</v>
      </c>
      <c r="G5604" s="118">
        <v>0.91437500000000005</v>
      </c>
      <c r="H5604" s="118">
        <v>8.564814814814815E-4</v>
      </c>
      <c r="I5604" s="118">
        <v>5.2083333333333333E-4</v>
      </c>
      <c r="J5604"/>
      <c r="K5604"/>
    </row>
    <row r="5605" spans="1:11" x14ac:dyDescent="0.25">
      <c r="A5605">
        <v>9</v>
      </c>
      <c r="B5605">
        <v>7</v>
      </c>
      <c r="C5605"/>
      <c r="D5605" t="s">
        <v>31</v>
      </c>
      <c r="E5605" t="s">
        <v>32</v>
      </c>
      <c r="F5605" t="s">
        <v>52</v>
      </c>
      <c r="G5605" s="118">
        <v>0.91447916666666673</v>
      </c>
      <c r="H5605" s="118">
        <v>3.4722222222222224E-4</v>
      </c>
      <c r="I5605" s="118">
        <v>1.0532407407407407E-3</v>
      </c>
      <c r="J5605" s="118">
        <v>7.0717592592592594E-3</v>
      </c>
      <c r="K5605" s="118">
        <v>7.0717592592592594E-3</v>
      </c>
    </row>
    <row r="5606" spans="1:11" x14ac:dyDescent="0.25">
      <c r="A5606">
        <v>2</v>
      </c>
      <c r="B5606">
        <v>20</v>
      </c>
      <c r="C5606"/>
      <c r="D5606" t="s">
        <v>31</v>
      </c>
      <c r="E5606" t="s">
        <v>35</v>
      </c>
      <c r="F5606" t="s">
        <v>55</v>
      </c>
      <c r="G5606" s="118">
        <v>0.91468749999999999</v>
      </c>
      <c r="H5606" s="118">
        <v>1.0069444444444444E-3</v>
      </c>
      <c r="I5606" s="118">
        <v>4.6296296296296293E-4</v>
      </c>
      <c r="J5606"/>
      <c r="K5606"/>
    </row>
    <row r="5607" spans="1:11" x14ac:dyDescent="0.25">
      <c r="A5607">
        <v>4</v>
      </c>
      <c r="B5607">
        <v>20</v>
      </c>
      <c r="C5607"/>
      <c r="D5607" t="s">
        <v>31</v>
      </c>
      <c r="E5607" t="s">
        <v>32</v>
      </c>
      <c r="F5607" t="s">
        <v>47</v>
      </c>
      <c r="G5607" s="118">
        <v>0.91489583333333335</v>
      </c>
      <c r="H5607" s="118">
        <v>5.2083333333333333E-4</v>
      </c>
      <c r="I5607" s="118">
        <v>8.7962962962962962E-4</v>
      </c>
      <c r="J5607" s="118">
        <v>7.0717592592592594E-3</v>
      </c>
      <c r="K5607" s="118">
        <v>7.0717592592592594E-3</v>
      </c>
    </row>
    <row r="5608" spans="1:11" x14ac:dyDescent="0.25">
      <c r="A5608">
        <v>1</v>
      </c>
      <c r="B5608">
        <v>19</v>
      </c>
      <c r="C5608"/>
      <c r="D5608" t="s">
        <v>31</v>
      </c>
      <c r="E5608" t="s">
        <v>35</v>
      </c>
      <c r="F5608" t="s">
        <v>36</v>
      </c>
      <c r="G5608" s="118">
        <v>0.91498842592592589</v>
      </c>
      <c r="H5608" s="118">
        <v>9.6064814814814808E-4</v>
      </c>
      <c r="I5608" s="118">
        <v>3.4722222222222224E-4</v>
      </c>
      <c r="J5608"/>
      <c r="K5608"/>
    </row>
    <row r="5609" spans="1:11" x14ac:dyDescent="0.25">
      <c r="A5609">
        <v>5</v>
      </c>
      <c r="B5609">
        <v>20</v>
      </c>
      <c r="C5609"/>
      <c r="D5609" t="s">
        <v>31</v>
      </c>
      <c r="E5609" t="s">
        <v>35</v>
      </c>
      <c r="F5609" t="s">
        <v>42</v>
      </c>
      <c r="G5609" s="118">
        <v>0.91502314814814811</v>
      </c>
      <c r="H5609" s="118">
        <v>9.0277777777777784E-4</v>
      </c>
      <c r="I5609" s="118">
        <v>3.4722222222222224E-4</v>
      </c>
      <c r="J5609"/>
      <c r="K5609"/>
    </row>
    <row r="5610" spans="1:11" x14ac:dyDescent="0.25">
      <c r="A5610">
        <v>2</v>
      </c>
      <c r="B5610">
        <v>20</v>
      </c>
      <c r="C5610"/>
      <c r="D5610" t="s">
        <v>31</v>
      </c>
      <c r="E5610" t="s">
        <v>32</v>
      </c>
      <c r="F5610" t="s">
        <v>55</v>
      </c>
      <c r="G5610" s="118">
        <v>0.91515046296296287</v>
      </c>
      <c r="H5610" s="118">
        <v>4.6296296296296293E-4</v>
      </c>
      <c r="I5610" s="118">
        <v>4.3981481481481481E-4</v>
      </c>
      <c r="J5610" s="118">
        <v>7.0717592592592594E-3</v>
      </c>
      <c r="K5610" s="118">
        <v>7.0717592592592594E-3</v>
      </c>
    </row>
    <row r="5611" spans="1:11" x14ac:dyDescent="0.25">
      <c r="A5611">
        <v>1</v>
      </c>
      <c r="B5611">
        <v>19</v>
      </c>
      <c r="C5611"/>
      <c r="D5611" t="s">
        <v>31</v>
      </c>
      <c r="E5611" t="s">
        <v>32</v>
      </c>
      <c r="F5611" t="s">
        <v>36</v>
      </c>
      <c r="G5611" s="118">
        <v>0.91533564814814816</v>
      </c>
      <c r="H5611" s="118">
        <v>3.4722222222222224E-4</v>
      </c>
      <c r="I5611" s="118">
        <v>1.0995370370370371E-3</v>
      </c>
      <c r="J5611" s="118">
        <v>7.0717592592592594E-3</v>
      </c>
      <c r="K5611" s="118">
        <v>7.0717592592592594E-3</v>
      </c>
    </row>
    <row r="5612" spans="1:11" x14ac:dyDescent="0.25">
      <c r="A5612">
        <v>5</v>
      </c>
      <c r="B5612">
        <v>20</v>
      </c>
      <c r="C5612"/>
      <c r="D5612" t="s">
        <v>31</v>
      </c>
      <c r="E5612" t="s">
        <v>32</v>
      </c>
      <c r="F5612" t="s">
        <v>42</v>
      </c>
      <c r="G5612" s="118">
        <v>0.91537037037037028</v>
      </c>
      <c r="H5612" s="118">
        <v>3.4722222222222224E-4</v>
      </c>
      <c r="I5612" s="118">
        <v>9.1435185185185185E-4</v>
      </c>
      <c r="J5612" s="118">
        <v>7.0717592592592594E-3</v>
      </c>
      <c r="K5612" s="118">
        <v>7.0717592592592594E-3</v>
      </c>
    </row>
    <row r="5613" spans="1:11" x14ac:dyDescent="0.25">
      <c r="A5613">
        <v>9</v>
      </c>
      <c r="B5613">
        <v>7</v>
      </c>
      <c r="C5613"/>
      <c r="D5613" t="s">
        <v>31</v>
      </c>
      <c r="E5613" t="s">
        <v>35</v>
      </c>
      <c r="F5613" t="s">
        <v>57</v>
      </c>
      <c r="G5613" s="118">
        <v>0.91553240740740749</v>
      </c>
      <c r="H5613" s="118">
        <v>1.0532407407407407E-3</v>
      </c>
      <c r="I5613" s="118">
        <v>3.4722222222222224E-4</v>
      </c>
      <c r="J5613"/>
      <c r="K5613"/>
    </row>
    <row r="5614" spans="1:11" x14ac:dyDescent="0.25">
      <c r="A5614">
        <v>2</v>
      </c>
      <c r="B5614">
        <v>20</v>
      </c>
      <c r="C5614"/>
      <c r="D5614" t="s">
        <v>31</v>
      </c>
      <c r="E5614" t="s">
        <v>35</v>
      </c>
      <c r="F5614" t="s">
        <v>58</v>
      </c>
      <c r="G5614" s="118">
        <v>0.91559027777777768</v>
      </c>
      <c r="H5614" s="118">
        <v>4.3981481481481481E-4</v>
      </c>
      <c r="I5614" s="118">
        <v>5.7870370370370366E-5</v>
      </c>
      <c r="J5614"/>
      <c r="K5614"/>
    </row>
    <row r="5615" spans="1:11" x14ac:dyDescent="0.25">
      <c r="A5615">
        <v>2</v>
      </c>
      <c r="B5615">
        <v>20</v>
      </c>
      <c r="C5615"/>
      <c r="D5615" t="s">
        <v>31</v>
      </c>
      <c r="E5615" t="s">
        <v>32</v>
      </c>
      <c r="F5615" t="s">
        <v>58</v>
      </c>
      <c r="G5615" s="118">
        <v>0.9156481481481481</v>
      </c>
      <c r="H5615" s="118">
        <v>5.7870370370370366E-5</v>
      </c>
      <c r="I5615" s="118">
        <v>4.8611111111111104E-4</v>
      </c>
      <c r="J5615" s="118">
        <v>7.0717592592592594E-3</v>
      </c>
      <c r="K5615" s="118">
        <v>7.0717592592592594E-3</v>
      </c>
    </row>
    <row r="5616" spans="1:11" x14ac:dyDescent="0.25">
      <c r="A5616">
        <v>4</v>
      </c>
      <c r="B5616">
        <v>20</v>
      </c>
      <c r="C5616"/>
      <c r="D5616" t="s">
        <v>31</v>
      </c>
      <c r="E5616" t="s">
        <v>35</v>
      </c>
      <c r="F5616" t="s">
        <v>53</v>
      </c>
      <c r="G5616" s="118">
        <v>0.91577546296296297</v>
      </c>
      <c r="H5616" s="118">
        <v>8.7962962962962962E-4</v>
      </c>
      <c r="I5616" s="118">
        <v>3.4722222222222224E-4</v>
      </c>
      <c r="J5616"/>
      <c r="K5616"/>
    </row>
    <row r="5617" spans="1:11" x14ac:dyDescent="0.25">
      <c r="A5617">
        <v>9</v>
      </c>
      <c r="B5617">
        <v>7</v>
      </c>
      <c r="C5617"/>
      <c r="D5617" t="s">
        <v>31</v>
      </c>
      <c r="E5617" t="s">
        <v>32</v>
      </c>
      <c r="F5617" t="s">
        <v>57</v>
      </c>
      <c r="G5617" s="118">
        <v>0.91587962962962965</v>
      </c>
      <c r="H5617" s="118">
        <v>3.4722222222222224E-4</v>
      </c>
      <c r="I5617" s="118">
        <v>9.3750000000000007E-4</v>
      </c>
      <c r="J5617" s="118">
        <v>7.0717592592592594E-3</v>
      </c>
      <c r="K5617" s="118">
        <v>7.0717592592592594E-3</v>
      </c>
    </row>
    <row r="5618" spans="1:11" x14ac:dyDescent="0.25">
      <c r="A5618">
        <v>4</v>
      </c>
      <c r="B5618">
        <v>20</v>
      </c>
      <c r="C5618"/>
      <c r="D5618" t="s">
        <v>31</v>
      </c>
      <c r="E5618" t="s">
        <v>32</v>
      </c>
      <c r="F5618" t="s">
        <v>53</v>
      </c>
      <c r="G5618" s="118">
        <v>0.91612268518518514</v>
      </c>
      <c r="H5618" s="118">
        <v>3.4722222222222224E-4</v>
      </c>
      <c r="I5618" s="118">
        <v>8.449074074074075E-4</v>
      </c>
      <c r="J5618" s="118">
        <v>7.0717592592592594E-3</v>
      </c>
      <c r="K5618" s="118">
        <v>7.0717592592592594E-3</v>
      </c>
    </row>
    <row r="5619" spans="1:11" x14ac:dyDescent="0.25">
      <c r="A5619">
        <v>2</v>
      </c>
      <c r="B5619">
        <v>20</v>
      </c>
      <c r="C5619"/>
      <c r="D5619" t="s">
        <v>31</v>
      </c>
      <c r="E5619" t="s">
        <v>35</v>
      </c>
      <c r="F5619" t="s">
        <v>40</v>
      </c>
      <c r="G5619" s="118">
        <v>0.91613425925925929</v>
      </c>
      <c r="H5619" s="118">
        <v>4.8611111111111104E-4</v>
      </c>
      <c r="I5619" s="118">
        <v>4.6296296296296293E-4</v>
      </c>
      <c r="J5619"/>
      <c r="K5619"/>
    </row>
    <row r="5620" spans="1:11" x14ac:dyDescent="0.25">
      <c r="A5620">
        <v>5</v>
      </c>
      <c r="B5620">
        <v>20</v>
      </c>
      <c r="C5620"/>
      <c r="D5620" t="s">
        <v>31</v>
      </c>
      <c r="E5620" t="s">
        <v>35</v>
      </c>
      <c r="F5620" t="s">
        <v>48</v>
      </c>
      <c r="G5620" s="118">
        <v>0.91628472222222224</v>
      </c>
      <c r="H5620" s="118">
        <v>9.1435185185185185E-4</v>
      </c>
      <c r="I5620" s="118">
        <v>5.2083333333333333E-4</v>
      </c>
      <c r="J5620"/>
      <c r="K5620"/>
    </row>
    <row r="5621" spans="1:11" x14ac:dyDescent="0.25">
      <c r="A5621">
        <v>1</v>
      </c>
      <c r="B5621">
        <v>19</v>
      </c>
      <c r="C5621"/>
      <c r="D5621" t="s">
        <v>31</v>
      </c>
      <c r="E5621" t="s">
        <v>35</v>
      </c>
      <c r="F5621" t="s">
        <v>43</v>
      </c>
      <c r="G5621" s="118">
        <v>0.91643518518518519</v>
      </c>
      <c r="H5621" s="118">
        <v>1.0995370370370371E-3</v>
      </c>
      <c r="I5621" s="118">
        <v>3.4722222222222224E-4</v>
      </c>
      <c r="J5621"/>
      <c r="K5621"/>
    </row>
    <row r="5622" spans="1:11" x14ac:dyDescent="0.25">
      <c r="A5622">
        <v>2</v>
      </c>
      <c r="B5622">
        <v>20</v>
      </c>
      <c r="C5622"/>
      <c r="D5622" t="s">
        <v>31</v>
      </c>
      <c r="E5622" t="s">
        <v>32</v>
      </c>
      <c r="F5622" t="s">
        <v>40</v>
      </c>
      <c r="G5622" s="118">
        <v>0.91659722222222229</v>
      </c>
      <c r="H5622" s="118">
        <v>4.6296296296296293E-4</v>
      </c>
      <c r="I5622" s="118">
        <v>1.0069444444444444E-3</v>
      </c>
      <c r="J5622" s="118">
        <v>7.0717592592592594E-3</v>
      </c>
      <c r="K5622" s="118">
        <v>7.0717592592592594E-3</v>
      </c>
    </row>
    <row r="5623" spans="1:11" x14ac:dyDescent="0.25">
      <c r="A5623">
        <v>1</v>
      </c>
      <c r="B5623">
        <v>19</v>
      </c>
      <c r="C5623"/>
      <c r="D5623" t="s">
        <v>31</v>
      </c>
      <c r="E5623" t="s">
        <v>32</v>
      </c>
      <c r="F5623" t="s">
        <v>43</v>
      </c>
      <c r="G5623" s="118">
        <v>0.91678240740740735</v>
      </c>
      <c r="H5623" s="118">
        <v>3.4722222222222224E-4</v>
      </c>
      <c r="I5623" s="118">
        <v>1.1458333333333333E-3</v>
      </c>
      <c r="J5623" s="118">
        <v>7.0717592592592594E-3</v>
      </c>
      <c r="K5623" s="118">
        <v>7.0717592592592594E-3</v>
      </c>
    </row>
    <row r="5624" spans="1:11" x14ac:dyDescent="0.25">
      <c r="A5624">
        <v>5</v>
      </c>
      <c r="B5624">
        <v>20</v>
      </c>
      <c r="C5624"/>
      <c r="D5624" t="s">
        <v>31</v>
      </c>
      <c r="E5624" t="s">
        <v>32</v>
      </c>
      <c r="F5624" t="s">
        <v>48</v>
      </c>
      <c r="G5624" s="118">
        <v>0.91680555555555554</v>
      </c>
      <c r="H5624" s="118">
        <v>5.2083333333333333E-4</v>
      </c>
      <c r="I5624" s="118">
        <v>8.6805555555555551E-4</v>
      </c>
      <c r="J5624" s="118">
        <v>7.0717592592592594E-3</v>
      </c>
      <c r="K5624" s="118">
        <v>7.0717592592592594E-3</v>
      </c>
    </row>
    <row r="5625" spans="1:11" x14ac:dyDescent="0.25">
      <c r="A5625">
        <v>9</v>
      </c>
      <c r="B5625">
        <v>7</v>
      </c>
      <c r="C5625"/>
      <c r="D5625" t="s">
        <v>31</v>
      </c>
      <c r="E5625" t="s">
        <v>35</v>
      </c>
      <c r="F5625" t="s">
        <v>39</v>
      </c>
      <c r="G5625" s="118">
        <v>0.91681712962962969</v>
      </c>
      <c r="H5625" s="118">
        <v>9.3750000000000007E-4</v>
      </c>
      <c r="I5625" s="118">
        <v>5.2083333333333333E-4</v>
      </c>
      <c r="J5625"/>
      <c r="K5625"/>
    </row>
    <row r="5626" spans="1:11" x14ac:dyDescent="0.25">
      <c r="A5626">
        <v>4</v>
      </c>
      <c r="B5626">
        <v>20</v>
      </c>
      <c r="C5626"/>
      <c r="D5626" t="s">
        <v>31</v>
      </c>
      <c r="E5626" t="s">
        <v>35</v>
      </c>
      <c r="F5626" t="s">
        <v>34</v>
      </c>
      <c r="G5626" s="118">
        <v>0.91696759259259253</v>
      </c>
      <c r="H5626" s="118">
        <v>8.449074074074075E-4</v>
      </c>
      <c r="I5626" s="118">
        <v>3.4722222222222224E-4</v>
      </c>
      <c r="J5626"/>
      <c r="K5626"/>
    </row>
    <row r="5627" spans="1:11" x14ac:dyDescent="0.25">
      <c r="A5627">
        <v>4</v>
      </c>
      <c r="B5627">
        <v>20</v>
      </c>
      <c r="C5627"/>
      <c r="D5627" t="s">
        <v>31</v>
      </c>
      <c r="E5627" t="s">
        <v>32</v>
      </c>
      <c r="F5627" t="s">
        <v>34</v>
      </c>
      <c r="G5627" s="118">
        <v>0.91731481481481481</v>
      </c>
      <c r="H5627" s="118">
        <v>3.4722222222222224E-4</v>
      </c>
      <c r="I5627" s="118">
        <v>9.1435185185185185E-4</v>
      </c>
      <c r="J5627" s="118">
        <v>7.0717592592592594E-3</v>
      </c>
      <c r="K5627" s="118">
        <v>7.0717592592592594E-3</v>
      </c>
    </row>
    <row r="5628" spans="1:11" x14ac:dyDescent="0.25">
      <c r="A5628">
        <v>9</v>
      </c>
      <c r="B5628">
        <v>7</v>
      </c>
      <c r="C5628"/>
      <c r="D5628" t="s">
        <v>31</v>
      </c>
      <c r="E5628" t="s">
        <v>32</v>
      </c>
      <c r="F5628" t="s">
        <v>39</v>
      </c>
      <c r="G5628" s="118">
        <v>0.91733796296296299</v>
      </c>
      <c r="H5628" s="118">
        <v>5.2083333333333333E-4</v>
      </c>
      <c r="I5628" s="118">
        <v>1.8055555555555557E-3</v>
      </c>
      <c r="J5628" s="118">
        <v>7.0717592592592594E-3</v>
      </c>
      <c r="K5628" s="118">
        <v>7.0717592592592594E-3</v>
      </c>
    </row>
    <row r="5629" spans="1:11" x14ac:dyDescent="0.25">
      <c r="A5629">
        <v>2</v>
      </c>
      <c r="B5629">
        <v>20</v>
      </c>
      <c r="C5629"/>
      <c r="D5629" t="s">
        <v>31</v>
      </c>
      <c r="E5629" t="s">
        <v>35</v>
      </c>
      <c r="F5629" t="s">
        <v>44</v>
      </c>
      <c r="G5629" s="118">
        <v>0.91760416666666667</v>
      </c>
      <c r="H5629" s="118">
        <v>1.0069444444444444E-3</v>
      </c>
      <c r="I5629" s="118">
        <v>3.4722222222222224E-4</v>
      </c>
      <c r="J5629"/>
      <c r="K5629"/>
    </row>
    <row r="5630" spans="1:11" x14ac:dyDescent="0.25">
      <c r="A5630">
        <v>5</v>
      </c>
      <c r="B5630">
        <v>20</v>
      </c>
      <c r="C5630"/>
      <c r="D5630" t="s">
        <v>31</v>
      </c>
      <c r="E5630" t="s">
        <v>35</v>
      </c>
      <c r="F5630" t="s">
        <v>54</v>
      </c>
      <c r="G5630" s="118">
        <v>0.91767361111111112</v>
      </c>
      <c r="H5630" s="118">
        <v>8.6805555555555551E-4</v>
      </c>
      <c r="I5630" s="118">
        <v>3.4722222222222224E-4</v>
      </c>
      <c r="J5630"/>
      <c r="K5630"/>
    </row>
    <row r="5631" spans="1:11" x14ac:dyDescent="0.25">
      <c r="A5631">
        <v>1</v>
      </c>
      <c r="B5631">
        <v>19</v>
      </c>
      <c r="C5631"/>
      <c r="D5631" t="s">
        <v>31</v>
      </c>
      <c r="E5631" t="s">
        <v>35</v>
      </c>
      <c r="F5631" t="s">
        <v>50</v>
      </c>
      <c r="G5631" s="118">
        <v>0.91792824074074064</v>
      </c>
      <c r="H5631" s="118">
        <v>1.1458333333333333E-3</v>
      </c>
      <c r="I5631" s="118">
        <v>3.4722222222222224E-4</v>
      </c>
      <c r="J5631"/>
      <c r="K5631"/>
    </row>
    <row r="5632" spans="1:11" x14ac:dyDescent="0.25">
      <c r="A5632">
        <v>2</v>
      </c>
      <c r="B5632">
        <v>20</v>
      </c>
      <c r="C5632"/>
      <c r="D5632" t="s">
        <v>31</v>
      </c>
      <c r="E5632" t="s">
        <v>32</v>
      </c>
      <c r="F5632" t="s">
        <v>44</v>
      </c>
      <c r="G5632" s="118">
        <v>0.91795138888888894</v>
      </c>
      <c r="H5632" s="118">
        <v>3.4722222222222224E-4</v>
      </c>
      <c r="I5632" s="118">
        <v>9.2592592592592585E-4</v>
      </c>
      <c r="J5632" s="118">
        <v>7.0717592592592594E-3</v>
      </c>
      <c r="K5632" s="118">
        <v>7.0717592592592594E-3</v>
      </c>
    </row>
    <row r="5633" spans="1:11" x14ac:dyDescent="0.25">
      <c r="A5633">
        <v>5</v>
      </c>
      <c r="B5633">
        <v>20</v>
      </c>
      <c r="C5633"/>
      <c r="D5633" t="s">
        <v>31</v>
      </c>
      <c r="E5633" t="s">
        <v>32</v>
      </c>
      <c r="F5633" t="s">
        <v>54</v>
      </c>
      <c r="G5633" s="118">
        <v>0.91802083333333329</v>
      </c>
      <c r="H5633" s="118">
        <v>3.4722222222222224E-4</v>
      </c>
      <c r="I5633" s="118">
        <v>6.9444444444444447E-4</v>
      </c>
      <c r="J5633" s="118">
        <v>7.0717592592592594E-3</v>
      </c>
      <c r="K5633" s="118">
        <v>7.0717592592592594E-3</v>
      </c>
    </row>
    <row r="5634" spans="1:11" x14ac:dyDescent="0.25">
      <c r="A5634">
        <v>4</v>
      </c>
      <c r="B5634">
        <v>20</v>
      </c>
      <c r="C5634"/>
      <c r="D5634" t="s">
        <v>31</v>
      </c>
      <c r="E5634" t="s">
        <v>35</v>
      </c>
      <c r="F5634" t="s">
        <v>38</v>
      </c>
      <c r="G5634" s="118">
        <v>0.91822916666666676</v>
      </c>
      <c r="H5634" s="118">
        <v>9.1435185185185185E-4</v>
      </c>
      <c r="I5634" s="118">
        <v>3.4722222222222224E-4</v>
      </c>
      <c r="J5634"/>
      <c r="K5634"/>
    </row>
    <row r="5635" spans="1:11" x14ac:dyDescent="0.25">
      <c r="A5635">
        <v>1</v>
      </c>
      <c r="B5635">
        <v>19</v>
      </c>
      <c r="C5635"/>
      <c r="D5635" t="s">
        <v>31</v>
      </c>
      <c r="E5635" t="s">
        <v>32</v>
      </c>
      <c r="F5635" t="s">
        <v>50</v>
      </c>
      <c r="G5635" s="118">
        <v>0.91827546296296303</v>
      </c>
      <c r="H5635" s="118">
        <v>3.4722222222222224E-4</v>
      </c>
      <c r="I5635" s="118">
        <v>1.261574074074074E-3</v>
      </c>
      <c r="J5635" s="118">
        <v>7.0717592592592594E-3</v>
      </c>
      <c r="K5635" s="118">
        <v>7.0717592592592594E-3</v>
      </c>
    </row>
    <row r="5636" spans="1:11" x14ac:dyDescent="0.25">
      <c r="A5636">
        <v>4</v>
      </c>
      <c r="B5636">
        <v>20</v>
      </c>
      <c r="C5636"/>
      <c r="D5636" t="s">
        <v>31</v>
      </c>
      <c r="E5636" t="s">
        <v>32</v>
      </c>
      <c r="F5636" t="s">
        <v>38</v>
      </c>
      <c r="G5636" s="118">
        <v>0.91857638888888893</v>
      </c>
      <c r="H5636" s="118">
        <v>3.4722222222222224E-4</v>
      </c>
      <c r="I5636" s="118">
        <v>1.2384259259259258E-3</v>
      </c>
      <c r="J5636" s="118">
        <v>7.0717592592592594E-3</v>
      </c>
      <c r="K5636" s="118">
        <v>7.0717592592592594E-3</v>
      </c>
    </row>
    <row r="5637" spans="1:11" x14ac:dyDescent="0.25">
      <c r="A5637">
        <v>5</v>
      </c>
      <c r="B5637">
        <v>20</v>
      </c>
      <c r="C5637"/>
      <c r="D5637" t="s">
        <v>31</v>
      </c>
      <c r="E5637" t="s">
        <v>35</v>
      </c>
      <c r="F5637" t="s">
        <v>92</v>
      </c>
      <c r="G5637" s="118">
        <v>0.91871527777777784</v>
      </c>
      <c r="H5637" s="118">
        <v>6.9444444444444447E-4</v>
      </c>
      <c r="I5637" s="118">
        <v>5.2083333333333333E-4</v>
      </c>
      <c r="J5637"/>
      <c r="K5637"/>
    </row>
    <row r="5638" spans="1:11" x14ac:dyDescent="0.25">
      <c r="A5638">
        <v>2</v>
      </c>
      <c r="B5638">
        <v>20</v>
      </c>
      <c r="C5638"/>
      <c r="D5638" t="s">
        <v>31</v>
      </c>
      <c r="E5638" t="s">
        <v>35</v>
      </c>
      <c r="F5638" t="s">
        <v>49</v>
      </c>
      <c r="G5638" s="118">
        <v>0.91887731481481483</v>
      </c>
      <c r="H5638" s="118">
        <v>9.2592592592592585E-4</v>
      </c>
      <c r="I5638" s="118">
        <v>3.4722222222222224E-4</v>
      </c>
      <c r="J5638"/>
      <c r="K5638"/>
    </row>
    <row r="5639" spans="1:11" x14ac:dyDescent="0.25">
      <c r="A5639">
        <v>9</v>
      </c>
      <c r="B5639">
        <v>7</v>
      </c>
      <c r="C5639"/>
      <c r="D5639" t="s">
        <v>31</v>
      </c>
      <c r="E5639" t="s">
        <v>35</v>
      </c>
      <c r="F5639" t="s">
        <v>46</v>
      </c>
      <c r="G5639" s="118">
        <v>0.9191435185185185</v>
      </c>
      <c r="H5639" s="118">
        <v>1.8055555555555557E-3</v>
      </c>
      <c r="I5639" s="118">
        <v>3.4722222222222224E-4</v>
      </c>
      <c r="J5639"/>
      <c r="K5639"/>
    </row>
    <row r="5640" spans="1:11" x14ac:dyDescent="0.25">
      <c r="A5640">
        <v>2</v>
      </c>
      <c r="B5640">
        <v>20</v>
      </c>
      <c r="C5640"/>
      <c r="D5640" t="s">
        <v>31</v>
      </c>
      <c r="E5640" t="s">
        <v>32</v>
      </c>
      <c r="F5640" t="s">
        <v>49</v>
      </c>
      <c r="G5640" s="118">
        <v>0.91922453703703699</v>
      </c>
      <c r="H5640" s="118">
        <v>3.4722222222222224E-4</v>
      </c>
      <c r="I5640" s="118">
        <v>1.3541666666666667E-3</v>
      </c>
      <c r="J5640" s="118">
        <v>7.0717592592592594E-3</v>
      </c>
      <c r="K5640" s="118">
        <v>7.0717592592592594E-3</v>
      </c>
    </row>
    <row r="5641" spans="1:11" x14ac:dyDescent="0.25">
      <c r="A5641">
        <v>5</v>
      </c>
      <c r="B5641">
        <v>21</v>
      </c>
      <c r="C5641"/>
      <c r="D5641" t="s">
        <v>31</v>
      </c>
      <c r="E5641" t="s">
        <v>32</v>
      </c>
      <c r="F5641" t="s">
        <v>92</v>
      </c>
      <c r="G5641" s="118">
        <v>0.91923611111111114</v>
      </c>
      <c r="H5641" s="118">
        <v>5.2083333333333333E-4</v>
      </c>
      <c r="I5641" s="118">
        <v>1.0069444444444444E-3</v>
      </c>
      <c r="J5641" s="118">
        <v>7.0717592592592594E-3</v>
      </c>
      <c r="K5641" s="118">
        <v>7.0717592592592594E-3</v>
      </c>
    </row>
    <row r="5642" spans="1:11" x14ac:dyDescent="0.25">
      <c r="A5642">
        <v>9</v>
      </c>
      <c r="B5642">
        <v>7</v>
      </c>
      <c r="C5642"/>
      <c r="D5642" t="s">
        <v>31</v>
      </c>
      <c r="E5642" t="s">
        <v>32</v>
      </c>
      <c r="F5642" t="s">
        <v>46</v>
      </c>
      <c r="G5642" s="118">
        <v>0.91949074074074078</v>
      </c>
      <c r="H5642" s="118">
        <v>3.4722222222222224E-4</v>
      </c>
      <c r="I5642" s="118">
        <v>9.1435185185185185E-4</v>
      </c>
      <c r="J5642" s="118">
        <v>7.0717592592592594E-3</v>
      </c>
      <c r="K5642" s="118">
        <v>7.0717592592592594E-3</v>
      </c>
    </row>
    <row r="5643" spans="1:11" x14ac:dyDescent="0.25">
      <c r="A5643">
        <v>1</v>
      </c>
      <c r="B5643">
        <v>19</v>
      </c>
      <c r="C5643"/>
      <c r="D5643" t="s">
        <v>31</v>
      </c>
      <c r="E5643" t="s">
        <v>35</v>
      </c>
      <c r="F5643" t="s">
        <v>56</v>
      </c>
      <c r="G5643" s="118">
        <v>0.91953703703703704</v>
      </c>
      <c r="H5643" s="118">
        <v>1.261574074074074E-3</v>
      </c>
      <c r="I5643" s="118">
        <v>3.4722222222222224E-4</v>
      </c>
      <c r="J5643"/>
      <c r="K5643"/>
    </row>
    <row r="5644" spans="1:11" x14ac:dyDescent="0.25">
      <c r="A5644">
        <v>4</v>
      </c>
      <c r="B5644">
        <v>20</v>
      </c>
      <c r="C5644"/>
      <c r="D5644" t="s">
        <v>31</v>
      </c>
      <c r="E5644" t="s">
        <v>35</v>
      </c>
      <c r="F5644" t="s">
        <v>45</v>
      </c>
      <c r="G5644" s="118">
        <v>0.91981481481481486</v>
      </c>
      <c r="H5644" s="118">
        <v>1.2384259259259258E-3</v>
      </c>
      <c r="I5644" s="118">
        <v>3.4722222222222224E-4</v>
      </c>
      <c r="J5644"/>
      <c r="K5644"/>
    </row>
    <row r="5645" spans="1:11" x14ac:dyDescent="0.25">
      <c r="A5645">
        <v>1</v>
      </c>
      <c r="B5645">
        <v>19</v>
      </c>
      <c r="C5645"/>
      <c r="D5645" t="s">
        <v>31</v>
      </c>
      <c r="E5645" t="s">
        <v>32</v>
      </c>
      <c r="F5645" t="s">
        <v>56</v>
      </c>
      <c r="G5645" s="118">
        <v>0.91988425925925921</v>
      </c>
      <c r="H5645" s="118">
        <v>3.4722222222222224E-4</v>
      </c>
      <c r="I5645" s="118">
        <v>9.6064814814814808E-4</v>
      </c>
      <c r="J5645" s="118">
        <v>7.0717592592592594E-3</v>
      </c>
      <c r="K5645" s="118">
        <v>7.0717592592592594E-3</v>
      </c>
    </row>
    <row r="5646" spans="1:11" x14ac:dyDescent="0.25">
      <c r="A5646">
        <v>4</v>
      </c>
      <c r="B5646">
        <v>20</v>
      </c>
      <c r="C5646"/>
      <c r="D5646" t="s">
        <v>31</v>
      </c>
      <c r="E5646" t="s">
        <v>32</v>
      </c>
      <c r="F5646" t="s">
        <v>45</v>
      </c>
      <c r="G5646" s="118">
        <v>0.92016203703703703</v>
      </c>
      <c r="H5646" s="118">
        <v>3.4722222222222224E-4</v>
      </c>
      <c r="I5646" s="118">
        <v>1.0416666666666667E-3</v>
      </c>
      <c r="J5646" s="118">
        <v>7.0717592592592594E-3</v>
      </c>
      <c r="K5646" s="118">
        <v>7.0717592592592594E-3</v>
      </c>
    </row>
    <row r="5647" spans="1:11" x14ac:dyDescent="0.25">
      <c r="A5647">
        <v>5</v>
      </c>
      <c r="B5647">
        <v>21</v>
      </c>
      <c r="C5647"/>
      <c r="D5647" t="s">
        <v>31</v>
      </c>
      <c r="E5647" t="s">
        <v>35</v>
      </c>
      <c r="F5647" t="s">
        <v>41</v>
      </c>
      <c r="G5647" s="118">
        <v>0.92024305555555552</v>
      </c>
      <c r="H5647" s="118">
        <v>1.0069444444444444E-3</v>
      </c>
      <c r="I5647" s="118">
        <v>3.4722222222222224E-4</v>
      </c>
      <c r="J5647"/>
      <c r="K5647"/>
    </row>
    <row r="5648" spans="1:11" x14ac:dyDescent="0.25">
      <c r="A5648">
        <v>9</v>
      </c>
      <c r="B5648">
        <v>7</v>
      </c>
      <c r="C5648"/>
      <c r="D5648" t="s">
        <v>31</v>
      </c>
      <c r="E5648" t="s">
        <v>35</v>
      </c>
      <c r="F5648" t="s">
        <v>51</v>
      </c>
      <c r="G5648" s="118">
        <v>0.92040509259259251</v>
      </c>
      <c r="H5648" s="118">
        <v>9.1435185185185185E-4</v>
      </c>
      <c r="I5648" s="118">
        <v>3.4722222222222224E-4</v>
      </c>
      <c r="J5648"/>
      <c r="K5648"/>
    </row>
    <row r="5649" spans="1:11" x14ac:dyDescent="0.25">
      <c r="A5649">
        <v>2</v>
      </c>
      <c r="B5649">
        <v>20</v>
      </c>
      <c r="C5649"/>
      <c r="D5649" t="s">
        <v>31</v>
      </c>
      <c r="E5649" t="s">
        <v>35</v>
      </c>
      <c r="F5649" t="s">
        <v>33</v>
      </c>
      <c r="G5649" s="118">
        <v>0.92057870370370365</v>
      </c>
      <c r="H5649" s="118">
        <v>1.3541666666666667E-3</v>
      </c>
      <c r="I5649" s="118">
        <v>5.2083333333333333E-4</v>
      </c>
      <c r="J5649"/>
      <c r="K5649"/>
    </row>
    <row r="5650" spans="1:11" x14ac:dyDescent="0.25">
      <c r="A5650">
        <v>5</v>
      </c>
      <c r="B5650">
        <v>21</v>
      </c>
      <c r="C5650"/>
      <c r="D5650" t="s">
        <v>31</v>
      </c>
      <c r="E5650" t="s">
        <v>32</v>
      </c>
      <c r="F5650" t="s">
        <v>41</v>
      </c>
      <c r="G5650" s="118">
        <v>0.9205902777777778</v>
      </c>
      <c r="H5650" s="118">
        <v>3.4722222222222224E-4</v>
      </c>
      <c r="I5650" s="118">
        <v>8.564814814814815E-4</v>
      </c>
      <c r="J5650" s="118">
        <v>7.0717592592592594E-3</v>
      </c>
      <c r="K5650" s="118">
        <v>7.0717592592592594E-3</v>
      </c>
    </row>
    <row r="5651" spans="1:11" x14ac:dyDescent="0.25">
      <c r="A5651">
        <v>9</v>
      </c>
      <c r="B5651">
        <v>7</v>
      </c>
      <c r="C5651"/>
      <c r="D5651" t="s">
        <v>31</v>
      </c>
      <c r="E5651" t="s">
        <v>32</v>
      </c>
      <c r="F5651" t="s">
        <v>51</v>
      </c>
      <c r="G5651" s="118">
        <v>0.92075231481481479</v>
      </c>
      <c r="H5651" s="118">
        <v>3.4722222222222224E-4</v>
      </c>
      <c r="I5651" s="118">
        <v>1.0069444444444444E-3</v>
      </c>
      <c r="J5651" s="118">
        <v>7.0717592592592594E-3</v>
      </c>
      <c r="K5651" s="118">
        <v>7.0717592592592594E-3</v>
      </c>
    </row>
    <row r="5652" spans="1:11" x14ac:dyDescent="0.25">
      <c r="A5652">
        <v>1</v>
      </c>
      <c r="B5652">
        <v>19</v>
      </c>
      <c r="C5652"/>
      <c r="D5652" t="s">
        <v>31</v>
      </c>
      <c r="E5652" t="s">
        <v>35</v>
      </c>
      <c r="F5652" t="s">
        <v>37</v>
      </c>
      <c r="G5652" s="118">
        <v>0.92084490740740732</v>
      </c>
      <c r="H5652" s="118">
        <v>9.6064814814814808E-4</v>
      </c>
      <c r="I5652" s="118">
        <v>3.4722222222222224E-4</v>
      </c>
      <c r="J5652"/>
      <c r="K5652"/>
    </row>
    <row r="5653" spans="1:11" x14ac:dyDescent="0.25">
      <c r="A5653">
        <v>2</v>
      </c>
      <c r="B5653">
        <v>20</v>
      </c>
      <c r="C5653"/>
      <c r="D5653" t="s">
        <v>31</v>
      </c>
      <c r="E5653" t="s">
        <v>32</v>
      </c>
      <c r="F5653" t="s">
        <v>33</v>
      </c>
      <c r="G5653" s="118">
        <v>0.92109953703703706</v>
      </c>
      <c r="H5653" s="118">
        <v>5.2083333333333333E-4</v>
      </c>
      <c r="I5653" s="118">
        <v>9.6064814814814808E-4</v>
      </c>
      <c r="J5653" s="118">
        <v>7.0717592592592594E-3</v>
      </c>
      <c r="K5653" s="118">
        <v>7.0717592592592594E-3</v>
      </c>
    </row>
    <row r="5654" spans="1:11" x14ac:dyDescent="0.25">
      <c r="A5654">
        <v>1</v>
      </c>
      <c r="B5654">
        <v>19</v>
      </c>
      <c r="C5654"/>
      <c r="D5654" t="s">
        <v>31</v>
      </c>
      <c r="E5654" t="s">
        <v>32</v>
      </c>
      <c r="F5654" t="s">
        <v>37</v>
      </c>
      <c r="G5654" s="118">
        <v>0.9211921296296296</v>
      </c>
      <c r="H5654" s="118">
        <v>3.4722222222222224E-4</v>
      </c>
      <c r="I5654" s="118">
        <v>9.0277777777777784E-4</v>
      </c>
      <c r="J5654" s="118">
        <v>7.0717592592592594E-3</v>
      </c>
      <c r="K5654" s="118">
        <v>7.0717592592592594E-3</v>
      </c>
    </row>
    <row r="5655" spans="1:11" x14ac:dyDescent="0.25">
      <c r="A5655">
        <v>4</v>
      </c>
      <c r="B5655">
        <v>20</v>
      </c>
      <c r="C5655"/>
      <c r="D5655" t="s">
        <v>31</v>
      </c>
      <c r="E5655" t="s">
        <v>35</v>
      </c>
      <c r="F5655" t="s">
        <v>52</v>
      </c>
      <c r="G5655" s="118">
        <v>0.92120370370370364</v>
      </c>
      <c r="H5655" s="118">
        <v>1.0416666666666667E-3</v>
      </c>
      <c r="I5655" s="118">
        <v>3.4722222222222224E-4</v>
      </c>
      <c r="J5655"/>
      <c r="K5655"/>
    </row>
    <row r="5656" spans="1:11" x14ac:dyDescent="0.25">
      <c r="A5656">
        <v>5</v>
      </c>
      <c r="B5656">
        <v>21</v>
      </c>
      <c r="C5656"/>
      <c r="D5656" t="s">
        <v>31</v>
      </c>
      <c r="E5656" t="s">
        <v>35</v>
      </c>
      <c r="F5656" t="s">
        <v>47</v>
      </c>
      <c r="G5656" s="118">
        <v>0.92144675925925934</v>
      </c>
      <c r="H5656" s="118">
        <v>8.564814814814815E-4</v>
      </c>
      <c r="I5656" s="118">
        <v>5.2083333333333333E-4</v>
      </c>
      <c r="J5656"/>
      <c r="K5656"/>
    </row>
    <row r="5657" spans="1:11" x14ac:dyDescent="0.25">
      <c r="A5657">
        <v>4</v>
      </c>
      <c r="B5657">
        <v>20</v>
      </c>
      <c r="C5657"/>
      <c r="D5657" t="s">
        <v>31</v>
      </c>
      <c r="E5657" t="s">
        <v>32</v>
      </c>
      <c r="F5657" t="s">
        <v>52</v>
      </c>
      <c r="G5657" s="118">
        <v>0.92155092592592591</v>
      </c>
      <c r="H5657" s="118">
        <v>3.4722222222222224E-4</v>
      </c>
      <c r="I5657" s="118">
        <v>1.0532407407407407E-3</v>
      </c>
      <c r="J5657" s="118">
        <v>7.0717592592592594E-3</v>
      </c>
      <c r="K5657" s="118">
        <v>7.0717592592592594E-3</v>
      </c>
    </row>
    <row r="5658" spans="1:11" x14ac:dyDescent="0.25">
      <c r="A5658">
        <v>9</v>
      </c>
      <c r="B5658">
        <v>7</v>
      </c>
      <c r="C5658"/>
      <c r="D5658" t="s">
        <v>31</v>
      </c>
      <c r="E5658" t="s">
        <v>35</v>
      </c>
      <c r="F5658" t="s">
        <v>55</v>
      </c>
      <c r="G5658" s="118">
        <v>0.92175925925925928</v>
      </c>
      <c r="H5658" s="118">
        <v>1.0069444444444444E-3</v>
      </c>
      <c r="I5658" s="118">
        <v>4.6296296296296293E-4</v>
      </c>
      <c r="J5658"/>
      <c r="K5658"/>
    </row>
    <row r="5659" spans="1:11" x14ac:dyDescent="0.25">
      <c r="A5659">
        <v>5</v>
      </c>
      <c r="B5659">
        <v>21</v>
      </c>
      <c r="C5659"/>
      <c r="D5659" t="s">
        <v>31</v>
      </c>
      <c r="E5659" t="s">
        <v>32</v>
      </c>
      <c r="F5659" t="s">
        <v>47</v>
      </c>
      <c r="G5659" s="118">
        <v>0.92196759259259264</v>
      </c>
      <c r="H5659" s="118">
        <v>5.2083333333333333E-4</v>
      </c>
      <c r="I5659" s="118">
        <v>8.7962962962962962E-4</v>
      </c>
      <c r="J5659" s="118">
        <v>7.0717592592592594E-3</v>
      </c>
      <c r="K5659" s="118">
        <v>7.0717592592592594E-3</v>
      </c>
    </row>
    <row r="5660" spans="1:11" x14ac:dyDescent="0.25">
      <c r="A5660">
        <v>2</v>
      </c>
      <c r="B5660">
        <v>20</v>
      </c>
      <c r="C5660"/>
      <c r="D5660" t="s">
        <v>31</v>
      </c>
      <c r="E5660" t="s">
        <v>35</v>
      </c>
      <c r="F5660" t="s">
        <v>36</v>
      </c>
      <c r="G5660" s="118">
        <v>0.92206018518518518</v>
      </c>
      <c r="H5660" s="118">
        <v>9.6064814814814808E-4</v>
      </c>
      <c r="I5660" s="118">
        <v>3.4722222222222224E-4</v>
      </c>
      <c r="J5660"/>
      <c r="K5660"/>
    </row>
    <row r="5661" spans="1:11" x14ac:dyDescent="0.25">
      <c r="A5661">
        <v>1</v>
      </c>
      <c r="B5661">
        <v>19</v>
      </c>
      <c r="C5661"/>
      <c r="D5661" t="s">
        <v>31</v>
      </c>
      <c r="E5661" t="s">
        <v>35</v>
      </c>
      <c r="F5661" t="s">
        <v>42</v>
      </c>
      <c r="G5661" s="118">
        <v>0.9220949074074074</v>
      </c>
      <c r="H5661" s="118">
        <v>9.0277777777777784E-4</v>
      </c>
      <c r="I5661" s="118">
        <v>3.4722222222222224E-4</v>
      </c>
      <c r="J5661"/>
      <c r="K5661"/>
    </row>
    <row r="5662" spans="1:11" x14ac:dyDescent="0.25">
      <c r="A5662">
        <v>9</v>
      </c>
      <c r="B5662">
        <v>7</v>
      </c>
      <c r="C5662"/>
      <c r="D5662" t="s">
        <v>31</v>
      </c>
      <c r="E5662" t="s">
        <v>32</v>
      </c>
      <c r="F5662" t="s">
        <v>55</v>
      </c>
      <c r="G5662" s="118">
        <v>0.92222222222222217</v>
      </c>
      <c r="H5662" s="118">
        <v>4.6296296296296293E-4</v>
      </c>
      <c r="I5662" s="118">
        <v>4.3981481481481481E-4</v>
      </c>
      <c r="J5662" s="118">
        <v>7.0717592592592594E-3</v>
      </c>
      <c r="K5662" s="118">
        <v>7.0717592592592594E-3</v>
      </c>
    </row>
    <row r="5663" spans="1:11" x14ac:dyDescent="0.25">
      <c r="A5663">
        <v>2</v>
      </c>
      <c r="B5663">
        <v>20</v>
      </c>
      <c r="C5663"/>
      <c r="D5663" t="s">
        <v>31</v>
      </c>
      <c r="E5663" t="s">
        <v>32</v>
      </c>
      <c r="F5663" t="s">
        <v>36</v>
      </c>
      <c r="G5663" s="118">
        <v>0.92240740740740745</v>
      </c>
      <c r="H5663" s="118">
        <v>3.4722222222222224E-4</v>
      </c>
      <c r="I5663" s="118">
        <v>1.0995370370370371E-3</v>
      </c>
      <c r="J5663" s="118">
        <v>7.0717592592592594E-3</v>
      </c>
      <c r="K5663" s="118">
        <v>7.0717592592592594E-3</v>
      </c>
    </row>
    <row r="5664" spans="1:11" x14ac:dyDescent="0.25">
      <c r="A5664">
        <v>1</v>
      </c>
      <c r="B5664">
        <v>19</v>
      </c>
      <c r="C5664"/>
      <c r="D5664" t="s">
        <v>31</v>
      </c>
      <c r="E5664" t="s">
        <v>32</v>
      </c>
      <c r="F5664" t="s">
        <v>42</v>
      </c>
      <c r="G5664" s="118">
        <v>0.92244212962962957</v>
      </c>
      <c r="H5664" s="118">
        <v>3.4722222222222224E-4</v>
      </c>
      <c r="I5664" s="118">
        <v>9.1435185185185185E-4</v>
      </c>
      <c r="J5664" s="118">
        <v>7.0717592592592594E-3</v>
      </c>
      <c r="K5664" s="118">
        <v>7.0717592592592594E-3</v>
      </c>
    </row>
    <row r="5665" spans="1:11" x14ac:dyDescent="0.25">
      <c r="A5665">
        <v>4</v>
      </c>
      <c r="B5665">
        <v>20</v>
      </c>
      <c r="C5665"/>
      <c r="D5665" t="s">
        <v>31</v>
      </c>
      <c r="E5665" t="s">
        <v>35</v>
      </c>
      <c r="F5665" t="s">
        <v>57</v>
      </c>
      <c r="G5665" s="118">
        <v>0.92260416666666656</v>
      </c>
      <c r="H5665" s="118">
        <v>1.0532407407407407E-3</v>
      </c>
      <c r="I5665" s="118">
        <v>3.4722222222222224E-4</v>
      </c>
      <c r="J5665"/>
      <c r="K5665"/>
    </row>
    <row r="5666" spans="1:11" x14ac:dyDescent="0.25">
      <c r="A5666">
        <v>9</v>
      </c>
      <c r="B5666">
        <v>7</v>
      </c>
      <c r="C5666"/>
      <c r="D5666" t="s">
        <v>31</v>
      </c>
      <c r="E5666" t="s">
        <v>35</v>
      </c>
      <c r="F5666" t="s">
        <v>58</v>
      </c>
      <c r="G5666" s="118">
        <v>0.92266203703703698</v>
      </c>
      <c r="H5666" s="118">
        <v>4.3981481481481481E-4</v>
      </c>
      <c r="I5666" s="118">
        <v>5.7870370370370366E-5</v>
      </c>
      <c r="J5666"/>
      <c r="K5666"/>
    </row>
    <row r="5667" spans="1:11" x14ac:dyDescent="0.25">
      <c r="A5667">
        <v>9</v>
      </c>
      <c r="B5667">
        <v>7</v>
      </c>
      <c r="C5667"/>
      <c r="D5667" t="s">
        <v>31</v>
      </c>
      <c r="E5667" t="s">
        <v>32</v>
      </c>
      <c r="F5667" t="s">
        <v>58</v>
      </c>
      <c r="G5667" s="118">
        <v>0.92271990740740739</v>
      </c>
      <c r="H5667" s="118">
        <v>5.7870370370370366E-5</v>
      </c>
      <c r="I5667" s="118">
        <v>4.8611111111111104E-4</v>
      </c>
      <c r="J5667" s="118">
        <v>7.0717592592592594E-3</v>
      </c>
      <c r="K5667" s="118">
        <v>7.0717592592592594E-3</v>
      </c>
    </row>
    <row r="5668" spans="1:11" x14ac:dyDescent="0.25">
      <c r="A5668">
        <v>5</v>
      </c>
      <c r="B5668">
        <v>21</v>
      </c>
      <c r="C5668"/>
      <c r="D5668" t="s">
        <v>31</v>
      </c>
      <c r="E5668" t="s">
        <v>35</v>
      </c>
      <c r="F5668" t="s">
        <v>53</v>
      </c>
      <c r="G5668" s="118">
        <v>0.92284722222222226</v>
      </c>
      <c r="H5668" s="118">
        <v>8.7962962962962962E-4</v>
      </c>
      <c r="I5668" s="118">
        <v>3.4722222222222224E-4</v>
      </c>
      <c r="J5668"/>
      <c r="K5668"/>
    </row>
    <row r="5669" spans="1:11" x14ac:dyDescent="0.25">
      <c r="A5669">
        <v>4</v>
      </c>
      <c r="B5669">
        <v>20</v>
      </c>
      <c r="C5669"/>
      <c r="D5669" t="s">
        <v>31</v>
      </c>
      <c r="E5669" t="s">
        <v>32</v>
      </c>
      <c r="F5669" t="s">
        <v>57</v>
      </c>
      <c r="G5669" s="118">
        <v>0.92295138888888895</v>
      </c>
      <c r="H5669" s="118">
        <v>3.4722222222222224E-4</v>
      </c>
      <c r="I5669" s="118">
        <v>9.3750000000000007E-4</v>
      </c>
      <c r="J5669" s="118">
        <v>7.0717592592592594E-3</v>
      </c>
      <c r="K5669" s="118">
        <v>7.0717592592592594E-3</v>
      </c>
    </row>
    <row r="5670" spans="1:11" x14ac:dyDescent="0.25">
      <c r="A5670">
        <v>5</v>
      </c>
      <c r="B5670">
        <v>21</v>
      </c>
      <c r="C5670"/>
      <c r="D5670" t="s">
        <v>31</v>
      </c>
      <c r="E5670" t="s">
        <v>32</v>
      </c>
      <c r="F5670" t="s">
        <v>53</v>
      </c>
      <c r="G5670" s="118">
        <v>0.92319444444444443</v>
      </c>
      <c r="H5670" s="118">
        <v>3.4722222222222224E-4</v>
      </c>
      <c r="I5670" s="118">
        <v>8.449074074074075E-4</v>
      </c>
      <c r="J5670" s="118">
        <v>7.0717592592592594E-3</v>
      </c>
      <c r="K5670" s="118">
        <v>7.0717592592592594E-3</v>
      </c>
    </row>
    <row r="5671" spans="1:11" x14ac:dyDescent="0.25">
      <c r="A5671">
        <v>9</v>
      </c>
      <c r="B5671">
        <v>7</v>
      </c>
      <c r="C5671"/>
      <c r="D5671" t="s">
        <v>31</v>
      </c>
      <c r="E5671" t="s">
        <v>35</v>
      </c>
      <c r="F5671" t="s">
        <v>40</v>
      </c>
      <c r="G5671" s="118">
        <v>0.92320601851851858</v>
      </c>
      <c r="H5671" s="118">
        <v>4.8611111111111104E-4</v>
      </c>
      <c r="I5671" s="118">
        <v>4.6296296296296293E-4</v>
      </c>
      <c r="J5671"/>
      <c r="K5671"/>
    </row>
    <row r="5672" spans="1:11" x14ac:dyDescent="0.25">
      <c r="A5672">
        <v>1</v>
      </c>
      <c r="B5672">
        <v>19</v>
      </c>
      <c r="C5672"/>
      <c r="D5672" t="s">
        <v>31</v>
      </c>
      <c r="E5672" t="s">
        <v>35</v>
      </c>
      <c r="F5672" t="s">
        <v>48</v>
      </c>
      <c r="G5672" s="118">
        <v>0.92335648148148142</v>
      </c>
      <c r="H5672" s="118">
        <v>9.1435185185185185E-4</v>
      </c>
      <c r="I5672" s="118">
        <v>5.2083333333333333E-4</v>
      </c>
      <c r="J5672"/>
      <c r="K5672"/>
    </row>
    <row r="5673" spans="1:11" x14ac:dyDescent="0.25">
      <c r="A5673">
        <v>2</v>
      </c>
      <c r="B5673">
        <v>20</v>
      </c>
      <c r="C5673"/>
      <c r="D5673" t="s">
        <v>31</v>
      </c>
      <c r="E5673" t="s">
        <v>35</v>
      </c>
      <c r="F5673" t="s">
        <v>43</v>
      </c>
      <c r="G5673" s="118">
        <v>0.92350694444444448</v>
      </c>
      <c r="H5673" s="118">
        <v>1.0995370370370371E-3</v>
      </c>
      <c r="I5673" s="118">
        <v>3.4722222222222224E-4</v>
      </c>
      <c r="J5673"/>
      <c r="K5673"/>
    </row>
    <row r="5674" spans="1:11" x14ac:dyDescent="0.25">
      <c r="A5674">
        <v>9</v>
      </c>
      <c r="B5674">
        <v>7</v>
      </c>
      <c r="C5674"/>
      <c r="D5674" t="s">
        <v>31</v>
      </c>
      <c r="E5674" t="s">
        <v>32</v>
      </c>
      <c r="F5674" t="s">
        <v>40</v>
      </c>
      <c r="G5674" s="118">
        <v>0.92366898148148147</v>
      </c>
      <c r="H5674" s="118">
        <v>4.6296296296296293E-4</v>
      </c>
      <c r="I5674" s="118">
        <v>1.0069444444444444E-3</v>
      </c>
      <c r="J5674" s="118">
        <v>7.0717592592592594E-3</v>
      </c>
      <c r="K5674" s="118">
        <v>7.0717592592592594E-3</v>
      </c>
    </row>
    <row r="5675" spans="1:11" x14ac:dyDescent="0.25">
      <c r="A5675">
        <v>2</v>
      </c>
      <c r="B5675">
        <v>20</v>
      </c>
      <c r="C5675"/>
      <c r="D5675" t="s">
        <v>31</v>
      </c>
      <c r="E5675" t="s">
        <v>32</v>
      </c>
      <c r="F5675" t="s">
        <v>43</v>
      </c>
      <c r="G5675" s="118">
        <v>0.92385416666666664</v>
      </c>
      <c r="H5675" s="118">
        <v>3.4722222222222224E-4</v>
      </c>
      <c r="I5675" s="118">
        <v>1.1458333333333333E-3</v>
      </c>
      <c r="J5675" s="118">
        <v>7.0717592592592594E-3</v>
      </c>
      <c r="K5675" s="118">
        <v>7.0717592592592594E-3</v>
      </c>
    </row>
    <row r="5676" spans="1:11" x14ac:dyDescent="0.25">
      <c r="A5676">
        <v>1</v>
      </c>
      <c r="B5676">
        <v>19</v>
      </c>
      <c r="C5676"/>
      <c r="D5676" t="s">
        <v>31</v>
      </c>
      <c r="E5676" t="s">
        <v>32</v>
      </c>
      <c r="F5676" t="s">
        <v>48</v>
      </c>
      <c r="G5676" s="118">
        <v>0.92387731481481483</v>
      </c>
      <c r="H5676" s="118">
        <v>5.2083333333333333E-4</v>
      </c>
      <c r="I5676" s="118">
        <v>8.6805555555555551E-4</v>
      </c>
      <c r="J5676" s="118">
        <v>7.0717592592592594E-3</v>
      </c>
      <c r="K5676" s="118">
        <v>7.0717592592592594E-3</v>
      </c>
    </row>
    <row r="5677" spans="1:11" x14ac:dyDescent="0.25">
      <c r="A5677">
        <v>4</v>
      </c>
      <c r="B5677">
        <v>20</v>
      </c>
      <c r="C5677"/>
      <c r="D5677" t="s">
        <v>31</v>
      </c>
      <c r="E5677" t="s">
        <v>35</v>
      </c>
      <c r="F5677" t="s">
        <v>39</v>
      </c>
      <c r="G5677" s="118">
        <v>0.92388888888888887</v>
      </c>
      <c r="H5677" s="118">
        <v>9.3750000000000007E-4</v>
      </c>
      <c r="I5677" s="118">
        <v>5.2083333333333333E-4</v>
      </c>
      <c r="J5677"/>
      <c r="K5677"/>
    </row>
    <row r="5678" spans="1:11" x14ac:dyDescent="0.25">
      <c r="A5678">
        <v>5</v>
      </c>
      <c r="B5678">
        <v>21</v>
      </c>
      <c r="C5678"/>
      <c r="D5678" t="s">
        <v>31</v>
      </c>
      <c r="E5678" t="s">
        <v>35</v>
      </c>
      <c r="F5678" t="s">
        <v>34</v>
      </c>
      <c r="G5678" s="118">
        <v>0.92403935185185182</v>
      </c>
      <c r="H5678" s="118">
        <v>8.449074074074075E-4</v>
      </c>
      <c r="I5678" s="118">
        <v>3.4722222222222224E-4</v>
      </c>
      <c r="J5678"/>
      <c r="K5678"/>
    </row>
    <row r="5679" spans="1:11" x14ac:dyDescent="0.25">
      <c r="A5679">
        <v>5</v>
      </c>
      <c r="B5679">
        <v>21</v>
      </c>
      <c r="C5679"/>
      <c r="D5679" t="s">
        <v>31</v>
      </c>
      <c r="E5679" t="s">
        <v>32</v>
      </c>
      <c r="F5679" t="s">
        <v>34</v>
      </c>
      <c r="G5679" s="118">
        <v>0.9243865740740741</v>
      </c>
      <c r="H5679" s="118">
        <v>3.4722222222222224E-4</v>
      </c>
      <c r="I5679" s="118">
        <v>9.1435185185185185E-4</v>
      </c>
      <c r="J5679" s="118">
        <v>7.0717592592592594E-3</v>
      </c>
      <c r="K5679" s="118">
        <v>7.0717592592592594E-3</v>
      </c>
    </row>
    <row r="5680" spans="1:11" x14ac:dyDescent="0.25">
      <c r="A5680">
        <v>4</v>
      </c>
      <c r="B5680">
        <v>20</v>
      </c>
      <c r="C5680"/>
      <c r="D5680" t="s">
        <v>31</v>
      </c>
      <c r="E5680" t="s">
        <v>32</v>
      </c>
      <c r="F5680" t="s">
        <v>39</v>
      </c>
      <c r="G5680" s="118">
        <v>0.92440972222222229</v>
      </c>
      <c r="H5680" s="118">
        <v>5.2083333333333333E-4</v>
      </c>
      <c r="I5680" s="118">
        <v>1.8055555555555557E-3</v>
      </c>
      <c r="J5680" s="118">
        <v>7.0717592592592594E-3</v>
      </c>
      <c r="K5680" s="118">
        <v>7.0717592592592594E-3</v>
      </c>
    </row>
    <row r="5681" spans="1:11" x14ac:dyDescent="0.25">
      <c r="A5681">
        <v>9</v>
      </c>
      <c r="B5681">
        <v>7</v>
      </c>
      <c r="C5681"/>
      <c r="D5681" t="s">
        <v>31</v>
      </c>
      <c r="E5681" t="s">
        <v>35</v>
      </c>
      <c r="F5681" t="s">
        <v>44</v>
      </c>
      <c r="G5681" s="118">
        <v>0.92467592592592596</v>
      </c>
      <c r="H5681" s="118">
        <v>1.0069444444444444E-3</v>
      </c>
      <c r="I5681" s="118">
        <v>3.4722222222222224E-4</v>
      </c>
      <c r="J5681"/>
      <c r="K5681"/>
    </row>
    <row r="5682" spans="1:11" x14ac:dyDescent="0.25">
      <c r="A5682">
        <v>1</v>
      </c>
      <c r="B5682">
        <v>19</v>
      </c>
      <c r="C5682"/>
      <c r="D5682" t="s">
        <v>31</v>
      </c>
      <c r="E5682" t="s">
        <v>35</v>
      </c>
      <c r="F5682" t="s">
        <v>54</v>
      </c>
      <c r="G5682" s="118">
        <v>0.92474537037037041</v>
      </c>
      <c r="H5682" s="118">
        <v>8.6805555555555551E-4</v>
      </c>
      <c r="I5682" s="118">
        <v>3.4722222222222224E-4</v>
      </c>
      <c r="J5682"/>
      <c r="K5682"/>
    </row>
    <row r="5683" spans="1:11" x14ac:dyDescent="0.25">
      <c r="A5683">
        <v>2</v>
      </c>
      <c r="B5683">
        <v>20</v>
      </c>
      <c r="C5683"/>
      <c r="D5683" t="s">
        <v>31</v>
      </c>
      <c r="E5683" t="s">
        <v>35</v>
      </c>
      <c r="F5683" t="s">
        <v>50</v>
      </c>
      <c r="G5683" s="118">
        <v>0.92499999999999993</v>
      </c>
      <c r="H5683" s="118">
        <v>1.1458333333333333E-3</v>
      </c>
      <c r="I5683" s="118">
        <v>3.4722222222222224E-4</v>
      </c>
      <c r="J5683"/>
      <c r="K5683"/>
    </row>
    <row r="5684" spans="1:11" x14ac:dyDescent="0.25">
      <c r="A5684">
        <v>9</v>
      </c>
      <c r="B5684">
        <v>7</v>
      </c>
      <c r="C5684"/>
      <c r="D5684" t="s">
        <v>31</v>
      </c>
      <c r="E5684" t="s">
        <v>32</v>
      </c>
      <c r="F5684" t="s">
        <v>44</v>
      </c>
      <c r="G5684" s="118">
        <v>0.92502314814814823</v>
      </c>
      <c r="H5684" s="118">
        <v>3.4722222222222224E-4</v>
      </c>
      <c r="I5684" s="118">
        <v>9.2592592592592585E-4</v>
      </c>
      <c r="J5684" s="118">
        <v>7.0717592592592594E-3</v>
      </c>
      <c r="K5684" s="118">
        <v>7.0717592592592594E-3</v>
      </c>
    </row>
    <row r="5685" spans="1:11" x14ac:dyDescent="0.25">
      <c r="A5685">
        <v>1</v>
      </c>
      <c r="B5685">
        <v>19</v>
      </c>
      <c r="C5685"/>
      <c r="D5685" t="s">
        <v>31</v>
      </c>
      <c r="E5685" t="s">
        <v>32</v>
      </c>
      <c r="F5685" t="s">
        <v>54</v>
      </c>
      <c r="G5685" s="118">
        <v>0.92509259259259258</v>
      </c>
      <c r="H5685" s="118">
        <v>3.4722222222222224E-4</v>
      </c>
      <c r="I5685" s="118">
        <v>6.9444444444444447E-4</v>
      </c>
      <c r="J5685" s="118">
        <v>7.0717592592592594E-3</v>
      </c>
      <c r="K5685" s="118">
        <v>7.0717592592592594E-3</v>
      </c>
    </row>
    <row r="5686" spans="1:11" x14ac:dyDescent="0.25">
      <c r="A5686">
        <v>5</v>
      </c>
      <c r="B5686">
        <v>21</v>
      </c>
      <c r="C5686"/>
      <c r="D5686" t="s">
        <v>31</v>
      </c>
      <c r="E5686" t="s">
        <v>35</v>
      </c>
      <c r="F5686" t="s">
        <v>38</v>
      </c>
      <c r="G5686" s="118">
        <v>0.92530092592592583</v>
      </c>
      <c r="H5686" s="118">
        <v>9.1435185185185185E-4</v>
      </c>
      <c r="I5686" s="118">
        <v>3.4722222222222224E-4</v>
      </c>
      <c r="J5686"/>
      <c r="K5686"/>
    </row>
    <row r="5687" spans="1:11" x14ac:dyDescent="0.25">
      <c r="A5687">
        <v>2</v>
      </c>
      <c r="B5687">
        <v>20</v>
      </c>
      <c r="C5687"/>
      <c r="D5687" t="s">
        <v>31</v>
      </c>
      <c r="E5687" t="s">
        <v>32</v>
      </c>
      <c r="F5687" t="s">
        <v>50</v>
      </c>
      <c r="G5687" s="118">
        <v>0.92534722222222221</v>
      </c>
      <c r="H5687" s="118">
        <v>3.4722222222222224E-4</v>
      </c>
      <c r="I5687" s="118">
        <v>1.261574074074074E-3</v>
      </c>
      <c r="J5687" s="118">
        <v>7.0717592592592594E-3</v>
      </c>
      <c r="K5687" s="118">
        <v>7.0717592592592594E-3</v>
      </c>
    </row>
    <row r="5688" spans="1:11" x14ac:dyDescent="0.25">
      <c r="A5688">
        <v>5</v>
      </c>
      <c r="B5688">
        <v>21</v>
      </c>
      <c r="C5688"/>
      <c r="D5688" t="s">
        <v>31</v>
      </c>
      <c r="E5688" t="s">
        <v>32</v>
      </c>
      <c r="F5688" t="s">
        <v>38</v>
      </c>
      <c r="G5688" s="118">
        <v>0.92564814814814822</v>
      </c>
      <c r="H5688" s="118">
        <v>3.4722222222222224E-4</v>
      </c>
      <c r="I5688" s="118">
        <v>1.2384259259259258E-3</v>
      </c>
      <c r="J5688" s="118">
        <v>7.0717592592592594E-3</v>
      </c>
      <c r="K5688" s="118">
        <v>7.0717592592592594E-3</v>
      </c>
    </row>
    <row r="5689" spans="1:11" x14ac:dyDescent="0.25">
      <c r="A5689">
        <v>1</v>
      </c>
      <c r="B5689">
        <v>19</v>
      </c>
      <c r="C5689"/>
      <c r="D5689" t="s">
        <v>31</v>
      </c>
      <c r="E5689" t="s">
        <v>35</v>
      </c>
      <c r="F5689" t="s">
        <v>92</v>
      </c>
      <c r="G5689" s="118">
        <v>0.92578703703703702</v>
      </c>
      <c r="H5689" s="118">
        <v>6.9444444444444447E-4</v>
      </c>
      <c r="I5689" s="118">
        <v>5.2083333333333333E-4</v>
      </c>
      <c r="J5689"/>
      <c r="K5689"/>
    </row>
    <row r="5690" spans="1:11" x14ac:dyDescent="0.25">
      <c r="A5690">
        <v>9</v>
      </c>
      <c r="B5690">
        <v>7</v>
      </c>
      <c r="C5690"/>
      <c r="D5690" t="s">
        <v>31</v>
      </c>
      <c r="E5690" t="s">
        <v>35</v>
      </c>
      <c r="F5690" t="s">
        <v>49</v>
      </c>
      <c r="G5690" s="118">
        <v>0.92594907407407412</v>
      </c>
      <c r="H5690" s="118">
        <v>9.2592592592592585E-4</v>
      </c>
      <c r="I5690" s="118">
        <v>3.4722222222222224E-4</v>
      </c>
      <c r="J5690"/>
      <c r="K5690"/>
    </row>
    <row r="5691" spans="1:11" x14ac:dyDescent="0.25">
      <c r="A5691">
        <v>4</v>
      </c>
      <c r="B5691">
        <v>20</v>
      </c>
      <c r="C5691"/>
      <c r="D5691" t="s">
        <v>31</v>
      </c>
      <c r="E5691" t="s">
        <v>35</v>
      </c>
      <c r="F5691" t="s">
        <v>46</v>
      </c>
      <c r="G5691" s="118">
        <v>0.92621527777777779</v>
      </c>
      <c r="H5691" s="118">
        <v>1.8055555555555557E-3</v>
      </c>
      <c r="I5691" s="118">
        <v>3.4722222222222224E-4</v>
      </c>
      <c r="J5691"/>
      <c r="K5691"/>
    </row>
    <row r="5692" spans="1:11" x14ac:dyDescent="0.25">
      <c r="A5692">
        <v>9</v>
      </c>
      <c r="B5692">
        <v>7</v>
      </c>
      <c r="C5692"/>
      <c r="D5692" t="s">
        <v>31</v>
      </c>
      <c r="E5692" t="s">
        <v>32</v>
      </c>
      <c r="F5692" t="s">
        <v>49</v>
      </c>
      <c r="G5692" s="118">
        <v>0.92629629629629628</v>
      </c>
      <c r="H5692" s="118">
        <v>3.4722222222222224E-4</v>
      </c>
      <c r="I5692" s="118">
        <v>1.3541666666666667E-3</v>
      </c>
      <c r="J5692" s="118">
        <v>7.0717592592592594E-3</v>
      </c>
      <c r="K5692" s="118">
        <v>7.0717592592592594E-3</v>
      </c>
    </row>
    <row r="5693" spans="1:11" x14ac:dyDescent="0.25">
      <c r="A5693">
        <v>1</v>
      </c>
      <c r="B5693">
        <v>20</v>
      </c>
      <c r="C5693"/>
      <c r="D5693" t="s">
        <v>31</v>
      </c>
      <c r="E5693" t="s">
        <v>32</v>
      </c>
      <c r="F5693" t="s">
        <v>92</v>
      </c>
      <c r="G5693" s="118">
        <v>0.92630787037037043</v>
      </c>
      <c r="H5693" s="118">
        <v>5.2083333333333333E-4</v>
      </c>
      <c r="I5693" s="118">
        <v>1.0069444444444444E-3</v>
      </c>
      <c r="J5693" s="118">
        <v>7.0717592592592594E-3</v>
      </c>
      <c r="K5693" s="118">
        <v>7.0717592592592594E-3</v>
      </c>
    </row>
    <row r="5694" spans="1:11" x14ac:dyDescent="0.25">
      <c r="A5694">
        <v>4</v>
      </c>
      <c r="B5694">
        <v>20</v>
      </c>
      <c r="C5694"/>
      <c r="D5694" t="s">
        <v>31</v>
      </c>
      <c r="E5694" t="s">
        <v>32</v>
      </c>
      <c r="F5694" t="s">
        <v>46</v>
      </c>
      <c r="G5694" s="118">
        <v>0.92656250000000007</v>
      </c>
      <c r="H5694" s="118">
        <v>3.4722222222222224E-4</v>
      </c>
      <c r="I5694" s="118">
        <v>9.1435185185185185E-4</v>
      </c>
      <c r="J5694" s="118">
        <v>7.0717592592592594E-3</v>
      </c>
      <c r="K5694" s="118">
        <v>7.0717592592592594E-3</v>
      </c>
    </row>
    <row r="5695" spans="1:11" x14ac:dyDescent="0.25">
      <c r="A5695">
        <v>2</v>
      </c>
      <c r="B5695">
        <v>20</v>
      </c>
      <c r="C5695"/>
      <c r="D5695" t="s">
        <v>31</v>
      </c>
      <c r="E5695" t="s">
        <v>35</v>
      </c>
      <c r="F5695" t="s">
        <v>56</v>
      </c>
      <c r="G5695" s="118">
        <v>0.92660879629629633</v>
      </c>
      <c r="H5695" s="118">
        <v>1.261574074074074E-3</v>
      </c>
      <c r="I5695" s="118">
        <v>3.4722222222222224E-4</v>
      </c>
      <c r="J5695"/>
      <c r="K5695"/>
    </row>
    <row r="5696" spans="1:11" x14ac:dyDescent="0.25">
      <c r="A5696">
        <v>5</v>
      </c>
      <c r="B5696">
        <v>21</v>
      </c>
      <c r="C5696"/>
      <c r="D5696" t="s">
        <v>31</v>
      </c>
      <c r="E5696" t="s">
        <v>35</v>
      </c>
      <c r="F5696" t="s">
        <v>45</v>
      </c>
      <c r="G5696" s="118">
        <v>0.92688657407407404</v>
      </c>
      <c r="H5696" s="118">
        <v>1.2384259259259258E-3</v>
      </c>
      <c r="I5696" s="118">
        <v>3.4722222222222224E-4</v>
      </c>
      <c r="J5696"/>
      <c r="K5696"/>
    </row>
    <row r="5697" spans="1:11" x14ac:dyDescent="0.25">
      <c r="A5697">
        <v>2</v>
      </c>
      <c r="B5697">
        <v>20</v>
      </c>
      <c r="C5697"/>
      <c r="D5697" t="s">
        <v>31</v>
      </c>
      <c r="E5697" t="s">
        <v>32</v>
      </c>
      <c r="F5697" t="s">
        <v>56</v>
      </c>
      <c r="G5697" s="118">
        <v>0.9269560185185185</v>
      </c>
      <c r="H5697" s="118">
        <v>3.4722222222222224E-4</v>
      </c>
      <c r="I5697" s="118">
        <v>9.6064814814814808E-4</v>
      </c>
      <c r="J5697" s="118">
        <v>7.0717592592592594E-3</v>
      </c>
      <c r="K5697" s="118">
        <v>7.0717592592592594E-3</v>
      </c>
    </row>
    <row r="5698" spans="1:11" x14ac:dyDescent="0.25">
      <c r="A5698">
        <v>5</v>
      </c>
      <c r="B5698">
        <v>21</v>
      </c>
      <c r="C5698"/>
      <c r="D5698" t="s">
        <v>31</v>
      </c>
      <c r="E5698" t="s">
        <v>32</v>
      </c>
      <c r="F5698" t="s">
        <v>45</v>
      </c>
      <c r="G5698" s="118">
        <v>0.92723379629629632</v>
      </c>
      <c r="H5698" s="118">
        <v>3.4722222222222224E-4</v>
      </c>
      <c r="I5698" s="118">
        <v>1.0416666666666667E-3</v>
      </c>
      <c r="J5698" s="118">
        <v>7.0717592592592594E-3</v>
      </c>
      <c r="K5698" s="118">
        <v>7.0717592592592594E-3</v>
      </c>
    </row>
    <row r="5699" spans="1:11" x14ac:dyDescent="0.25">
      <c r="A5699">
        <v>1</v>
      </c>
      <c r="B5699">
        <v>20</v>
      </c>
      <c r="C5699"/>
      <c r="D5699" t="s">
        <v>31</v>
      </c>
      <c r="E5699" t="s">
        <v>35</v>
      </c>
      <c r="F5699" t="s">
        <v>41</v>
      </c>
      <c r="G5699" s="118">
        <v>0.92731481481481481</v>
      </c>
      <c r="H5699" s="118">
        <v>1.0069444444444444E-3</v>
      </c>
      <c r="I5699" s="118">
        <v>3.4722222222222224E-4</v>
      </c>
      <c r="J5699"/>
      <c r="K5699"/>
    </row>
    <row r="5700" spans="1:11" x14ac:dyDescent="0.25">
      <c r="A5700">
        <v>4</v>
      </c>
      <c r="B5700">
        <v>20</v>
      </c>
      <c r="C5700"/>
      <c r="D5700" t="s">
        <v>31</v>
      </c>
      <c r="E5700" t="s">
        <v>35</v>
      </c>
      <c r="F5700" t="s">
        <v>51</v>
      </c>
      <c r="G5700" s="118">
        <v>0.9274768518518518</v>
      </c>
      <c r="H5700" s="118">
        <v>9.1435185185185185E-4</v>
      </c>
      <c r="I5700" s="118">
        <v>3.4722222222222224E-4</v>
      </c>
      <c r="J5700"/>
      <c r="K5700"/>
    </row>
    <row r="5701" spans="1:11" x14ac:dyDescent="0.25">
      <c r="A5701">
        <v>9</v>
      </c>
      <c r="B5701">
        <v>7</v>
      </c>
      <c r="C5701"/>
      <c r="D5701" t="s">
        <v>31</v>
      </c>
      <c r="E5701" t="s">
        <v>35</v>
      </c>
      <c r="F5701" t="s">
        <v>33</v>
      </c>
      <c r="G5701" s="118">
        <v>0.92765046296296294</v>
      </c>
      <c r="H5701" s="118">
        <v>1.3541666666666667E-3</v>
      </c>
      <c r="I5701" s="118">
        <v>5.2083333333333333E-4</v>
      </c>
      <c r="J5701"/>
      <c r="K5701"/>
    </row>
    <row r="5702" spans="1:11" x14ac:dyDescent="0.25">
      <c r="A5702">
        <v>1</v>
      </c>
      <c r="B5702">
        <v>20</v>
      </c>
      <c r="C5702"/>
      <c r="D5702" t="s">
        <v>31</v>
      </c>
      <c r="E5702" t="s">
        <v>32</v>
      </c>
      <c r="F5702" t="s">
        <v>41</v>
      </c>
      <c r="G5702" s="118">
        <v>0.92766203703703709</v>
      </c>
      <c r="H5702" s="118">
        <v>3.4722222222222224E-4</v>
      </c>
      <c r="I5702" s="118">
        <v>8.564814814814815E-4</v>
      </c>
      <c r="J5702" s="118">
        <v>7.0717592592592594E-3</v>
      </c>
      <c r="K5702" s="118">
        <v>7.0717592592592594E-3</v>
      </c>
    </row>
    <row r="5703" spans="1:11" x14ac:dyDescent="0.25">
      <c r="A5703">
        <v>4</v>
      </c>
      <c r="B5703">
        <v>20</v>
      </c>
      <c r="C5703"/>
      <c r="D5703" t="s">
        <v>31</v>
      </c>
      <c r="E5703" t="s">
        <v>32</v>
      </c>
      <c r="F5703" t="s">
        <v>51</v>
      </c>
      <c r="G5703" s="118">
        <v>0.92782407407407408</v>
      </c>
      <c r="H5703" s="118">
        <v>3.4722222222222224E-4</v>
      </c>
      <c r="I5703" s="118">
        <v>1.0069444444444444E-3</v>
      </c>
      <c r="J5703" s="118">
        <v>7.0717592592592594E-3</v>
      </c>
      <c r="K5703" s="118">
        <v>7.0717592592592594E-3</v>
      </c>
    </row>
    <row r="5704" spans="1:11" x14ac:dyDescent="0.25">
      <c r="A5704">
        <v>2</v>
      </c>
      <c r="B5704">
        <v>20</v>
      </c>
      <c r="C5704"/>
      <c r="D5704" t="s">
        <v>31</v>
      </c>
      <c r="E5704" t="s">
        <v>35</v>
      </c>
      <c r="F5704" t="s">
        <v>37</v>
      </c>
      <c r="G5704" s="118">
        <v>0.92791666666666661</v>
      </c>
      <c r="H5704" s="118">
        <v>9.6064814814814808E-4</v>
      </c>
      <c r="I5704" s="118">
        <v>3.4722222222222224E-4</v>
      </c>
      <c r="J5704"/>
      <c r="K5704"/>
    </row>
    <row r="5705" spans="1:11" x14ac:dyDescent="0.25">
      <c r="A5705">
        <v>9</v>
      </c>
      <c r="B5705">
        <v>7</v>
      </c>
      <c r="C5705"/>
      <c r="D5705" t="s">
        <v>31</v>
      </c>
      <c r="E5705" t="s">
        <v>32</v>
      </c>
      <c r="F5705" t="s">
        <v>33</v>
      </c>
      <c r="G5705" s="118">
        <v>0.92817129629629624</v>
      </c>
      <c r="H5705" s="118">
        <v>5.2083333333333333E-4</v>
      </c>
      <c r="I5705" s="118">
        <v>9.6064814814814808E-4</v>
      </c>
      <c r="J5705" s="118">
        <v>7.0717592592592594E-3</v>
      </c>
      <c r="K5705" s="118">
        <v>7.0717592592592594E-3</v>
      </c>
    </row>
    <row r="5706" spans="1:11" x14ac:dyDescent="0.25">
      <c r="A5706">
        <v>2</v>
      </c>
      <c r="B5706">
        <v>20</v>
      </c>
      <c r="C5706"/>
      <c r="D5706" t="s">
        <v>31</v>
      </c>
      <c r="E5706" t="s">
        <v>32</v>
      </c>
      <c r="F5706" t="s">
        <v>37</v>
      </c>
      <c r="G5706" s="118">
        <v>0.92826388888888889</v>
      </c>
      <c r="H5706" s="118">
        <v>3.4722222222222224E-4</v>
      </c>
      <c r="I5706" s="118">
        <v>9.0277777777777784E-4</v>
      </c>
      <c r="J5706" s="118">
        <v>7.0717592592592594E-3</v>
      </c>
      <c r="K5706" s="118">
        <v>7.0717592592592594E-3</v>
      </c>
    </row>
    <row r="5707" spans="1:11" x14ac:dyDescent="0.25">
      <c r="A5707">
        <v>5</v>
      </c>
      <c r="B5707">
        <v>21</v>
      </c>
      <c r="C5707"/>
      <c r="D5707" t="s">
        <v>31</v>
      </c>
      <c r="E5707" t="s">
        <v>35</v>
      </c>
      <c r="F5707" t="s">
        <v>52</v>
      </c>
      <c r="G5707" s="118">
        <v>0.92827546296296293</v>
      </c>
      <c r="H5707" s="118">
        <v>1.0416666666666667E-3</v>
      </c>
      <c r="I5707" s="118">
        <v>3.4722222222222224E-4</v>
      </c>
      <c r="J5707"/>
      <c r="K5707"/>
    </row>
    <row r="5708" spans="1:11" x14ac:dyDescent="0.25">
      <c r="A5708">
        <v>1</v>
      </c>
      <c r="B5708">
        <v>20</v>
      </c>
      <c r="C5708"/>
      <c r="D5708" t="s">
        <v>31</v>
      </c>
      <c r="E5708" t="s">
        <v>35</v>
      </c>
      <c r="F5708" t="s">
        <v>47</v>
      </c>
      <c r="G5708" s="118">
        <v>0.92851851851851841</v>
      </c>
      <c r="H5708" s="118">
        <v>8.564814814814815E-4</v>
      </c>
      <c r="I5708" s="118">
        <v>5.2083333333333333E-4</v>
      </c>
      <c r="J5708"/>
      <c r="K5708"/>
    </row>
    <row r="5709" spans="1:11" x14ac:dyDescent="0.25">
      <c r="A5709">
        <v>5</v>
      </c>
      <c r="B5709">
        <v>21</v>
      </c>
      <c r="C5709"/>
      <c r="D5709" t="s">
        <v>31</v>
      </c>
      <c r="E5709" t="s">
        <v>32</v>
      </c>
      <c r="F5709" t="s">
        <v>52</v>
      </c>
      <c r="G5709" s="118">
        <v>0.9286226851851852</v>
      </c>
      <c r="H5709" s="118">
        <v>3.4722222222222224E-4</v>
      </c>
      <c r="I5709" s="118">
        <v>1.0532407407407407E-3</v>
      </c>
      <c r="J5709" s="118">
        <v>7.0717592592592594E-3</v>
      </c>
      <c r="K5709" s="118">
        <v>7.0717592592592594E-3</v>
      </c>
    </row>
    <row r="5710" spans="1:11" x14ac:dyDescent="0.25">
      <c r="A5710">
        <v>4</v>
      </c>
      <c r="B5710">
        <v>20</v>
      </c>
      <c r="C5710"/>
      <c r="D5710" t="s">
        <v>31</v>
      </c>
      <c r="E5710" t="s">
        <v>35</v>
      </c>
      <c r="F5710" t="s">
        <v>55</v>
      </c>
      <c r="G5710" s="118">
        <v>0.92883101851851846</v>
      </c>
      <c r="H5710" s="118">
        <v>1.0069444444444444E-3</v>
      </c>
      <c r="I5710" s="118">
        <v>4.6296296296296293E-4</v>
      </c>
      <c r="J5710"/>
      <c r="K5710"/>
    </row>
    <row r="5711" spans="1:11" x14ac:dyDescent="0.25">
      <c r="A5711">
        <v>1</v>
      </c>
      <c r="B5711">
        <v>20</v>
      </c>
      <c r="C5711"/>
      <c r="D5711" t="s">
        <v>31</v>
      </c>
      <c r="E5711" t="s">
        <v>32</v>
      </c>
      <c r="F5711" t="s">
        <v>47</v>
      </c>
      <c r="G5711" s="118">
        <v>0.92903935185185194</v>
      </c>
      <c r="H5711" s="118">
        <v>5.2083333333333333E-4</v>
      </c>
      <c r="I5711" s="118">
        <v>8.7962962962962962E-4</v>
      </c>
      <c r="J5711" s="118">
        <v>7.0717592592592594E-3</v>
      </c>
      <c r="K5711" s="118">
        <v>7.0717592592592594E-3</v>
      </c>
    </row>
    <row r="5712" spans="1:11" x14ac:dyDescent="0.25">
      <c r="A5712">
        <v>9</v>
      </c>
      <c r="B5712">
        <v>7</v>
      </c>
      <c r="C5712"/>
      <c r="D5712" t="s">
        <v>31</v>
      </c>
      <c r="E5712" t="s">
        <v>35</v>
      </c>
      <c r="F5712" t="s">
        <v>36</v>
      </c>
      <c r="G5712" s="118">
        <v>0.92913194444444447</v>
      </c>
      <c r="H5712" s="118">
        <v>9.6064814814814808E-4</v>
      </c>
      <c r="I5712" s="118">
        <v>3.4722222222222224E-4</v>
      </c>
      <c r="J5712"/>
      <c r="K5712"/>
    </row>
    <row r="5713" spans="1:11" x14ac:dyDescent="0.25">
      <c r="A5713">
        <v>2</v>
      </c>
      <c r="B5713">
        <v>20</v>
      </c>
      <c r="C5713"/>
      <c r="D5713" t="s">
        <v>31</v>
      </c>
      <c r="E5713" t="s">
        <v>35</v>
      </c>
      <c r="F5713" t="s">
        <v>42</v>
      </c>
      <c r="G5713" s="118">
        <v>0.9291666666666667</v>
      </c>
      <c r="H5713" s="118">
        <v>9.0277777777777784E-4</v>
      </c>
      <c r="I5713" s="118">
        <v>3.4722222222222224E-4</v>
      </c>
      <c r="J5713"/>
      <c r="K5713"/>
    </row>
    <row r="5714" spans="1:11" x14ac:dyDescent="0.25">
      <c r="A5714">
        <v>4</v>
      </c>
      <c r="B5714">
        <v>20</v>
      </c>
      <c r="C5714"/>
      <c r="D5714" t="s">
        <v>31</v>
      </c>
      <c r="E5714" t="s">
        <v>32</v>
      </c>
      <c r="F5714" t="s">
        <v>55</v>
      </c>
      <c r="G5714" s="118">
        <v>0.92929398148148146</v>
      </c>
      <c r="H5714" s="118">
        <v>4.6296296296296293E-4</v>
      </c>
      <c r="I5714" s="118">
        <v>4.3981481481481481E-4</v>
      </c>
      <c r="J5714" s="118">
        <v>7.0717592592592594E-3</v>
      </c>
      <c r="K5714" s="118">
        <v>7.0717592592592594E-3</v>
      </c>
    </row>
    <row r="5715" spans="1:11" x14ac:dyDescent="0.25">
      <c r="A5715">
        <v>9</v>
      </c>
      <c r="B5715">
        <v>7</v>
      </c>
      <c r="C5715"/>
      <c r="D5715" t="s">
        <v>31</v>
      </c>
      <c r="E5715" t="s">
        <v>32</v>
      </c>
      <c r="F5715" t="s">
        <v>36</v>
      </c>
      <c r="G5715" s="118">
        <v>0.92947916666666675</v>
      </c>
      <c r="H5715" s="118">
        <v>3.4722222222222224E-4</v>
      </c>
      <c r="I5715" s="118">
        <v>1.0995370370370371E-3</v>
      </c>
      <c r="J5715" s="118">
        <v>7.0717592592592594E-3</v>
      </c>
      <c r="K5715" s="118">
        <v>7.0717592592592594E-3</v>
      </c>
    </row>
    <row r="5716" spans="1:11" x14ac:dyDescent="0.25">
      <c r="A5716">
        <v>2</v>
      </c>
      <c r="B5716">
        <v>20</v>
      </c>
      <c r="C5716"/>
      <c r="D5716" t="s">
        <v>31</v>
      </c>
      <c r="E5716" t="s">
        <v>32</v>
      </c>
      <c r="F5716" t="s">
        <v>42</v>
      </c>
      <c r="G5716" s="118">
        <v>0.92951388888888886</v>
      </c>
      <c r="H5716" s="118">
        <v>3.4722222222222224E-4</v>
      </c>
      <c r="I5716" s="118">
        <v>9.1435185185185185E-4</v>
      </c>
      <c r="J5716" s="118">
        <v>7.0717592592592594E-3</v>
      </c>
      <c r="K5716" s="118">
        <v>7.0717592592592594E-3</v>
      </c>
    </row>
    <row r="5717" spans="1:11" x14ac:dyDescent="0.25">
      <c r="A5717">
        <v>5</v>
      </c>
      <c r="B5717">
        <v>21</v>
      </c>
      <c r="C5717"/>
      <c r="D5717" t="s">
        <v>31</v>
      </c>
      <c r="E5717" t="s">
        <v>35</v>
      </c>
      <c r="F5717" t="s">
        <v>57</v>
      </c>
      <c r="G5717" s="118">
        <v>0.92967592592592585</v>
      </c>
      <c r="H5717" s="118">
        <v>1.0532407407407407E-3</v>
      </c>
      <c r="I5717" s="118">
        <v>3.4722222222222224E-4</v>
      </c>
      <c r="J5717"/>
      <c r="K5717"/>
    </row>
    <row r="5718" spans="1:11" x14ac:dyDescent="0.25">
      <c r="A5718">
        <v>4</v>
      </c>
      <c r="B5718">
        <v>20</v>
      </c>
      <c r="C5718"/>
      <c r="D5718" t="s">
        <v>31</v>
      </c>
      <c r="E5718" t="s">
        <v>35</v>
      </c>
      <c r="F5718" t="s">
        <v>58</v>
      </c>
      <c r="G5718" s="118">
        <v>0.92973379629629627</v>
      </c>
      <c r="H5718" s="118">
        <v>4.3981481481481481E-4</v>
      </c>
      <c r="I5718" s="118">
        <v>5.7870370370370366E-5</v>
      </c>
      <c r="J5718"/>
      <c r="K5718"/>
    </row>
    <row r="5719" spans="1:11" x14ac:dyDescent="0.25">
      <c r="A5719">
        <v>4</v>
      </c>
      <c r="B5719">
        <v>20</v>
      </c>
      <c r="C5719"/>
      <c r="D5719" t="s">
        <v>31</v>
      </c>
      <c r="E5719" t="s">
        <v>32</v>
      </c>
      <c r="F5719" t="s">
        <v>58</v>
      </c>
      <c r="G5719" s="118">
        <v>0.92979166666666668</v>
      </c>
      <c r="H5719" s="118">
        <v>5.7870370370370366E-5</v>
      </c>
      <c r="I5719" s="118">
        <v>4.8611111111111104E-4</v>
      </c>
      <c r="J5719" s="118">
        <v>7.0717592592592594E-3</v>
      </c>
      <c r="K5719" s="118">
        <v>7.0717592592592594E-3</v>
      </c>
    </row>
    <row r="5720" spans="1:11" x14ac:dyDescent="0.25">
      <c r="A5720">
        <v>1</v>
      </c>
      <c r="B5720">
        <v>20</v>
      </c>
      <c r="C5720"/>
      <c r="D5720" t="s">
        <v>31</v>
      </c>
      <c r="E5720" t="s">
        <v>35</v>
      </c>
      <c r="F5720" t="s">
        <v>53</v>
      </c>
      <c r="G5720" s="118">
        <v>0.92991898148148155</v>
      </c>
      <c r="H5720" s="118">
        <v>8.7962962962962962E-4</v>
      </c>
      <c r="I5720" s="118">
        <v>3.4722222222222224E-4</v>
      </c>
      <c r="J5720"/>
      <c r="K5720"/>
    </row>
    <row r="5721" spans="1:11" x14ac:dyDescent="0.25">
      <c r="A5721">
        <v>5</v>
      </c>
      <c r="B5721">
        <v>21</v>
      </c>
      <c r="C5721"/>
      <c r="D5721" t="s">
        <v>31</v>
      </c>
      <c r="E5721" t="s">
        <v>32</v>
      </c>
      <c r="F5721" t="s">
        <v>57</v>
      </c>
      <c r="G5721" s="118">
        <v>0.93002314814814813</v>
      </c>
      <c r="H5721" s="118">
        <v>3.4722222222222224E-4</v>
      </c>
      <c r="I5721" s="118">
        <v>9.3750000000000007E-4</v>
      </c>
      <c r="J5721" s="118">
        <v>7.0717592592592594E-3</v>
      </c>
      <c r="K5721" s="118">
        <v>7.0717592592592594E-3</v>
      </c>
    </row>
    <row r="5722" spans="1:11" x14ac:dyDescent="0.25">
      <c r="A5722">
        <v>1</v>
      </c>
      <c r="B5722">
        <v>20</v>
      </c>
      <c r="C5722"/>
      <c r="D5722" t="s">
        <v>31</v>
      </c>
      <c r="E5722" t="s">
        <v>32</v>
      </c>
      <c r="F5722" t="s">
        <v>53</v>
      </c>
      <c r="G5722" s="118">
        <v>0.93026620370370372</v>
      </c>
      <c r="H5722" s="118">
        <v>3.4722222222222224E-4</v>
      </c>
      <c r="I5722" s="118">
        <v>8.449074074074075E-4</v>
      </c>
      <c r="J5722" s="118">
        <v>7.0717592592592594E-3</v>
      </c>
      <c r="K5722" s="118">
        <v>7.0717592592592594E-3</v>
      </c>
    </row>
    <row r="5723" spans="1:11" x14ac:dyDescent="0.25">
      <c r="A5723">
        <v>4</v>
      </c>
      <c r="B5723">
        <v>20</v>
      </c>
      <c r="C5723"/>
      <c r="D5723" t="s">
        <v>31</v>
      </c>
      <c r="E5723" t="s">
        <v>35</v>
      </c>
      <c r="F5723" t="s">
        <v>40</v>
      </c>
      <c r="G5723" s="118">
        <v>0.93027777777777787</v>
      </c>
      <c r="H5723" s="118">
        <v>4.8611111111111104E-4</v>
      </c>
      <c r="I5723" s="118">
        <v>4.6296296296296293E-4</v>
      </c>
      <c r="J5723"/>
      <c r="K5723"/>
    </row>
    <row r="5724" spans="1:11" x14ac:dyDescent="0.25">
      <c r="A5724">
        <v>2</v>
      </c>
      <c r="B5724">
        <v>20</v>
      </c>
      <c r="C5724"/>
      <c r="D5724" t="s">
        <v>31</v>
      </c>
      <c r="E5724" t="s">
        <v>35</v>
      </c>
      <c r="F5724" t="s">
        <v>48</v>
      </c>
      <c r="G5724" s="118">
        <v>0.93042824074074071</v>
      </c>
      <c r="H5724" s="118">
        <v>9.1435185185185185E-4</v>
      </c>
      <c r="I5724" s="118">
        <v>5.2083333333333333E-4</v>
      </c>
      <c r="J5724"/>
      <c r="K5724"/>
    </row>
    <row r="5725" spans="1:11" x14ac:dyDescent="0.25">
      <c r="A5725">
        <v>9</v>
      </c>
      <c r="B5725">
        <v>7</v>
      </c>
      <c r="C5725"/>
      <c r="D5725" t="s">
        <v>31</v>
      </c>
      <c r="E5725" t="s">
        <v>35</v>
      </c>
      <c r="F5725" t="s">
        <v>43</v>
      </c>
      <c r="G5725" s="118">
        <v>0.93057870370370377</v>
      </c>
      <c r="H5725" s="118">
        <v>1.0995370370370371E-3</v>
      </c>
      <c r="I5725" s="118">
        <v>3.4722222222222224E-4</v>
      </c>
      <c r="J5725"/>
      <c r="K5725"/>
    </row>
    <row r="5726" spans="1:11" x14ac:dyDescent="0.25">
      <c r="A5726">
        <v>4</v>
      </c>
      <c r="B5726">
        <v>20</v>
      </c>
      <c r="C5726"/>
      <c r="D5726" t="s">
        <v>31</v>
      </c>
      <c r="E5726" t="s">
        <v>32</v>
      </c>
      <c r="F5726" t="s">
        <v>40</v>
      </c>
      <c r="G5726" s="118">
        <v>0.93074074074074076</v>
      </c>
      <c r="H5726" s="118">
        <v>4.6296296296296293E-4</v>
      </c>
      <c r="I5726" s="118">
        <v>1.0069444444444444E-3</v>
      </c>
      <c r="J5726" s="118">
        <v>7.0717592592592594E-3</v>
      </c>
      <c r="K5726" s="118">
        <v>7.0717592592592594E-3</v>
      </c>
    </row>
    <row r="5727" spans="1:11" x14ac:dyDescent="0.25">
      <c r="A5727">
        <v>9</v>
      </c>
      <c r="B5727">
        <v>7</v>
      </c>
      <c r="C5727"/>
      <c r="D5727" t="s">
        <v>31</v>
      </c>
      <c r="E5727" t="s">
        <v>32</v>
      </c>
      <c r="F5727" t="s">
        <v>43</v>
      </c>
      <c r="G5727" s="118">
        <v>0.93092592592592593</v>
      </c>
      <c r="H5727" s="118">
        <v>3.4722222222222224E-4</v>
      </c>
      <c r="I5727" s="118">
        <v>1.1458333333333333E-3</v>
      </c>
      <c r="J5727" s="118">
        <v>7.0717592592592594E-3</v>
      </c>
      <c r="K5727" s="118">
        <v>7.0717592592592594E-3</v>
      </c>
    </row>
    <row r="5728" spans="1:11" x14ac:dyDescent="0.25">
      <c r="A5728">
        <v>2</v>
      </c>
      <c r="B5728">
        <v>20</v>
      </c>
      <c r="C5728"/>
      <c r="D5728" t="s">
        <v>31</v>
      </c>
      <c r="E5728" t="s">
        <v>32</v>
      </c>
      <c r="F5728" t="s">
        <v>48</v>
      </c>
      <c r="G5728" s="118">
        <v>0.93094907407407401</v>
      </c>
      <c r="H5728" s="118">
        <v>5.2083333333333333E-4</v>
      </c>
      <c r="I5728" s="118">
        <v>8.6805555555555551E-4</v>
      </c>
      <c r="J5728" s="118">
        <v>7.0717592592592594E-3</v>
      </c>
      <c r="K5728" s="118">
        <v>7.0717592592592594E-3</v>
      </c>
    </row>
    <row r="5729" spans="1:11" x14ac:dyDescent="0.25">
      <c r="A5729">
        <v>5</v>
      </c>
      <c r="B5729">
        <v>21</v>
      </c>
      <c r="C5729"/>
      <c r="D5729" t="s">
        <v>31</v>
      </c>
      <c r="E5729" t="s">
        <v>35</v>
      </c>
      <c r="F5729" t="s">
        <v>39</v>
      </c>
      <c r="G5729" s="118">
        <v>0.93096064814814816</v>
      </c>
      <c r="H5729" s="118">
        <v>9.3750000000000007E-4</v>
      </c>
      <c r="I5729" s="118">
        <v>5.2083333333333333E-4</v>
      </c>
      <c r="J5729"/>
      <c r="K5729"/>
    </row>
    <row r="5730" spans="1:11" x14ac:dyDescent="0.25">
      <c r="A5730">
        <v>1</v>
      </c>
      <c r="B5730">
        <v>20</v>
      </c>
      <c r="C5730"/>
      <c r="D5730" t="s">
        <v>31</v>
      </c>
      <c r="E5730" t="s">
        <v>35</v>
      </c>
      <c r="F5730" t="s">
        <v>34</v>
      </c>
      <c r="G5730" s="118">
        <v>0.93111111111111111</v>
      </c>
      <c r="H5730" s="118">
        <v>8.449074074074075E-4</v>
      </c>
      <c r="I5730" s="118">
        <v>3.4722222222222224E-4</v>
      </c>
      <c r="J5730"/>
      <c r="K5730"/>
    </row>
    <row r="5731" spans="1:11" x14ac:dyDescent="0.25">
      <c r="A5731">
        <v>1</v>
      </c>
      <c r="B5731">
        <v>20</v>
      </c>
      <c r="C5731"/>
      <c r="D5731" t="s">
        <v>31</v>
      </c>
      <c r="E5731" t="s">
        <v>32</v>
      </c>
      <c r="F5731" t="s">
        <v>34</v>
      </c>
      <c r="G5731" s="118">
        <v>0.93145833333333339</v>
      </c>
      <c r="H5731" s="118">
        <v>3.4722222222222224E-4</v>
      </c>
      <c r="I5731" s="118">
        <v>9.1435185185185185E-4</v>
      </c>
      <c r="J5731" s="118">
        <v>7.0717592592592594E-3</v>
      </c>
      <c r="K5731" s="118">
        <v>7.0717592592592594E-3</v>
      </c>
    </row>
    <row r="5732" spans="1:11" x14ac:dyDescent="0.25">
      <c r="A5732">
        <v>5</v>
      </c>
      <c r="B5732">
        <v>21</v>
      </c>
      <c r="C5732"/>
      <c r="D5732" t="s">
        <v>31</v>
      </c>
      <c r="E5732" t="s">
        <v>32</v>
      </c>
      <c r="F5732" t="s">
        <v>39</v>
      </c>
      <c r="G5732" s="118">
        <v>0.93148148148148147</v>
      </c>
      <c r="H5732" s="118">
        <v>5.2083333333333333E-4</v>
      </c>
      <c r="I5732" s="118">
        <v>1.8055555555555557E-3</v>
      </c>
      <c r="J5732" s="118">
        <v>7.0717592592592594E-3</v>
      </c>
      <c r="K5732" s="118">
        <v>7.0717592592592594E-3</v>
      </c>
    </row>
    <row r="5733" spans="1:11" x14ac:dyDescent="0.25">
      <c r="A5733">
        <v>4</v>
      </c>
      <c r="B5733">
        <v>20</v>
      </c>
      <c r="C5733"/>
      <c r="D5733" t="s">
        <v>31</v>
      </c>
      <c r="E5733" t="s">
        <v>35</v>
      </c>
      <c r="F5733" t="s">
        <v>44</v>
      </c>
      <c r="G5733" s="118">
        <v>0.93174768518518514</v>
      </c>
      <c r="H5733" s="118">
        <v>1.0069444444444444E-3</v>
      </c>
      <c r="I5733" s="118">
        <v>3.4722222222222224E-4</v>
      </c>
      <c r="J5733"/>
      <c r="K5733"/>
    </row>
    <row r="5734" spans="1:11" x14ac:dyDescent="0.25">
      <c r="A5734">
        <v>2</v>
      </c>
      <c r="B5734">
        <v>20</v>
      </c>
      <c r="C5734"/>
      <c r="D5734" t="s">
        <v>31</v>
      </c>
      <c r="E5734" t="s">
        <v>35</v>
      </c>
      <c r="F5734" t="s">
        <v>54</v>
      </c>
      <c r="G5734" s="118">
        <v>0.9318171296296297</v>
      </c>
      <c r="H5734" s="118">
        <v>8.6805555555555551E-4</v>
      </c>
      <c r="I5734" s="118">
        <v>3.4722222222222224E-4</v>
      </c>
      <c r="J5734"/>
      <c r="K5734"/>
    </row>
    <row r="5735" spans="1:11" x14ac:dyDescent="0.25">
      <c r="A5735">
        <v>9</v>
      </c>
      <c r="B5735">
        <v>7</v>
      </c>
      <c r="C5735"/>
      <c r="D5735" t="s">
        <v>31</v>
      </c>
      <c r="E5735" t="s">
        <v>35</v>
      </c>
      <c r="F5735" t="s">
        <v>50</v>
      </c>
      <c r="G5735" s="118">
        <v>0.93207175925925922</v>
      </c>
      <c r="H5735" s="118">
        <v>1.1458333333333333E-3</v>
      </c>
      <c r="I5735" s="118">
        <v>3.4722222222222224E-4</v>
      </c>
      <c r="J5735"/>
      <c r="K5735"/>
    </row>
    <row r="5736" spans="1:11" x14ac:dyDescent="0.25">
      <c r="A5736">
        <v>4</v>
      </c>
      <c r="B5736">
        <v>20</v>
      </c>
      <c r="C5736"/>
      <c r="D5736" t="s">
        <v>31</v>
      </c>
      <c r="E5736" t="s">
        <v>32</v>
      </c>
      <c r="F5736" t="s">
        <v>44</v>
      </c>
      <c r="G5736" s="118">
        <v>0.9320949074074073</v>
      </c>
      <c r="H5736" s="118">
        <v>3.4722222222222224E-4</v>
      </c>
      <c r="I5736" s="118">
        <v>9.2592592592592585E-4</v>
      </c>
      <c r="J5736" s="118">
        <v>7.0717592592592594E-3</v>
      </c>
      <c r="K5736" s="118">
        <v>7.0717592592592594E-3</v>
      </c>
    </row>
    <row r="5737" spans="1:11" x14ac:dyDescent="0.25">
      <c r="A5737">
        <v>2</v>
      </c>
      <c r="B5737">
        <v>20</v>
      </c>
      <c r="C5737"/>
      <c r="D5737" t="s">
        <v>31</v>
      </c>
      <c r="E5737" t="s">
        <v>32</v>
      </c>
      <c r="F5737" t="s">
        <v>54</v>
      </c>
      <c r="G5737" s="118">
        <v>0.93216435185185187</v>
      </c>
      <c r="H5737" s="118">
        <v>3.4722222222222224E-4</v>
      </c>
      <c r="I5737" s="118">
        <v>6.9444444444444447E-4</v>
      </c>
      <c r="J5737" s="118">
        <v>7.0717592592592594E-3</v>
      </c>
      <c r="K5737" s="118">
        <v>7.0717592592592594E-3</v>
      </c>
    </row>
    <row r="5738" spans="1:11" x14ac:dyDescent="0.25">
      <c r="A5738">
        <v>1</v>
      </c>
      <c r="B5738">
        <v>20</v>
      </c>
      <c r="C5738"/>
      <c r="D5738" t="s">
        <v>31</v>
      </c>
      <c r="E5738" t="s">
        <v>35</v>
      </c>
      <c r="F5738" t="s">
        <v>38</v>
      </c>
      <c r="G5738" s="118">
        <v>0.93237268518518512</v>
      </c>
      <c r="H5738" s="118">
        <v>9.1435185185185185E-4</v>
      </c>
      <c r="I5738" s="118">
        <v>3.4722222222222224E-4</v>
      </c>
      <c r="J5738"/>
      <c r="K5738"/>
    </row>
    <row r="5739" spans="1:11" x14ac:dyDescent="0.25">
      <c r="A5739">
        <v>9</v>
      </c>
      <c r="B5739">
        <v>7</v>
      </c>
      <c r="C5739"/>
      <c r="D5739" t="s">
        <v>31</v>
      </c>
      <c r="E5739" t="s">
        <v>32</v>
      </c>
      <c r="F5739" t="s">
        <v>50</v>
      </c>
      <c r="G5739" s="118">
        <v>0.9324189814814815</v>
      </c>
      <c r="H5739" s="118">
        <v>3.4722222222222224E-4</v>
      </c>
      <c r="I5739" s="118">
        <v>1.261574074074074E-3</v>
      </c>
      <c r="J5739" s="118">
        <v>7.0717592592592594E-3</v>
      </c>
      <c r="K5739" s="118">
        <v>7.0717592592592594E-3</v>
      </c>
    </row>
    <row r="5740" spans="1:11" x14ac:dyDescent="0.25">
      <c r="A5740">
        <v>1</v>
      </c>
      <c r="B5740">
        <v>20</v>
      </c>
      <c r="C5740"/>
      <c r="D5740" t="s">
        <v>31</v>
      </c>
      <c r="E5740" t="s">
        <v>32</v>
      </c>
      <c r="F5740" t="s">
        <v>38</v>
      </c>
      <c r="G5740" s="118">
        <v>0.9327199074074074</v>
      </c>
      <c r="H5740" s="118">
        <v>3.4722222222222224E-4</v>
      </c>
      <c r="I5740" s="118">
        <v>1.2384259259259258E-3</v>
      </c>
      <c r="J5740" s="118">
        <v>7.0717592592592594E-3</v>
      </c>
      <c r="K5740" s="118">
        <v>7.0717592592592594E-3</v>
      </c>
    </row>
    <row r="5741" spans="1:11" x14ac:dyDescent="0.25">
      <c r="A5741">
        <v>2</v>
      </c>
      <c r="B5741">
        <v>20</v>
      </c>
      <c r="C5741"/>
      <c r="D5741" t="s">
        <v>31</v>
      </c>
      <c r="E5741" t="s">
        <v>35</v>
      </c>
      <c r="F5741" t="s">
        <v>92</v>
      </c>
      <c r="G5741" s="118">
        <v>0.93285879629629631</v>
      </c>
      <c r="H5741" s="118">
        <v>6.9444444444444447E-4</v>
      </c>
      <c r="I5741" s="118">
        <v>5.2083333333333333E-4</v>
      </c>
      <c r="J5741"/>
      <c r="K5741"/>
    </row>
    <row r="5742" spans="1:11" x14ac:dyDescent="0.25">
      <c r="A5742">
        <v>4</v>
      </c>
      <c r="B5742">
        <v>20</v>
      </c>
      <c r="C5742"/>
      <c r="D5742" t="s">
        <v>31</v>
      </c>
      <c r="E5742" t="s">
        <v>35</v>
      </c>
      <c r="F5742" t="s">
        <v>49</v>
      </c>
      <c r="G5742" s="118">
        <v>0.9330208333333333</v>
      </c>
      <c r="H5742" s="118">
        <v>9.2592592592592585E-4</v>
      </c>
      <c r="I5742" s="118">
        <v>3.4722222222222224E-4</v>
      </c>
      <c r="J5742"/>
      <c r="K5742"/>
    </row>
    <row r="5743" spans="1:11" x14ac:dyDescent="0.25">
      <c r="A5743">
        <v>5</v>
      </c>
      <c r="B5743">
        <v>21</v>
      </c>
      <c r="C5743"/>
      <c r="D5743" t="s">
        <v>31</v>
      </c>
      <c r="E5743" t="s">
        <v>35</v>
      </c>
      <c r="F5743" t="s">
        <v>46</v>
      </c>
      <c r="G5743" s="118">
        <v>0.93328703703703697</v>
      </c>
      <c r="H5743" s="118">
        <v>1.8055555555555557E-3</v>
      </c>
      <c r="I5743" s="118">
        <v>3.4722222222222224E-4</v>
      </c>
      <c r="J5743"/>
      <c r="K5743"/>
    </row>
    <row r="5744" spans="1:11" x14ac:dyDescent="0.25">
      <c r="A5744">
        <v>4</v>
      </c>
      <c r="B5744">
        <v>20</v>
      </c>
      <c r="C5744"/>
      <c r="D5744" t="s">
        <v>31</v>
      </c>
      <c r="E5744" t="s">
        <v>32</v>
      </c>
      <c r="F5744" t="s">
        <v>49</v>
      </c>
      <c r="G5744" s="118">
        <v>0.93336805555555558</v>
      </c>
      <c r="H5744" s="118">
        <v>3.4722222222222224E-4</v>
      </c>
      <c r="I5744" s="118">
        <v>1.3541666666666667E-3</v>
      </c>
      <c r="J5744" s="118">
        <v>7.0717592592592594E-3</v>
      </c>
      <c r="K5744" s="118">
        <v>7.0717592592592594E-3</v>
      </c>
    </row>
    <row r="5745" spans="1:11" x14ac:dyDescent="0.25">
      <c r="A5745">
        <v>2</v>
      </c>
      <c r="B5745">
        <v>21</v>
      </c>
      <c r="C5745"/>
      <c r="D5745" t="s">
        <v>31</v>
      </c>
      <c r="E5745" t="s">
        <v>32</v>
      </c>
      <c r="F5745" t="s">
        <v>92</v>
      </c>
      <c r="G5745" s="118">
        <v>0.93337962962962961</v>
      </c>
      <c r="H5745" s="118">
        <v>5.2083333333333333E-4</v>
      </c>
      <c r="I5745" s="118">
        <v>1.0069444444444444E-3</v>
      </c>
      <c r="J5745" s="118">
        <v>7.0717592592592594E-3</v>
      </c>
      <c r="K5745" s="118">
        <v>7.0717592592592594E-3</v>
      </c>
    </row>
    <row r="5746" spans="1:11" x14ac:dyDescent="0.25">
      <c r="A5746">
        <v>5</v>
      </c>
      <c r="B5746">
        <v>21</v>
      </c>
      <c r="C5746"/>
      <c r="D5746" t="s">
        <v>31</v>
      </c>
      <c r="E5746" t="s">
        <v>32</v>
      </c>
      <c r="F5746" t="s">
        <v>46</v>
      </c>
      <c r="G5746" s="118">
        <v>0.93363425925925936</v>
      </c>
      <c r="H5746" s="118">
        <v>3.4722222222222224E-4</v>
      </c>
      <c r="I5746" s="118">
        <v>9.1435185185185185E-4</v>
      </c>
      <c r="J5746" s="118">
        <v>7.0717592592592594E-3</v>
      </c>
      <c r="K5746" s="118">
        <v>7.0717592592592594E-3</v>
      </c>
    </row>
    <row r="5747" spans="1:11" x14ac:dyDescent="0.25">
      <c r="A5747">
        <v>9</v>
      </c>
      <c r="B5747">
        <v>7</v>
      </c>
      <c r="C5747"/>
      <c r="D5747" t="s">
        <v>31</v>
      </c>
      <c r="E5747" t="s">
        <v>35</v>
      </c>
      <c r="F5747" t="s">
        <v>56</v>
      </c>
      <c r="G5747" s="118">
        <v>0.93368055555555562</v>
      </c>
      <c r="H5747" s="118">
        <v>1.261574074074074E-3</v>
      </c>
      <c r="I5747" s="118">
        <v>3.4722222222222224E-4</v>
      </c>
      <c r="J5747"/>
      <c r="K5747"/>
    </row>
    <row r="5748" spans="1:11" x14ac:dyDescent="0.25">
      <c r="A5748">
        <v>1</v>
      </c>
      <c r="B5748">
        <v>20</v>
      </c>
      <c r="C5748"/>
      <c r="D5748" t="s">
        <v>31</v>
      </c>
      <c r="E5748" t="s">
        <v>35</v>
      </c>
      <c r="F5748" t="s">
        <v>45</v>
      </c>
      <c r="G5748" s="118">
        <v>0.93395833333333333</v>
      </c>
      <c r="H5748" s="118">
        <v>1.2384259259259258E-3</v>
      </c>
      <c r="I5748" s="118">
        <v>3.4722222222222224E-4</v>
      </c>
      <c r="J5748"/>
      <c r="K5748"/>
    </row>
    <row r="5749" spans="1:11" x14ac:dyDescent="0.25">
      <c r="A5749">
        <v>9</v>
      </c>
      <c r="B5749">
        <v>7</v>
      </c>
      <c r="C5749"/>
      <c r="D5749" t="s">
        <v>31</v>
      </c>
      <c r="E5749" t="s">
        <v>32</v>
      </c>
      <c r="F5749" t="s">
        <v>56</v>
      </c>
      <c r="G5749" s="118">
        <v>0.93402777777777779</v>
      </c>
      <c r="H5749" s="118">
        <v>3.4722222222222224E-4</v>
      </c>
      <c r="I5749" s="118">
        <v>9.6064814814814808E-4</v>
      </c>
      <c r="J5749" s="118">
        <v>7.0717592592592594E-3</v>
      </c>
      <c r="K5749" s="118">
        <v>7.0717592592592594E-3</v>
      </c>
    </row>
    <row r="5750" spans="1:11" x14ac:dyDescent="0.25">
      <c r="A5750">
        <v>1</v>
      </c>
      <c r="B5750">
        <v>20</v>
      </c>
      <c r="C5750"/>
      <c r="D5750" t="s">
        <v>31</v>
      </c>
      <c r="E5750" t="s">
        <v>32</v>
      </c>
      <c r="F5750" t="s">
        <v>45</v>
      </c>
      <c r="G5750" s="118">
        <v>0.9343055555555555</v>
      </c>
      <c r="H5750" s="118">
        <v>3.4722222222222224E-4</v>
      </c>
      <c r="I5750" s="118">
        <v>1.0416666666666667E-3</v>
      </c>
      <c r="J5750" s="118">
        <v>7.0717592592592594E-3</v>
      </c>
      <c r="K5750" s="118">
        <v>7.0717592592592594E-3</v>
      </c>
    </row>
    <row r="5751" spans="1:11" x14ac:dyDescent="0.25">
      <c r="A5751">
        <v>2</v>
      </c>
      <c r="B5751">
        <v>21</v>
      </c>
      <c r="C5751"/>
      <c r="D5751" t="s">
        <v>31</v>
      </c>
      <c r="E5751" t="s">
        <v>35</v>
      </c>
      <c r="F5751" t="s">
        <v>41</v>
      </c>
      <c r="G5751" s="118">
        <v>0.93438657407407411</v>
      </c>
      <c r="H5751" s="118">
        <v>1.0069444444444444E-3</v>
      </c>
      <c r="I5751" s="118">
        <v>3.4722222222222224E-4</v>
      </c>
      <c r="J5751"/>
      <c r="K5751"/>
    </row>
    <row r="5752" spans="1:11" x14ac:dyDescent="0.25">
      <c r="A5752">
        <v>5</v>
      </c>
      <c r="B5752">
        <v>21</v>
      </c>
      <c r="C5752"/>
      <c r="D5752" t="s">
        <v>31</v>
      </c>
      <c r="E5752" t="s">
        <v>35</v>
      </c>
      <c r="F5752" t="s">
        <v>51</v>
      </c>
      <c r="G5752" s="118">
        <v>0.93454861111111109</v>
      </c>
      <c r="H5752" s="118">
        <v>9.1435185185185185E-4</v>
      </c>
      <c r="I5752" s="118">
        <v>3.4722222222222224E-4</v>
      </c>
      <c r="J5752"/>
      <c r="K5752"/>
    </row>
    <row r="5753" spans="1:11" x14ac:dyDescent="0.25">
      <c r="A5753">
        <v>4</v>
      </c>
      <c r="B5753">
        <v>20</v>
      </c>
      <c r="C5753"/>
      <c r="D5753" t="s">
        <v>31</v>
      </c>
      <c r="E5753" t="s">
        <v>35</v>
      </c>
      <c r="F5753" t="s">
        <v>33</v>
      </c>
      <c r="G5753" s="118">
        <v>0.93472222222222223</v>
      </c>
      <c r="H5753" s="118">
        <v>1.3541666666666667E-3</v>
      </c>
      <c r="I5753" s="118">
        <v>5.2083333333333333E-4</v>
      </c>
      <c r="J5753"/>
      <c r="K5753"/>
    </row>
    <row r="5754" spans="1:11" x14ac:dyDescent="0.25">
      <c r="A5754">
        <v>2</v>
      </c>
      <c r="B5754">
        <v>21</v>
      </c>
      <c r="C5754"/>
      <c r="D5754" t="s">
        <v>31</v>
      </c>
      <c r="E5754" t="s">
        <v>32</v>
      </c>
      <c r="F5754" t="s">
        <v>41</v>
      </c>
      <c r="G5754" s="118">
        <v>0.93473379629629638</v>
      </c>
      <c r="H5754" s="118">
        <v>3.4722222222222224E-4</v>
      </c>
      <c r="I5754" s="118">
        <v>8.564814814814815E-4</v>
      </c>
      <c r="J5754" s="118">
        <v>7.0717592592592594E-3</v>
      </c>
      <c r="K5754" s="118">
        <v>7.0717592592592594E-3</v>
      </c>
    </row>
    <row r="5755" spans="1:11" x14ac:dyDescent="0.25">
      <c r="A5755">
        <v>5</v>
      </c>
      <c r="B5755">
        <v>21</v>
      </c>
      <c r="C5755"/>
      <c r="D5755" t="s">
        <v>31</v>
      </c>
      <c r="E5755" t="s">
        <v>32</v>
      </c>
      <c r="F5755" t="s">
        <v>51</v>
      </c>
      <c r="G5755" s="118">
        <v>0.93489583333333337</v>
      </c>
      <c r="H5755" s="118">
        <v>3.4722222222222224E-4</v>
      </c>
      <c r="I5755" s="118">
        <v>1.0069444444444444E-3</v>
      </c>
      <c r="J5755" s="118">
        <v>7.0717592592592594E-3</v>
      </c>
      <c r="K5755" s="118">
        <v>7.0717592592592594E-3</v>
      </c>
    </row>
    <row r="5756" spans="1:11" x14ac:dyDescent="0.25">
      <c r="A5756">
        <v>9</v>
      </c>
      <c r="B5756">
        <v>7</v>
      </c>
      <c r="C5756"/>
      <c r="D5756" t="s">
        <v>31</v>
      </c>
      <c r="E5756" t="s">
        <v>35</v>
      </c>
      <c r="F5756" t="s">
        <v>37</v>
      </c>
      <c r="G5756" s="118">
        <v>0.9349884259259259</v>
      </c>
      <c r="H5756" s="118">
        <v>9.6064814814814808E-4</v>
      </c>
      <c r="I5756" s="118">
        <v>3.4722222222222224E-4</v>
      </c>
      <c r="J5756"/>
      <c r="K5756"/>
    </row>
    <row r="5757" spans="1:11" x14ac:dyDescent="0.25">
      <c r="A5757">
        <v>4</v>
      </c>
      <c r="B5757">
        <v>20</v>
      </c>
      <c r="C5757"/>
      <c r="D5757" t="s">
        <v>31</v>
      </c>
      <c r="E5757" t="s">
        <v>32</v>
      </c>
      <c r="F5757" t="s">
        <v>33</v>
      </c>
      <c r="G5757" s="118">
        <v>0.93524305555555554</v>
      </c>
      <c r="H5757" s="118">
        <v>5.2083333333333333E-4</v>
      </c>
      <c r="I5757" s="118">
        <v>9.6064814814814808E-4</v>
      </c>
      <c r="J5757" s="118">
        <v>7.0717592592592594E-3</v>
      </c>
      <c r="K5757" s="118">
        <v>7.0717592592592594E-3</v>
      </c>
    </row>
    <row r="5758" spans="1:11" x14ac:dyDescent="0.25">
      <c r="A5758">
        <v>9</v>
      </c>
      <c r="B5758">
        <v>7</v>
      </c>
      <c r="C5758"/>
      <c r="D5758" t="s">
        <v>31</v>
      </c>
      <c r="E5758" t="s">
        <v>32</v>
      </c>
      <c r="F5758" t="s">
        <v>37</v>
      </c>
      <c r="G5758" s="118">
        <v>0.93533564814814818</v>
      </c>
      <c r="H5758" s="118">
        <v>3.4722222222222224E-4</v>
      </c>
      <c r="I5758" s="118">
        <v>9.0277777777777784E-4</v>
      </c>
      <c r="J5758" s="118">
        <v>7.0717592592592594E-3</v>
      </c>
      <c r="K5758" s="118">
        <v>7.0717592592592594E-3</v>
      </c>
    </row>
    <row r="5759" spans="1:11" x14ac:dyDescent="0.25">
      <c r="A5759">
        <v>1</v>
      </c>
      <c r="B5759">
        <v>20</v>
      </c>
      <c r="C5759"/>
      <c r="D5759" t="s">
        <v>31</v>
      </c>
      <c r="E5759" t="s">
        <v>35</v>
      </c>
      <c r="F5759" t="s">
        <v>52</v>
      </c>
      <c r="G5759" s="118">
        <v>0.93534722222222222</v>
      </c>
      <c r="H5759" s="118">
        <v>1.0416666666666667E-3</v>
      </c>
      <c r="I5759" s="118">
        <v>3.4722222222222224E-4</v>
      </c>
      <c r="J5759"/>
      <c r="K5759"/>
    </row>
    <row r="5760" spans="1:11" x14ac:dyDescent="0.25">
      <c r="A5760">
        <v>2</v>
      </c>
      <c r="B5760">
        <v>21</v>
      </c>
      <c r="C5760"/>
      <c r="D5760" t="s">
        <v>31</v>
      </c>
      <c r="E5760" t="s">
        <v>35</v>
      </c>
      <c r="F5760" t="s">
        <v>47</v>
      </c>
      <c r="G5760" s="118">
        <v>0.9355902777777777</v>
      </c>
      <c r="H5760" s="118">
        <v>8.564814814814815E-4</v>
      </c>
      <c r="I5760" s="118">
        <v>5.2083333333333333E-4</v>
      </c>
      <c r="J5760"/>
      <c r="K5760"/>
    </row>
    <row r="5761" spans="1:11" x14ac:dyDescent="0.25">
      <c r="A5761">
        <v>1</v>
      </c>
      <c r="B5761">
        <v>20</v>
      </c>
      <c r="C5761"/>
      <c r="D5761" t="s">
        <v>31</v>
      </c>
      <c r="E5761" t="s">
        <v>32</v>
      </c>
      <c r="F5761" t="s">
        <v>52</v>
      </c>
      <c r="G5761" s="118">
        <v>0.9356944444444445</v>
      </c>
      <c r="H5761" s="118">
        <v>3.4722222222222224E-4</v>
      </c>
      <c r="I5761" s="118">
        <v>1.0532407407407407E-3</v>
      </c>
      <c r="J5761" s="118">
        <v>7.0717592592592594E-3</v>
      </c>
      <c r="K5761" s="118">
        <v>7.0717592592592594E-3</v>
      </c>
    </row>
    <row r="5762" spans="1:11" x14ac:dyDescent="0.25">
      <c r="A5762">
        <v>5</v>
      </c>
      <c r="B5762">
        <v>21</v>
      </c>
      <c r="C5762"/>
      <c r="D5762" t="s">
        <v>31</v>
      </c>
      <c r="E5762" t="s">
        <v>35</v>
      </c>
      <c r="F5762" t="s">
        <v>55</v>
      </c>
      <c r="G5762" s="118">
        <v>0.93590277777777775</v>
      </c>
      <c r="H5762" s="118">
        <v>1.0069444444444444E-3</v>
      </c>
      <c r="I5762" s="118">
        <v>4.6296296296296293E-4</v>
      </c>
      <c r="J5762"/>
      <c r="K5762"/>
    </row>
    <row r="5763" spans="1:11" x14ac:dyDescent="0.25">
      <c r="A5763">
        <v>2</v>
      </c>
      <c r="B5763">
        <v>21</v>
      </c>
      <c r="C5763"/>
      <c r="D5763" t="s">
        <v>31</v>
      </c>
      <c r="E5763" t="s">
        <v>32</v>
      </c>
      <c r="F5763" t="s">
        <v>47</v>
      </c>
      <c r="G5763" s="118">
        <v>0.93611111111111101</v>
      </c>
      <c r="H5763" s="118">
        <v>5.2083333333333333E-4</v>
      </c>
      <c r="I5763" s="118">
        <v>8.7962962962962962E-4</v>
      </c>
      <c r="J5763" s="118">
        <v>7.0717592592592594E-3</v>
      </c>
      <c r="K5763" s="118">
        <v>7.0717592592592594E-3</v>
      </c>
    </row>
    <row r="5764" spans="1:11" x14ac:dyDescent="0.25">
      <c r="A5764">
        <v>4</v>
      </c>
      <c r="B5764">
        <v>20</v>
      </c>
      <c r="C5764"/>
      <c r="D5764" t="s">
        <v>31</v>
      </c>
      <c r="E5764" t="s">
        <v>35</v>
      </c>
      <c r="F5764" t="s">
        <v>36</v>
      </c>
      <c r="G5764" s="118">
        <v>0.93620370370370365</v>
      </c>
      <c r="H5764" s="118">
        <v>9.6064814814814808E-4</v>
      </c>
      <c r="I5764" s="118">
        <v>3.4722222222222224E-4</v>
      </c>
      <c r="J5764"/>
      <c r="K5764"/>
    </row>
    <row r="5765" spans="1:11" x14ac:dyDescent="0.25">
      <c r="A5765">
        <v>9</v>
      </c>
      <c r="B5765">
        <v>7</v>
      </c>
      <c r="C5765"/>
      <c r="D5765" t="s">
        <v>31</v>
      </c>
      <c r="E5765" t="s">
        <v>35</v>
      </c>
      <c r="F5765" t="s">
        <v>42</v>
      </c>
      <c r="G5765" s="118">
        <v>0.93623842592592599</v>
      </c>
      <c r="H5765" s="118">
        <v>9.0277777777777784E-4</v>
      </c>
      <c r="I5765" s="118">
        <v>3.4722222222222224E-4</v>
      </c>
      <c r="J5765"/>
      <c r="K5765"/>
    </row>
    <row r="5766" spans="1:11" x14ac:dyDescent="0.25">
      <c r="A5766">
        <v>5</v>
      </c>
      <c r="B5766">
        <v>21</v>
      </c>
      <c r="C5766"/>
      <c r="D5766" t="s">
        <v>31</v>
      </c>
      <c r="E5766" t="s">
        <v>32</v>
      </c>
      <c r="F5766" t="s">
        <v>55</v>
      </c>
      <c r="G5766" s="118">
        <v>0.93636574074074075</v>
      </c>
      <c r="H5766" s="118">
        <v>4.6296296296296293E-4</v>
      </c>
      <c r="I5766" s="118">
        <v>4.3981481481481481E-4</v>
      </c>
      <c r="J5766" s="118">
        <v>7.0717592592592594E-3</v>
      </c>
      <c r="K5766" s="118">
        <v>7.0717592592592594E-3</v>
      </c>
    </row>
    <row r="5767" spans="1:11" x14ac:dyDescent="0.25">
      <c r="A5767">
        <v>4</v>
      </c>
      <c r="B5767">
        <v>20</v>
      </c>
      <c r="C5767"/>
      <c r="D5767" t="s">
        <v>31</v>
      </c>
      <c r="E5767" t="s">
        <v>32</v>
      </c>
      <c r="F5767" t="s">
        <v>36</v>
      </c>
      <c r="G5767" s="118">
        <v>0.93655092592592604</v>
      </c>
      <c r="H5767" s="118">
        <v>3.4722222222222224E-4</v>
      </c>
      <c r="I5767" s="118">
        <v>1.0995370370370371E-3</v>
      </c>
      <c r="J5767" s="118">
        <v>7.0717592592592594E-3</v>
      </c>
      <c r="K5767" s="118">
        <v>7.0717592592592594E-3</v>
      </c>
    </row>
    <row r="5768" spans="1:11" x14ac:dyDescent="0.25">
      <c r="A5768">
        <v>9</v>
      </c>
      <c r="B5768">
        <v>7</v>
      </c>
      <c r="C5768"/>
      <c r="D5768" t="s">
        <v>31</v>
      </c>
      <c r="E5768" t="s">
        <v>32</v>
      </c>
      <c r="F5768" t="s">
        <v>42</v>
      </c>
      <c r="G5768" s="118">
        <v>0.93658564814814815</v>
      </c>
      <c r="H5768" s="118">
        <v>3.4722222222222224E-4</v>
      </c>
      <c r="I5768" s="118">
        <v>9.1435185185185185E-4</v>
      </c>
      <c r="J5768" s="118">
        <v>7.0717592592592594E-3</v>
      </c>
      <c r="K5768" s="118">
        <v>7.0717592592592594E-3</v>
      </c>
    </row>
    <row r="5769" spans="1:11" x14ac:dyDescent="0.25">
      <c r="A5769">
        <v>1</v>
      </c>
      <c r="B5769">
        <v>20</v>
      </c>
      <c r="C5769"/>
      <c r="D5769" t="s">
        <v>31</v>
      </c>
      <c r="E5769" t="s">
        <v>35</v>
      </c>
      <c r="F5769" t="s">
        <v>57</v>
      </c>
      <c r="G5769" s="118">
        <v>0.93674768518518514</v>
      </c>
      <c r="H5769" s="118">
        <v>1.0532407407407407E-3</v>
      </c>
      <c r="I5769" s="118">
        <v>3.4722222222222224E-4</v>
      </c>
      <c r="J5769"/>
      <c r="K5769"/>
    </row>
    <row r="5770" spans="1:11" x14ac:dyDescent="0.25">
      <c r="A5770">
        <v>5</v>
      </c>
      <c r="B5770">
        <v>21</v>
      </c>
      <c r="C5770"/>
      <c r="D5770" t="s">
        <v>31</v>
      </c>
      <c r="E5770" t="s">
        <v>35</v>
      </c>
      <c r="F5770" t="s">
        <v>58</v>
      </c>
      <c r="G5770" s="118">
        <v>0.93680555555555556</v>
      </c>
      <c r="H5770" s="118">
        <v>4.3981481481481481E-4</v>
      </c>
      <c r="I5770" s="118">
        <v>5.7870370370370366E-5</v>
      </c>
      <c r="J5770"/>
      <c r="K5770"/>
    </row>
    <row r="5771" spans="1:11" x14ac:dyDescent="0.25">
      <c r="A5771">
        <v>5</v>
      </c>
      <c r="B5771">
        <v>21</v>
      </c>
      <c r="C5771"/>
      <c r="D5771" t="s">
        <v>31</v>
      </c>
      <c r="E5771" t="s">
        <v>32</v>
      </c>
      <c r="F5771" t="s">
        <v>58</v>
      </c>
      <c r="G5771" s="118">
        <v>0.93686342592592586</v>
      </c>
      <c r="H5771" s="118">
        <v>5.7870370370370366E-5</v>
      </c>
      <c r="I5771" s="118">
        <v>4.8611111111111104E-4</v>
      </c>
      <c r="J5771" s="118">
        <v>7.0717592592592594E-3</v>
      </c>
      <c r="K5771" s="118">
        <v>7.0717592592592594E-3</v>
      </c>
    </row>
    <row r="5772" spans="1:11" x14ac:dyDescent="0.25">
      <c r="A5772">
        <v>2</v>
      </c>
      <c r="B5772">
        <v>21</v>
      </c>
      <c r="C5772"/>
      <c r="D5772" t="s">
        <v>31</v>
      </c>
      <c r="E5772" t="s">
        <v>35</v>
      </c>
      <c r="F5772" t="s">
        <v>53</v>
      </c>
      <c r="G5772" s="118">
        <v>0.93699074074074085</v>
      </c>
      <c r="H5772" s="118">
        <v>8.7962962962962962E-4</v>
      </c>
      <c r="I5772" s="118">
        <v>3.4722222222222224E-4</v>
      </c>
      <c r="J5772"/>
      <c r="K5772"/>
    </row>
    <row r="5773" spans="1:11" x14ac:dyDescent="0.25">
      <c r="A5773">
        <v>1</v>
      </c>
      <c r="B5773">
        <v>20</v>
      </c>
      <c r="C5773"/>
      <c r="D5773" t="s">
        <v>31</v>
      </c>
      <c r="E5773" t="s">
        <v>32</v>
      </c>
      <c r="F5773" t="s">
        <v>57</v>
      </c>
      <c r="G5773" s="118">
        <v>0.93709490740740742</v>
      </c>
      <c r="H5773" s="118">
        <v>3.4722222222222224E-4</v>
      </c>
      <c r="I5773" s="118">
        <v>9.3750000000000007E-4</v>
      </c>
      <c r="J5773" s="118">
        <v>7.0717592592592594E-3</v>
      </c>
      <c r="K5773" s="118">
        <v>7.0717592592592594E-3</v>
      </c>
    </row>
    <row r="5774" spans="1:11" x14ac:dyDescent="0.25">
      <c r="A5774">
        <v>2</v>
      </c>
      <c r="B5774">
        <v>21</v>
      </c>
      <c r="C5774"/>
      <c r="D5774" t="s">
        <v>31</v>
      </c>
      <c r="E5774" t="s">
        <v>32</v>
      </c>
      <c r="F5774" t="s">
        <v>53</v>
      </c>
      <c r="G5774" s="118">
        <v>0.93733796296296301</v>
      </c>
      <c r="H5774" s="118">
        <v>3.4722222222222224E-4</v>
      </c>
      <c r="I5774" s="118">
        <v>8.449074074074075E-4</v>
      </c>
      <c r="J5774" s="118">
        <v>7.0717592592592594E-3</v>
      </c>
      <c r="K5774" s="118">
        <v>7.0717592592592594E-3</v>
      </c>
    </row>
    <row r="5775" spans="1:11" x14ac:dyDescent="0.25">
      <c r="A5775">
        <v>5</v>
      </c>
      <c r="B5775">
        <v>21</v>
      </c>
      <c r="C5775"/>
      <c r="D5775" t="s">
        <v>31</v>
      </c>
      <c r="E5775" t="s">
        <v>35</v>
      </c>
      <c r="F5775" t="s">
        <v>40</v>
      </c>
      <c r="G5775" s="118">
        <v>0.93734953703703694</v>
      </c>
      <c r="H5775" s="118">
        <v>4.8611111111111104E-4</v>
      </c>
      <c r="I5775" s="118">
        <v>4.6296296296296293E-4</v>
      </c>
      <c r="J5775"/>
      <c r="K5775"/>
    </row>
    <row r="5776" spans="1:11" x14ac:dyDescent="0.25">
      <c r="A5776">
        <v>9</v>
      </c>
      <c r="B5776">
        <v>7</v>
      </c>
      <c r="C5776"/>
      <c r="D5776" t="s">
        <v>31</v>
      </c>
      <c r="E5776" t="s">
        <v>35</v>
      </c>
      <c r="F5776" t="s">
        <v>48</v>
      </c>
      <c r="G5776" s="118">
        <v>0.9375</v>
      </c>
      <c r="H5776" s="118">
        <v>9.1435185185185185E-4</v>
      </c>
      <c r="I5776" s="118">
        <v>5.2083333333333333E-4</v>
      </c>
      <c r="J5776"/>
      <c r="K5776"/>
    </row>
    <row r="5777" spans="1:11" x14ac:dyDescent="0.25">
      <c r="A5777">
        <v>4</v>
      </c>
      <c r="B5777">
        <v>20</v>
      </c>
      <c r="C5777"/>
      <c r="D5777" t="s">
        <v>31</v>
      </c>
      <c r="E5777" t="s">
        <v>35</v>
      </c>
      <c r="F5777" t="s">
        <v>43</v>
      </c>
      <c r="G5777" s="118">
        <v>0.93765046296296306</v>
      </c>
      <c r="H5777" s="118">
        <v>1.0995370370370371E-3</v>
      </c>
      <c r="I5777" s="118">
        <v>3.4722222222222224E-4</v>
      </c>
      <c r="J5777"/>
      <c r="K5777"/>
    </row>
    <row r="5778" spans="1:11" x14ac:dyDescent="0.25">
      <c r="A5778">
        <v>5</v>
      </c>
      <c r="B5778">
        <v>21</v>
      </c>
      <c r="C5778"/>
      <c r="D5778" t="s">
        <v>31</v>
      </c>
      <c r="E5778" t="s">
        <v>32</v>
      </c>
      <c r="F5778" t="s">
        <v>40</v>
      </c>
      <c r="G5778" s="118">
        <v>0.93781250000000005</v>
      </c>
      <c r="H5778" s="118">
        <v>4.6296296296296293E-4</v>
      </c>
      <c r="I5778" s="118">
        <v>1.0069444444444444E-3</v>
      </c>
      <c r="J5778" s="118">
        <v>7.0717592592592594E-3</v>
      </c>
      <c r="K5778" s="118">
        <v>7.0717592592592594E-3</v>
      </c>
    </row>
    <row r="5779" spans="1:11" x14ac:dyDescent="0.25">
      <c r="A5779">
        <v>4</v>
      </c>
      <c r="B5779">
        <v>20</v>
      </c>
      <c r="C5779"/>
      <c r="D5779" t="s">
        <v>31</v>
      </c>
      <c r="E5779" t="s">
        <v>32</v>
      </c>
      <c r="F5779" t="s">
        <v>43</v>
      </c>
      <c r="G5779" s="118">
        <v>0.93799768518518523</v>
      </c>
      <c r="H5779" s="118">
        <v>3.4722222222222224E-4</v>
      </c>
      <c r="I5779" s="118">
        <v>1.1458333333333333E-3</v>
      </c>
      <c r="J5779" s="118">
        <v>7.0717592592592594E-3</v>
      </c>
      <c r="K5779" s="118">
        <v>7.0717592592592594E-3</v>
      </c>
    </row>
    <row r="5780" spans="1:11" x14ac:dyDescent="0.25">
      <c r="A5780">
        <v>9</v>
      </c>
      <c r="B5780">
        <v>7</v>
      </c>
      <c r="C5780"/>
      <c r="D5780" t="s">
        <v>31</v>
      </c>
      <c r="E5780" t="s">
        <v>32</v>
      </c>
      <c r="F5780" t="s">
        <v>48</v>
      </c>
      <c r="G5780" s="118">
        <v>0.9380208333333333</v>
      </c>
      <c r="H5780" s="118">
        <v>5.2083333333333333E-4</v>
      </c>
      <c r="I5780" s="118">
        <v>8.6805555555555551E-4</v>
      </c>
      <c r="J5780" s="118">
        <v>7.0717592592592594E-3</v>
      </c>
      <c r="K5780" s="118">
        <v>7.0717592592592594E-3</v>
      </c>
    </row>
    <row r="5781" spans="1:11" x14ac:dyDescent="0.25">
      <c r="A5781">
        <v>1</v>
      </c>
      <c r="B5781">
        <v>20</v>
      </c>
      <c r="C5781"/>
      <c r="D5781" t="s">
        <v>31</v>
      </c>
      <c r="E5781" t="s">
        <v>35</v>
      </c>
      <c r="F5781" t="s">
        <v>39</v>
      </c>
      <c r="G5781" s="118">
        <v>0.93803240740740745</v>
      </c>
      <c r="H5781" s="118">
        <v>9.3750000000000007E-4</v>
      </c>
      <c r="I5781" s="118">
        <v>5.2083333333333333E-4</v>
      </c>
      <c r="J5781"/>
      <c r="K5781"/>
    </row>
    <row r="5782" spans="1:11" x14ac:dyDescent="0.25">
      <c r="A5782">
        <v>2</v>
      </c>
      <c r="B5782">
        <v>21</v>
      </c>
      <c r="C5782"/>
      <c r="D5782" t="s">
        <v>31</v>
      </c>
      <c r="E5782" t="s">
        <v>35</v>
      </c>
      <c r="F5782" t="s">
        <v>34</v>
      </c>
      <c r="G5782" s="118">
        <v>0.9381828703703704</v>
      </c>
      <c r="H5782" s="118">
        <v>8.449074074074075E-4</v>
      </c>
      <c r="I5782" s="118">
        <v>3.4722222222222224E-4</v>
      </c>
      <c r="J5782"/>
      <c r="K5782"/>
    </row>
    <row r="5783" spans="1:11" x14ac:dyDescent="0.25">
      <c r="A5783">
        <v>2</v>
      </c>
      <c r="B5783">
        <v>21</v>
      </c>
      <c r="C5783"/>
      <c r="D5783" t="s">
        <v>31</v>
      </c>
      <c r="E5783" t="s">
        <v>32</v>
      </c>
      <c r="F5783" t="s">
        <v>34</v>
      </c>
      <c r="G5783" s="118">
        <v>0.93853009259259268</v>
      </c>
      <c r="H5783" s="118">
        <v>3.4722222222222224E-4</v>
      </c>
      <c r="I5783" s="118">
        <v>9.1435185185185185E-4</v>
      </c>
      <c r="J5783" s="118">
        <v>7.0717592592592594E-3</v>
      </c>
      <c r="K5783" s="118">
        <v>7.0717592592592594E-3</v>
      </c>
    </row>
    <row r="5784" spans="1:11" x14ac:dyDescent="0.25">
      <c r="A5784">
        <v>1</v>
      </c>
      <c r="B5784">
        <v>20</v>
      </c>
      <c r="C5784"/>
      <c r="D5784" t="s">
        <v>31</v>
      </c>
      <c r="E5784" t="s">
        <v>32</v>
      </c>
      <c r="F5784" t="s">
        <v>39</v>
      </c>
      <c r="G5784" s="118">
        <v>0.93855324074074076</v>
      </c>
      <c r="H5784" s="118">
        <v>5.2083333333333333E-4</v>
      </c>
      <c r="I5784" s="118">
        <v>1.8055555555555557E-3</v>
      </c>
      <c r="J5784" s="118">
        <v>7.0717592592592594E-3</v>
      </c>
      <c r="K5784" s="118">
        <v>7.0717592592592594E-3</v>
      </c>
    </row>
    <row r="5785" spans="1:11" x14ac:dyDescent="0.25">
      <c r="A5785">
        <v>5</v>
      </c>
      <c r="B5785">
        <v>21</v>
      </c>
      <c r="C5785"/>
      <c r="D5785" t="s">
        <v>31</v>
      </c>
      <c r="E5785" t="s">
        <v>35</v>
      </c>
      <c r="F5785" t="s">
        <v>44</v>
      </c>
      <c r="G5785" s="118">
        <v>0.93881944444444443</v>
      </c>
      <c r="H5785" s="118">
        <v>1.0069444444444444E-3</v>
      </c>
      <c r="I5785" s="118">
        <v>3.4722222222222224E-4</v>
      </c>
      <c r="J5785"/>
      <c r="K5785"/>
    </row>
    <row r="5786" spans="1:11" x14ac:dyDescent="0.25">
      <c r="A5786">
        <v>9</v>
      </c>
      <c r="B5786">
        <v>7</v>
      </c>
      <c r="C5786"/>
      <c r="D5786" t="s">
        <v>31</v>
      </c>
      <c r="E5786" t="s">
        <v>35</v>
      </c>
      <c r="F5786" t="s">
        <v>54</v>
      </c>
      <c r="G5786" s="118">
        <v>0.93888888888888899</v>
      </c>
      <c r="H5786" s="118">
        <v>8.6805555555555551E-4</v>
      </c>
      <c r="I5786" s="118">
        <v>3.4722222222222224E-4</v>
      </c>
      <c r="J5786"/>
      <c r="K5786"/>
    </row>
    <row r="5787" spans="1:11" x14ac:dyDescent="0.25">
      <c r="A5787">
        <v>4</v>
      </c>
      <c r="B5787">
        <v>20</v>
      </c>
      <c r="C5787"/>
      <c r="D5787" t="s">
        <v>31</v>
      </c>
      <c r="E5787" t="s">
        <v>35</v>
      </c>
      <c r="F5787" t="s">
        <v>50</v>
      </c>
      <c r="G5787" s="118">
        <v>0.93914351851851852</v>
      </c>
      <c r="H5787" s="118">
        <v>1.1458333333333333E-3</v>
      </c>
      <c r="I5787" s="118">
        <v>3.4722222222222224E-4</v>
      </c>
      <c r="J5787"/>
      <c r="K5787"/>
    </row>
    <row r="5788" spans="1:11" x14ac:dyDescent="0.25">
      <c r="A5788">
        <v>5</v>
      </c>
      <c r="B5788">
        <v>21</v>
      </c>
      <c r="C5788"/>
      <c r="D5788" t="s">
        <v>31</v>
      </c>
      <c r="E5788" t="s">
        <v>32</v>
      </c>
      <c r="F5788" t="s">
        <v>44</v>
      </c>
      <c r="G5788" s="118">
        <v>0.93916666666666659</v>
      </c>
      <c r="H5788" s="118">
        <v>3.4722222222222224E-4</v>
      </c>
      <c r="I5788" s="118">
        <v>9.2592592592592585E-4</v>
      </c>
      <c r="J5788" s="118">
        <v>7.0717592592592594E-3</v>
      </c>
      <c r="K5788" s="118">
        <v>7.0717592592592594E-3</v>
      </c>
    </row>
    <row r="5789" spans="1:11" x14ac:dyDescent="0.25">
      <c r="A5789">
        <v>9</v>
      </c>
      <c r="B5789">
        <v>7</v>
      </c>
      <c r="C5789"/>
      <c r="D5789" t="s">
        <v>31</v>
      </c>
      <c r="E5789" t="s">
        <v>32</v>
      </c>
      <c r="F5789" t="s">
        <v>54</v>
      </c>
      <c r="G5789" s="118">
        <v>0.93923611111111116</v>
      </c>
      <c r="H5789" s="118">
        <v>3.4722222222222224E-4</v>
      </c>
      <c r="I5789" s="118">
        <v>6.9444444444444447E-4</v>
      </c>
      <c r="J5789" s="118">
        <v>7.0717592592592594E-3</v>
      </c>
      <c r="K5789" s="118">
        <v>7.0717592592592594E-3</v>
      </c>
    </row>
    <row r="5790" spans="1:11" x14ac:dyDescent="0.25">
      <c r="A5790">
        <v>2</v>
      </c>
      <c r="B5790">
        <v>21</v>
      </c>
      <c r="C5790"/>
      <c r="D5790" t="s">
        <v>31</v>
      </c>
      <c r="E5790" t="s">
        <v>35</v>
      </c>
      <c r="F5790" t="s">
        <v>38</v>
      </c>
      <c r="G5790" s="118">
        <v>0.93944444444444442</v>
      </c>
      <c r="H5790" s="118">
        <v>9.1435185185185185E-4</v>
      </c>
      <c r="I5790" s="118">
        <v>3.4722222222222224E-4</v>
      </c>
      <c r="J5790"/>
      <c r="K5790"/>
    </row>
    <row r="5791" spans="1:11" x14ac:dyDescent="0.25">
      <c r="A5791">
        <v>4</v>
      </c>
      <c r="B5791">
        <v>20</v>
      </c>
      <c r="C5791"/>
      <c r="D5791" t="s">
        <v>31</v>
      </c>
      <c r="E5791" t="s">
        <v>32</v>
      </c>
      <c r="F5791" t="s">
        <v>50</v>
      </c>
      <c r="G5791" s="118">
        <v>0.93949074074074079</v>
      </c>
      <c r="H5791" s="118">
        <v>3.4722222222222224E-4</v>
      </c>
      <c r="I5791" s="118">
        <v>1.261574074074074E-3</v>
      </c>
      <c r="J5791" s="118">
        <v>7.0717592592592594E-3</v>
      </c>
      <c r="K5791" s="118">
        <v>7.0717592592592594E-3</v>
      </c>
    </row>
    <row r="5792" spans="1:11" x14ac:dyDescent="0.25">
      <c r="A5792">
        <v>2</v>
      </c>
      <c r="B5792">
        <v>21</v>
      </c>
      <c r="C5792"/>
      <c r="D5792" t="s">
        <v>31</v>
      </c>
      <c r="E5792" t="s">
        <v>32</v>
      </c>
      <c r="F5792" t="s">
        <v>38</v>
      </c>
      <c r="G5792" s="118">
        <v>0.93979166666666669</v>
      </c>
      <c r="H5792" s="118">
        <v>3.4722222222222224E-4</v>
      </c>
      <c r="I5792" s="118">
        <v>1.2384259259259258E-3</v>
      </c>
      <c r="J5792" s="118">
        <v>7.0717592592592594E-3</v>
      </c>
      <c r="K5792" s="118">
        <v>7.0717592592592594E-3</v>
      </c>
    </row>
    <row r="5793" spans="1:11" x14ac:dyDescent="0.25">
      <c r="A5793">
        <v>9</v>
      </c>
      <c r="B5793">
        <v>7</v>
      </c>
      <c r="C5793"/>
      <c r="D5793" t="s">
        <v>31</v>
      </c>
      <c r="E5793" t="s">
        <v>35</v>
      </c>
      <c r="F5793" t="s">
        <v>92</v>
      </c>
      <c r="G5793" s="118">
        <v>0.9399305555555556</v>
      </c>
      <c r="H5793" s="118">
        <v>6.9444444444444447E-4</v>
      </c>
      <c r="I5793" s="118">
        <v>5.2083333333333333E-4</v>
      </c>
      <c r="J5793"/>
      <c r="K5793"/>
    </row>
    <row r="5794" spans="1:11" x14ac:dyDescent="0.25">
      <c r="A5794">
        <v>5</v>
      </c>
      <c r="B5794">
        <v>21</v>
      </c>
      <c r="C5794"/>
      <c r="D5794" t="s">
        <v>31</v>
      </c>
      <c r="E5794" t="s">
        <v>35</v>
      </c>
      <c r="F5794" t="s">
        <v>49</v>
      </c>
      <c r="G5794" s="118">
        <v>0.94009259259259259</v>
      </c>
      <c r="H5794" s="118">
        <v>9.2592592592592585E-4</v>
      </c>
      <c r="I5794" s="118">
        <v>3.4722222222222224E-4</v>
      </c>
      <c r="J5794"/>
      <c r="K5794"/>
    </row>
    <row r="5795" spans="1:11" x14ac:dyDescent="0.25">
      <c r="A5795">
        <v>1</v>
      </c>
      <c r="B5795">
        <v>20</v>
      </c>
      <c r="C5795"/>
      <c r="D5795" t="s">
        <v>31</v>
      </c>
      <c r="E5795" t="s">
        <v>35</v>
      </c>
      <c r="F5795" t="s">
        <v>46</v>
      </c>
      <c r="G5795" s="118">
        <v>0.94035879629629626</v>
      </c>
      <c r="H5795" s="118">
        <v>1.8055555555555557E-3</v>
      </c>
      <c r="I5795" s="118">
        <v>3.4722222222222224E-4</v>
      </c>
      <c r="J5795"/>
      <c r="K5795"/>
    </row>
    <row r="5796" spans="1:11" x14ac:dyDescent="0.25">
      <c r="A5796">
        <v>5</v>
      </c>
      <c r="B5796">
        <v>21</v>
      </c>
      <c r="C5796"/>
      <c r="D5796" t="s">
        <v>31</v>
      </c>
      <c r="E5796" t="s">
        <v>32</v>
      </c>
      <c r="F5796" t="s">
        <v>49</v>
      </c>
      <c r="G5796" s="118">
        <v>0.94043981481481476</v>
      </c>
      <c r="H5796" s="118">
        <v>3.4722222222222224E-4</v>
      </c>
      <c r="I5796" s="118">
        <v>1.3541666666666667E-3</v>
      </c>
      <c r="J5796" s="118">
        <v>7.0717592592592594E-3</v>
      </c>
      <c r="K5796" s="118">
        <v>7.0717592592592594E-3</v>
      </c>
    </row>
    <row r="5797" spans="1:11" x14ac:dyDescent="0.25">
      <c r="A5797">
        <v>9</v>
      </c>
      <c r="B5797">
        <v>8</v>
      </c>
      <c r="C5797"/>
      <c r="D5797" t="s">
        <v>31</v>
      </c>
      <c r="E5797" t="s">
        <v>32</v>
      </c>
      <c r="F5797" t="s">
        <v>92</v>
      </c>
      <c r="G5797" s="118">
        <v>0.94045138888888891</v>
      </c>
      <c r="H5797" s="118">
        <v>5.2083333333333333E-4</v>
      </c>
      <c r="I5797" s="118">
        <v>1.0069444444444444E-3</v>
      </c>
      <c r="J5797" s="118">
        <v>7.0717592592592594E-3</v>
      </c>
      <c r="K5797" s="118">
        <v>7.0717592592592594E-3</v>
      </c>
    </row>
    <row r="5798" spans="1:11" x14ac:dyDescent="0.25">
      <c r="A5798">
        <v>1</v>
      </c>
      <c r="B5798">
        <v>20</v>
      </c>
      <c r="C5798"/>
      <c r="D5798" t="s">
        <v>31</v>
      </c>
      <c r="E5798" t="s">
        <v>32</v>
      </c>
      <c r="F5798" t="s">
        <v>46</v>
      </c>
      <c r="G5798" s="118">
        <v>0.94070601851851843</v>
      </c>
      <c r="H5798" s="118">
        <v>3.4722222222222224E-4</v>
      </c>
      <c r="I5798" s="118">
        <v>9.1435185185185185E-4</v>
      </c>
      <c r="J5798" s="118">
        <v>7.0717592592592594E-3</v>
      </c>
      <c r="K5798" s="118">
        <v>7.0717592592592594E-3</v>
      </c>
    </row>
    <row r="5799" spans="1:11" x14ac:dyDescent="0.25">
      <c r="A5799">
        <v>4</v>
      </c>
      <c r="B5799">
        <v>20</v>
      </c>
      <c r="C5799"/>
      <c r="D5799" t="s">
        <v>31</v>
      </c>
      <c r="E5799" t="s">
        <v>35</v>
      </c>
      <c r="F5799" t="s">
        <v>56</v>
      </c>
      <c r="G5799" s="118">
        <v>0.94075231481481481</v>
      </c>
      <c r="H5799" s="118">
        <v>1.261574074074074E-3</v>
      </c>
      <c r="I5799" s="118">
        <v>3.4722222222222224E-4</v>
      </c>
      <c r="J5799"/>
      <c r="K5799"/>
    </row>
    <row r="5800" spans="1:11" x14ac:dyDescent="0.25">
      <c r="A5800">
        <v>2</v>
      </c>
      <c r="B5800">
        <v>21</v>
      </c>
      <c r="C5800"/>
      <c r="D5800" t="s">
        <v>31</v>
      </c>
      <c r="E5800" t="s">
        <v>35</v>
      </c>
      <c r="F5800" t="s">
        <v>45</v>
      </c>
      <c r="G5800" s="118">
        <v>0.94103009259259263</v>
      </c>
      <c r="H5800" s="118">
        <v>1.2384259259259258E-3</v>
      </c>
      <c r="I5800" s="118">
        <v>3.4722222222222224E-4</v>
      </c>
      <c r="J5800"/>
      <c r="K5800"/>
    </row>
    <row r="5801" spans="1:11" x14ac:dyDescent="0.25">
      <c r="A5801">
        <v>4</v>
      </c>
      <c r="B5801">
        <v>20</v>
      </c>
      <c r="C5801"/>
      <c r="D5801" t="s">
        <v>31</v>
      </c>
      <c r="E5801" t="s">
        <v>32</v>
      </c>
      <c r="F5801" t="s">
        <v>56</v>
      </c>
      <c r="G5801" s="118">
        <v>0.94109953703703697</v>
      </c>
      <c r="H5801" s="118">
        <v>3.4722222222222224E-4</v>
      </c>
      <c r="I5801" s="118">
        <v>9.6064814814814808E-4</v>
      </c>
      <c r="J5801" s="118">
        <v>7.0717592592592594E-3</v>
      </c>
      <c r="K5801" s="118">
        <v>7.0717592592592594E-3</v>
      </c>
    </row>
    <row r="5802" spans="1:11" x14ac:dyDescent="0.25">
      <c r="A5802">
        <v>2</v>
      </c>
      <c r="B5802">
        <v>21</v>
      </c>
      <c r="C5802"/>
      <c r="D5802" t="s">
        <v>31</v>
      </c>
      <c r="E5802" t="s">
        <v>32</v>
      </c>
      <c r="F5802" t="s">
        <v>45</v>
      </c>
      <c r="G5802" s="118">
        <v>0.94137731481481479</v>
      </c>
      <c r="H5802" s="118">
        <v>3.4722222222222224E-4</v>
      </c>
      <c r="I5802" s="118">
        <v>1.0416666666666667E-3</v>
      </c>
      <c r="J5802" s="118">
        <v>7.0717592592592594E-3</v>
      </c>
      <c r="K5802" s="118">
        <v>7.0717592592592594E-3</v>
      </c>
    </row>
    <row r="5803" spans="1:11" x14ac:dyDescent="0.25">
      <c r="A5803">
        <v>9</v>
      </c>
      <c r="B5803">
        <v>8</v>
      </c>
      <c r="C5803"/>
      <c r="D5803" t="s">
        <v>31</v>
      </c>
      <c r="E5803" t="s">
        <v>35</v>
      </c>
      <c r="F5803" t="s">
        <v>41</v>
      </c>
      <c r="G5803" s="118">
        <v>0.94145833333333329</v>
      </c>
      <c r="H5803" s="118">
        <v>1.0069444444444444E-3</v>
      </c>
      <c r="I5803" s="118">
        <v>3.4722222222222224E-4</v>
      </c>
      <c r="J5803"/>
      <c r="K5803"/>
    </row>
    <row r="5804" spans="1:11" x14ac:dyDescent="0.25">
      <c r="A5804">
        <v>1</v>
      </c>
      <c r="B5804">
        <v>20</v>
      </c>
      <c r="C5804"/>
      <c r="D5804" t="s">
        <v>31</v>
      </c>
      <c r="E5804" t="s">
        <v>35</v>
      </c>
      <c r="F5804" t="s">
        <v>51</v>
      </c>
      <c r="G5804" s="118">
        <v>0.94162037037037039</v>
      </c>
      <c r="H5804" s="118">
        <v>9.1435185185185185E-4</v>
      </c>
      <c r="I5804" s="118">
        <v>3.4722222222222224E-4</v>
      </c>
      <c r="J5804"/>
      <c r="K5804"/>
    </row>
    <row r="5805" spans="1:11" x14ac:dyDescent="0.25">
      <c r="A5805">
        <v>5</v>
      </c>
      <c r="B5805">
        <v>21</v>
      </c>
      <c r="C5805"/>
      <c r="D5805" t="s">
        <v>31</v>
      </c>
      <c r="E5805" t="s">
        <v>35</v>
      </c>
      <c r="F5805" t="s">
        <v>33</v>
      </c>
      <c r="G5805" s="118">
        <v>0.94179398148148152</v>
      </c>
      <c r="H5805" s="118">
        <v>1.3541666666666667E-3</v>
      </c>
      <c r="I5805" s="118">
        <v>5.2083333333333333E-4</v>
      </c>
      <c r="J5805"/>
      <c r="K5805"/>
    </row>
    <row r="5806" spans="1:11" x14ac:dyDescent="0.25">
      <c r="A5806">
        <v>9</v>
      </c>
      <c r="B5806">
        <v>8</v>
      </c>
      <c r="C5806"/>
      <c r="D5806" t="s">
        <v>31</v>
      </c>
      <c r="E5806" t="s">
        <v>32</v>
      </c>
      <c r="F5806" t="s">
        <v>41</v>
      </c>
      <c r="G5806" s="118">
        <v>0.94180555555555545</v>
      </c>
      <c r="H5806" s="118">
        <v>3.4722222222222224E-4</v>
      </c>
      <c r="I5806" s="118">
        <v>8.564814814814815E-4</v>
      </c>
      <c r="J5806" s="118">
        <v>7.0717592592592594E-3</v>
      </c>
      <c r="K5806" s="118">
        <v>7.0717592592592594E-3</v>
      </c>
    </row>
    <row r="5807" spans="1:11" x14ac:dyDescent="0.25">
      <c r="A5807">
        <v>1</v>
      </c>
      <c r="B5807">
        <v>20</v>
      </c>
      <c r="C5807"/>
      <c r="D5807" t="s">
        <v>31</v>
      </c>
      <c r="E5807" t="s">
        <v>32</v>
      </c>
      <c r="F5807" t="s">
        <v>51</v>
      </c>
      <c r="G5807" s="118">
        <v>0.94196759259259266</v>
      </c>
      <c r="H5807" s="118">
        <v>3.4722222222222224E-4</v>
      </c>
      <c r="I5807" s="118">
        <v>1.0069444444444444E-3</v>
      </c>
      <c r="J5807" s="118">
        <v>7.0717592592592594E-3</v>
      </c>
      <c r="K5807" s="118">
        <v>7.0717592592592594E-3</v>
      </c>
    </row>
    <row r="5808" spans="1:11" x14ac:dyDescent="0.25">
      <c r="A5808">
        <v>4</v>
      </c>
      <c r="B5808">
        <v>20</v>
      </c>
      <c r="C5808"/>
      <c r="D5808" t="s">
        <v>31</v>
      </c>
      <c r="E5808" t="s">
        <v>35</v>
      </c>
      <c r="F5808" t="s">
        <v>37</v>
      </c>
      <c r="G5808" s="118">
        <v>0.94206018518518519</v>
      </c>
      <c r="H5808" s="118">
        <v>9.6064814814814808E-4</v>
      </c>
      <c r="I5808" s="118">
        <v>3.4722222222222224E-4</v>
      </c>
      <c r="J5808"/>
      <c r="K5808"/>
    </row>
    <row r="5809" spans="1:11" x14ac:dyDescent="0.25">
      <c r="A5809">
        <v>5</v>
      </c>
      <c r="B5809">
        <v>21</v>
      </c>
      <c r="C5809"/>
      <c r="D5809" t="s">
        <v>31</v>
      </c>
      <c r="E5809" t="s">
        <v>32</v>
      </c>
      <c r="F5809" t="s">
        <v>33</v>
      </c>
      <c r="G5809" s="118">
        <v>0.94231481481481483</v>
      </c>
      <c r="H5809" s="118">
        <v>5.2083333333333333E-4</v>
      </c>
      <c r="I5809" s="118">
        <v>9.6064814814814808E-4</v>
      </c>
      <c r="J5809" s="118">
        <v>7.0717592592592594E-3</v>
      </c>
      <c r="K5809" s="118">
        <v>7.0717592592592594E-3</v>
      </c>
    </row>
    <row r="5810" spans="1:11" x14ac:dyDescent="0.25">
      <c r="A5810">
        <v>4</v>
      </c>
      <c r="B5810">
        <v>20</v>
      </c>
      <c r="C5810"/>
      <c r="D5810" t="s">
        <v>31</v>
      </c>
      <c r="E5810" t="s">
        <v>32</v>
      </c>
      <c r="F5810" t="s">
        <v>37</v>
      </c>
      <c r="G5810" s="118">
        <v>0.94240740740740747</v>
      </c>
      <c r="H5810" s="118">
        <v>3.4722222222222224E-4</v>
      </c>
      <c r="I5810" s="118">
        <v>9.0277777777777784E-4</v>
      </c>
      <c r="J5810" s="118">
        <v>7.0717592592592594E-3</v>
      </c>
      <c r="K5810" s="118">
        <v>7.0717592592592594E-3</v>
      </c>
    </row>
    <row r="5811" spans="1:11" x14ac:dyDescent="0.25">
      <c r="A5811">
        <v>2</v>
      </c>
      <c r="B5811">
        <v>21</v>
      </c>
      <c r="C5811"/>
      <c r="D5811" t="s">
        <v>31</v>
      </c>
      <c r="E5811" t="s">
        <v>35</v>
      </c>
      <c r="F5811" t="s">
        <v>52</v>
      </c>
      <c r="G5811" s="118">
        <v>0.94241898148148151</v>
      </c>
      <c r="H5811" s="118">
        <v>1.0416666666666667E-3</v>
      </c>
      <c r="I5811" s="118">
        <v>3.4722222222222224E-4</v>
      </c>
      <c r="J5811"/>
      <c r="K5811"/>
    </row>
    <row r="5812" spans="1:11" x14ac:dyDescent="0.25">
      <c r="A5812">
        <v>9</v>
      </c>
      <c r="B5812">
        <v>8</v>
      </c>
      <c r="C5812"/>
      <c r="D5812" t="s">
        <v>31</v>
      </c>
      <c r="E5812" t="s">
        <v>35</v>
      </c>
      <c r="F5812" t="s">
        <v>47</v>
      </c>
      <c r="G5812" s="118">
        <v>0.94266203703703699</v>
      </c>
      <c r="H5812" s="118">
        <v>8.564814814814815E-4</v>
      </c>
      <c r="I5812" s="118">
        <v>5.2083333333333333E-4</v>
      </c>
      <c r="J5812"/>
      <c r="K5812"/>
    </row>
    <row r="5813" spans="1:11" x14ac:dyDescent="0.25">
      <c r="A5813">
        <v>2</v>
      </c>
      <c r="B5813">
        <v>21</v>
      </c>
      <c r="C5813"/>
      <c r="D5813" t="s">
        <v>31</v>
      </c>
      <c r="E5813" t="s">
        <v>32</v>
      </c>
      <c r="F5813" t="s">
        <v>52</v>
      </c>
      <c r="G5813" s="118">
        <v>0.94276620370370379</v>
      </c>
      <c r="H5813" s="118">
        <v>3.4722222222222224E-4</v>
      </c>
      <c r="I5813" s="118">
        <v>1.0532407407407407E-3</v>
      </c>
      <c r="J5813" s="118">
        <v>7.0717592592592594E-3</v>
      </c>
      <c r="K5813" s="118">
        <v>7.0717592592592594E-3</v>
      </c>
    </row>
    <row r="5814" spans="1:11" x14ac:dyDescent="0.25">
      <c r="A5814">
        <v>1</v>
      </c>
      <c r="B5814">
        <v>20</v>
      </c>
      <c r="C5814"/>
      <c r="D5814" t="s">
        <v>31</v>
      </c>
      <c r="E5814" t="s">
        <v>35</v>
      </c>
      <c r="F5814" t="s">
        <v>55</v>
      </c>
      <c r="G5814" s="118">
        <v>0.94297453703703704</v>
      </c>
      <c r="H5814" s="118">
        <v>1.0069444444444444E-3</v>
      </c>
      <c r="I5814" s="118">
        <v>4.6296296296296293E-4</v>
      </c>
      <c r="J5814"/>
      <c r="K5814"/>
    </row>
    <row r="5815" spans="1:11" x14ac:dyDescent="0.25">
      <c r="A5815">
        <v>9</v>
      </c>
      <c r="B5815">
        <v>8</v>
      </c>
      <c r="C5815"/>
      <c r="D5815" t="s">
        <v>31</v>
      </c>
      <c r="E5815" t="s">
        <v>32</v>
      </c>
      <c r="F5815" t="s">
        <v>47</v>
      </c>
      <c r="G5815" s="118">
        <v>0.9431828703703703</v>
      </c>
      <c r="H5815" s="118">
        <v>5.2083333333333333E-4</v>
      </c>
      <c r="I5815" s="118">
        <v>8.7962962962962962E-4</v>
      </c>
      <c r="J5815" s="118">
        <v>7.0717592592592594E-3</v>
      </c>
      <c r="K5815" s="118">
        <v>7.0717592592592594E-3</v>
      </c>
    </row>
    <row r="5816" spans="1:11" x14ac:dyDescent="0.25">
      <c r="A5816">
        <v>5</v>
      </c>
      <c r="B5816">
        <v>21</v>
      </c>
      <c r="C5816"/>
      <c r="D5816" t="s">
        <v>31</v>
      </c>
      <c r="E5816" t="s">
        <v>35</v>
      </c>
      <c r="F5816" t="s">
        <v>36</v>
      </c>
      <c r="G5816" s="118">
        <v>0.94327546296296294</v>
      </c>
      <c r="H5816" s="118">
        <v>9.6064814814814808E-4</v>
      </c>
      <c r="I5816" s="118">
        <v>3.4722222222222224E-4</v>
      </c>
      <c r="J5816"/>
      <c r="K5816"/>
    </row>
    <row r="5817" spans="1:11" x14ac:dyDescent="0.25">
      <c r="A5817">
        <v>4</v>
      </c>
      <c r="B5817">
        <v>20</v>
      </c>
      <c r="C5817"/>
      <c r="D5817" t="s">
        <v>31</v>
      </c>
      <c r="E5817" t="s">
        <v>35</v>
      </c>
      <c r="F5817" t="s">
        <v>42</v>
      </c>
      <c r="G5817" s="118">
        <v>0.94331018518518517</v>
      </c>
      <c r="H5817" s="118">
        <v>9.0277777777777784E-4</v>
      </c>
      <c r="I5817" s="118">
        <v>3.4722222222222224E-4</v>
      </c>
      <c r="J5817"/>
      <c r="K5817"/>
    </row>
    <row r="5818" spans="1:11" x14ac:dyDescent="0.25">
      <c r="A5818">
        <v>1</v>
      </c>
      <c r="B5818">
        <v>20</v>
      </c>
      <c r="C5818"/>
      <c r="D5818" t="s">
        <v>31</v>
      </c>
      <c r="E5818" t="s">
        <v>32</v>
      </c>
      <c r="F5818" t="s">
        <v>55</v>
      </c>
      <c r="G5818" s="118">
        <v>0.94343749999999993</v>
      </c>
      <c r="H5818" s="118">
        <v>4.6296296296296293E-4</v>
      </c>
      <c r="I5818" s="118">
        <v>4.3981481481481481E-4</v>
      </c>
      <c r="J5818" s="118">
        <v>7.0717592592592594E-3</v>
      </c>
      <c r="K5818" s="118">
        <v>7.0717592592592594E-3</v>
      </c>
    </row>
    <row r="5819" spans="1:11" x14ac:dyDescent="0.25">
      <c r="A5819">
        <v>5</v>
      </c>
      <c r="B5819">
        <v>21</v>
      </c>
      <c r="C5819"/>
      <c r="D5819" t="s">
        <v>31</v>
      </c>
      <c r="E5819" t="s">
        <v>32</v>
      </c>
      <c r="F5819" t="s">
        <v>36</v>
      </c>
      <c r="G5819" s="118">
        <v>0.94362268518518511</v>
      </c>
      <c r="H5819" s="118">
        <v>3.4722222222222224E-4</v>
      </c>
      <c r="I5819" s="118">
        <v>1.0995370370370371E-3</v>
      </c>
      <c r="J5819" s="118">
        <v>7.0717592592592594E-3</v>
      </c>
      <c r="K5819" s="118">
        <v>7.0717592592592594E-3</v>
      </c>
    </row>
    <row r="5820" spans="1:11" x14ac:dyDescent="0.25">
      <c r="A5820">
        <v>4</v>
      </c>
      <c r="B5820">
        <v>20</v>
      </c>
      <c r="C5820"/>
      <c r="D5820" t="s">
        <v>31</v>
      </c>
      <c r="E5820" t="s">
        <v>32</v>
      </c>
      <c r="F5820" t="s">
        <v>42</v>
      </c>
      <c r="G5820" s="118">
        <v>0.94365740740740733</v>
      </c>
      <c r="H5820" s="118">
        <v>3.4722222222222224E-4</v>
      </c>
      <c r="I5820" s="118">
        <v>9.1435185185185185E-4</v>
      </c>
      <c r="J5820" s="118">
        <v>7.0717592592592594E-3</v>
      </c>
      <c r="K5820" s="118">
        <v>7.0717592592592594E-3</v>
      </c>
    </row>
    <row r="5821" spans="1:11" x14ac:dyDescent="0.25">
      <c r="A5821">
        <v>2</v>
      </c>
      <c r="B5821">
        <v>21</v>
      </c>
      <c r="C5821"/>
      <c r="D5821" t="s">
        <v>31</v>
      </c>
      <c r="E5821" t="s">
        <v>35</v>
      </c>
      <c r="F5821" t="s">
        <v>57</v>
      </c>
      <c r="G5821" s="118">
        <v>0.94381944444444443</v>
      </c>
      <c r="H5821" s="118">
        <v>1.0532407407407407E-3</v>
      </c>
      <c r="I5821" s="118">
        <v>3.4722222222222224E-4</v>
      </c>
      <c r="J5821"/>
      <c r="K5821"/>
    </row>
    <row r="5822" spans="1:11" x14ac:dyDescent="0.25">
      <c r="A5822">
        <v>1</v>
      </c>
      <c r="B5822">
        <v>20</v>
      </c>
      <c r="C5822"/>
      <c r="D5822" t="s">
        <v>31</v>
      </c>
      <c r="E5822" t="s">
        <v>35</v>
      </c>
      <c r="F5822" t="s">
        <v>58</v>
      </c>
      <c r="G5822" s="118">
        <v>0.94387731481481474</v>
      </c>
      <c r="H5822" s="118">
        <v>4.3981481481481481E-4</v>
      </c>
      <c r="I5822" s="118">
        <v>5.7870370370370366E-5</v>
      </c>
      <c r="J5822"/>
      <c r="K5822"/>
    </row>
    <row r="5823" spans="1:11" x14ac:dyDescent="0.25">
      <c r="A5823">
        <v>1</v>
      </c>
      <c r="B5823">
        <v>20</v>
      </c>
      <c r="C5823"/>
      <c r="D5823" t="s">
        <v>31</v>
      </c>
      <c r="E5823" t="s">
        <v>32</v>
      </c>
      <c r="F5823" t="s">
        <v>58</v>
      </c>
      <c r="G5823" s="118">
        <v>0.94393518518518515</v>
      </c>
      <c r="H5823" s="118">
        <v>5.7870370370370366E-5</v>
      </c>
      <c r="I5823" s="118">
        <v>4.8611111111111104E-4</v>
      </c>
      <c r="J5823" s="118">
        <v>7.0717592592592594E-3</v>
      </c>
      <c r="K5823" s="118">
        <v>7.0717592592592594E-3</v>
      </c>
    </row>
    <row r="5824" spans="1:11" x14ac:dyDescent="0.25">
      <c r="A5824">
        <v>9</v>
      </c>
      <c r="B5824">
        <v>8</v>
      </c>
      <c r="C5824"/>
      <c r="D5824" t="s">
        <v>31</v>
      </c>
      <c r="E5824" t="s">
        <v>35</v>
      </c>
      <c r="F5824" t="s">
        <v>53</v>
      </c>
      <c r="G5824" s="118">
        <v>0.94406249999999992</v>
      </c>
      <c r="H5824" s="118">
        <v>8.7962962962962962E-4</v>
      </c>
      <c r="I5824" s="118">
        <v>3.4722222222222224E-4</v>
      </c>
      <c r="J5824"/>
      <c r="K5824"/>
    </row>
    <row r="5825" spans="1:11" x14ac:dyDescent="0.25">
      <c r="A5825">
        <v>2</v>
      </c>
      <c r="B5825">
        <v>21</v>
      </c>
      <c r="C5825"/>
      <c r="D5825" t="s">
        <v>31</v>
      </c>
      <c r="E5825" t="s">
        <v>32</v>
      </c>
      <c r="F5825" t="s">
        <v>57</v>
      </c>
      <c r="G5825" s="118">
        <v>0.94416666666666671</v>
      </c>
      <c r="H5825" s="118">
        <v>3.4722222222222224E-4</v>
      </c>
      <c r="I5825" s="118">
        <v>9.3750000000000007E-4</v>
      </c>
      <c r="J5825" s="118">
        <v>7.0717592592592594E-3</v>
      </c>
      <c r="K5825" s="118">
        <v>7.0717592592592594E-3</v>
      </c>
    </row>
    <row r="5826" spans="1:11" x14ac:dyDescent="0.25">
      <c r="A5826">
        <v>9</v>
      </c>
      <c r="B5826">
        <v>8</v>
      </c>
      <c r="C5826"/>
      <c r="D5826" t="s">
        <v>31</v>
      </c>
      <c r="E5826" t="s">
        <v>32</v>
      </c>
      <c r="F5826" t="s">
        <v>53</v>
      </c>
      <c r="G5826" s="118">
        <v>0.94440972222222219</v>
      </c>
      <c r="H5826" s="118">
        <v>3.4722222222222224E-4</v>
      </c>
      <c r="I5826" s="118">
        <v>8.449074074074075E-4</v>
      </c>
      <c r="J5826" s="118">
        <v>7.0717592592592594E-3</v>
      </c>
      <c r="K5826" s="118">
        <v>7.0717592592592594E-3</v>
      </c>
    </row>
    <row r="5827" spans="1:11" x14ac:dyDescent="0.25">
      <c r="A5827">
        <v>1</v>
      </c>
      <c r="B5827">
        <v>20</v>
      </c>
      <c r="C5827"/>
      <c r="D5827" t="s">
        <v>31</v>
      </c>
      <c r="E5827" t="s">
        <v>35</v>
      </c>
      <c r="F5827" t="s">
        <v>40</v>
      </c>
      <c r="G5827" s="118">
        <v>0.94442129629629623</v>
      </c>
      <c r="H5827" s="118">
        <v>4.8611111111111104E-4</v>
      </c>
      <c r="I5827" s="118">
        <v>4.6296296296296293E-4</v>
      </c>
      <c r="J5827"/>
      <c r="K5827"/>
    </row>
    <row r="5828" spans="1:11" x14ac:dyDescent="0.25">
      <c r="A5828">
        <v>4</v>
      </c>
      <c r="B5828">
        <v>20</v>
      </c>
      <c r="C5828"/>
      <c r="D5828" t="s">
        <v>31</v>
      </c>
      <c r="E5828" t="s">
        <v>35</v>
      </c>
      <c r="F5828" t="s">
        <v>48</v>
      </c>
      <c r="G5828" s="118">
        <v>0.94457175925925929</v>
      </c>
      <c r="H5828" s="118">
        <v>9.1435185185185185E-4</v>
      </c>
      <c r="I5828" s="118">
        <v>5.2083333333333333E-4</v>
      </c>
      <c r="J5828"/>
      <c r="K5828"/>
    </row>
    <row r="5829" spans="1:11" x14ac:dyDescent="0.25">
      <c r="A5829">
        <v>5</v>
      </c>
      <c r="B5829">
        <v>21</v>
      </c>
      <c r="C5829"/>
      <c r="D5829" t="s">
        <v>31</v>
      </c>
      <c r="E5829" t="s">
        <v>35</v>
      </c>
      <c r="F5829" t="s">
        <v>43</v>
      </c>
      <c r="G5829" s="118">
        <v>0.94472222222222213</v>
      </c>
      <c r="H5829" s="118">
        <v>1.0995370370370371E-3</v>
      </c>
      <c r="I5829" s="118">
        <v>3.4722222222222224E-4</v>
      </c>
      <c r="J5829"/>
      <c r="K5829"/>
    </row>
    <row r="5830" spans="1:11" x14ac:dyDescent="0.25">
      <c r="A5830">
        <v>1</v>
      </c>
      <c r="B5830">
        <v>20</v>
      </c>
      <c r="C5830"/>
      <c r="D5830" t="s">
        <v>31</v>
      </c>
      <c r="E5830" t="s">
        <v>32</v>
      </c>
      <c r="F5830" t="s">
        <v>40</v>
      </c>
      <c r="G5830" s="118">
        <v>0.94488425925925934</v>
      </c>
      <c r="H5830" s="118">
        <v>4.6296296296296293E-4</v>
      </c>
      <c r="I5830" s="118">
        <v>1.0069444444444444E-3</v>
      </c>
      <c r="J5830" s="118">
        <v>7.0717592592592594E-3</v>
      </c>
      <c r="K5830" s="118">
        <v>7.0717592592592594E-3</v>
      </c>
    </row>
    <row r="5831" spans="1:11" x14ac:dyDescent="0.25">
      <c r="A5831">
        <v>5</v>
      </c>
      <c r="B5831">
        <v>21</v>
      </c>
      <c r="C5831"/>
      <c r="D5831" t="s">
        <v>31</v>
      </c>
      <c r="E5831" t="s">
        <v>32</v>
      </c>
      <c r="F5831" t="s">
        <v>43</v>
      </c>
      <c r="G5831" s="118">
        <v>0.94506944444444441</v>
      </c>
      <c r="H5831" s="118">
        <v>3.4722222222222224E-4</v>
      </c>
      <c r="I5831" s="118">
        <v>1.1458333333333333E-3</v>
      </c>
      <c r="J5831" s="118">
        <v>7.0717592592592594E-3</v>
      </c>
      <c r="K5831" s="118">
        <v>7.0717592592592594E-3</v>
      </c>
    </row>
    <row r="5832" spans="1:11" x14ac:dyDescent="0.25">
      <c r="A5832">
        <v>4</v>
      </c>
      <c r="B5832">
        <v>20</v>
      </c>
      <c r="C5832"/>
      <c r="D5832" t="s">
        <v>31</v>
      </c>
      <c r="E5832" t="s">
        <v>32</v>
      </c>
      <c r="F5832" t="s">
        <v>48</v>
      </c>
      <c r="G5832" s="118">
        <v>0.9450925925925926</v>
      </c>
      <c r="H5832" s="118">
        <v>5.2083333333333333E-4</v>
      </c>
      <c r="I5832" s="118">
        <v>8.6805555555555551E-4</v>
      </c>
      <c r="J5832" s="118">
        <v>7.0717592592592594E-3</v>
      </c>
      <c r="K5832" s="118">
        <v>7.0717592592592594E-3</v>
      </c>
    </row>
    <row r="5833" spans="1:11" x14ac:dyDescent="0.25">
      <c r="A5833">
        <v>2</v>
      </c>
      <c r="B5833">
        <v>21</v>
      </c>
      <c r="C5833"/>
      <c r="D5833" t="s">
        <v>31</v>
      </c>
      <c r="E5833" t="s">
        <v>35</v>
      </c>
      <c r="F5833" t="s">
        <v>39</v>
      </c>
      <c r="G5833" s="118">
        <v>0.94510416666666675</v>
      </c>
      <c r="H5833" s="118">
        <v>9.3750000000000007E-4</v>
      </c>
      <c r="I5833" s="118">
        <v>5.2083333333333333E-4</v>
      </c>
      <c r="J5833"/>
      <c r="K5833"/>
    </row>
    <row r="5834" spans="1:11" x14ac:dyDescent="0.25">
      <c r="A5834">
        <v>9</v>
      </c>
      <c r="B5834">
        <v>8</v>
      </c>
      <c r="C5834"/>
      <c r="D5834" t="s">
        <v>31</v>
      </c>
      <c r="E5834" t="s">
        <v>35</v>
      </c>
      <c r="F5834" t="s">
        <v>34</v>
      </c>
      <c r="G5834" s="118">
        <v>0.94525462962962958</v>
      </c>
      <c r="H5834" s="118">
        <v>8.449074074074075E-4</v>
      </c>
      <c r="I5834" s="118">
        <v>3.4722222222222224E-4</v>
      </c>
      <c r="J5834"/>
      <c r="K5834"/>
    </row>
    <row r="5835" spans="1:11" x14ac:dyDescent="0.25">
      <c r="A5835">
        <v>9</v>
      </c>
      <c r="B5835">
        <v>8</v>
      </c>
      <c r="C5835"/>
      <c r="D5835" t="s">
        <v>31</v>
      </c>
      <c r="E5835" t="s">
        <v>32</v>
      </c>
      <c r="F5835" t="s">
        <v>34</v>
      </c>
      <c r="G5835" s="118">
        <v>0.94560185185185175</v>
      </c>
      <c r="H5835" s="118">
        <v>3.4722222222222224E-4</v>
      </c>
      <c r="I5835" s="118">
        <v>9.1435185185185185E-4</v>
      </c>
      <c r="J5835" s="118">
        <v>7.0717592592592594E-3</v>
      </c>
      <c r="K5835" s="118">
        <v>7.0717592592592594E-3</v>
      </c>
    </row>
    <row r="5836" spans="1:11" x14ac:dyDescent="0.25">
      <c r="A5836">
        <v>2</v>
      </c>
      <c r="B5836">
        <v>21</v>
      </c>
      <c r="C5836"/>
      <c r="D5836" t="s">
        <v>31</v>
      </c>
      <c r="E5836" t="s">
        <v>32</v>
      </c>
      <c r="F5836" t="s">
        <v>39</v>
      </c>
      <c r="G5836" s="118">
        <v>0.94562500000000005</v>
      </c>
      <c r="H5836" s="118">
        <v>5.2083333333333333E-4</v>
      </c>
      <c r="I5836" s="118">
        <v>1.8055555555555557E-3</v>
      </c>
      <c r="J5836" s="118">
        <v>7.0717592592592594E-3</v>
      </c>
      <c r="K5836" s="118">
        <v>7.0717592592592594E-3</v>
      </c>
    </row>
    <row r="5837" spans="1:11" x14ac:dyDescent="0.25">
      <c r="A5837">
        <v>1</v>
      </c>
      <c r="B5837">
        <v>20</v>
      </c>
      <c r="C5837"/>
      <c r="D5837" t="s">
        <v>31</v>
      </c>
      <c r="E5837" t="s">
        <v>35</v>
      </c>
      <c r="F5837" t="s">
        <v>44</v>
      </c>
      <c r="G5837" s="118">
        <v>0.94589120370370372</v>
      </c>
      <c r="H5837" s="118">
        <v>1.0069444444444444E-3</v>
      </c>
      <c r="I5837" s="118">
        <v>3.4722222222222224E-4</v>
      </c>
      <c r="J5837"/>
      <c r="K5837"/>
    </row>
    <row r="5838" spans="1:11" x14ac:dyDescent="0.25">
      <c r="A5838">
        <v>4</v>
      </c>
      <c r="B5838">
        <v>20</v>
      </c>
      <c r="C5838"/>
      <c r="D5838" t="s">
        <v>31</v>
      </c>
      <c r="E5838" t="s">
        <v>35</v>
      </c>
      <c r="F5838" t="s">
        <v>54</v>
      </c>
      <c r="G5838" s="118">
        <v>0.94596064814814806</v>
      </c>
      <c r="H5838" s="118">
        <v>8.6805555555555551E-4</v>
      </c>
      <c r="I5838" s="118">
        <v>3.4722222222222224E-4</v>
      </c>
      <c r="J5838"/>
      <c r="K5838"/>
    </row>
    <row r="5839" spans="1:11" x14ac:dyDescent="0.25">
      <c r="A5839">
        <v>5</v>
      </c>
      <c r="B5839">
        <v>21</v>
      </c>
      <c r="C5839"/>
      <c r="D5839" t="s">
        <v>31</v>
      </c>
      <c r="E5839" t="s">
        <v>35</v>
      </c>
      <c r="F5839" t="s">
        <v>50</v>
      </c>
      <c r="G5839" s="118">
        <v>0.94621527777777781</v>
      </c>
      <c r="H5839" s="118">
        <v>1.1458333333333333E-3</v>
      </c>
      <c r="I5839" s="118">
        <v>3.4722222222222224E-4</v>
      </c>
      <c r="J5839"/>
      <c r="K5839"/>
    </row>
    <row r="5840" spans="1:11" x14ac:dyDescent="0.25">
      <c r="A5840">
        <v>1</v>
      </c>
      <c r="B5840">
        <v>20</v>
      </c>
      <c r="C5840"/>
      <c r="D5840" t="s">
        <v>31</v>
      </c>
      <c r="E5840" t="s">
        <v>32</v>
      </c>
      <c r="F5840" t="s">
        <v>44</v>
      </c>
      <c r="G5840" s="118">
        <v>0.94623842592592589</v>
      </c>
      <c r="H5840" s="118">
        <v>3.4722222222222224E-4</v>
      </c>
      <c r="I5840" s="118">
        <v>9.2592592592592585E-4</v>
      </c>
      <c r="J5840" s="118">
        <v>7.0717592592592594E-3</v>
      </c>
      <c r="K5840" s="118">
        <v>7.0717592592592594E-3</v>
      </c>
    </row>
    <row r="5841" spans="1:11" x14ac:dyDescent="0.25">
      <c r="A5841">
        <v>4</v>
      </c>
      <c r="B5841">
        <v>20</v>
      </c>
      <c r="C5841"/>
      <c r="D5841" t="s">
        <v>31</v>
      </c>
      <c r="E5841" t="s">
        <v>32</v>
      </c>
      <c r="F5841" t="s">
        <v>54</v>
      </c>
      <c r="G5841" s="118">
        <v>0.94630787037037034</v>
      </c>
      <c r="H5841" s="118">
        <v>3.4722222222222224E-4</v>
      </c>
      <c r="I5841" s="118">
        <v>6.9444444444444447E-4</v>
      </c>
      <c r="J5841" s="118">
        <v>7.0717592592592594E-3</v>
      </c>
      <c r="K5841" s="118">
        <v>7.0717592592592594E-3</v>
      </c>
    </row>
    <row r="5842" spans="1:11" x14ac:dyDescent="0.25">
      <c r="A5842">
        <v>9</v>
      </c>
      <c r="B5842">
        <v>8</v>
      </c>
      <c r="C5842"/>
      <c r="D5842" t="s">
        <v>31</v>
      </c>
      <c r="E5842" t="s">
        <v>35</v>
      </c>
      <c r="F5842" t="s">
        <v>38</v>
      </c>
      <c r="G5842" s="118">
        <v>0.94651620370370371</v>
      </c>
      <c r="H5842" s="118">
        <v>9.1435185185185185E-4</v>
      </c>
      <c r="I5842" s="118">
        <v>3.4722222222222224E-4</v>
      </c>
      <c r="J5842"/>
      <c r="K5842"/>
    </row>
    <row r="5843" spans="1:11" x14ac:dyDescent="0.25">
      <c r="A5843">
        <v>5</v>
      </c>
      <c r="B5843">
        <v>21</v>
      </c>
      <c r="C5843"/>
      <c r="D5843" t="s">
        <v>31</v>
      </c>
      <c r="E5843" t="s">
        <v>32</v>
      </c>
      <c r="F5843" t="s">
        <v>50</v>
      </c>
      <c r="G5843" s="118">
        <v>0.94656250000000008</v>
      </c>
      <c r="H5843" s="118">
        <v>3.4722222222222224E-4</v>
      </c>
      <c r="I5843" s="118">
        <v>1.261574074074074E-3</v>
      </c>
      <c r="J5843" s="118">
        <v>7.0717592592592594E-3</v>
      </c>
      <c r="K5843" s="118">
        <v>7.0717592592592594E-3</v>
      </c>
    </row>
    <row r="5844" spans="1:11" x14ac:dyDescent="0.25">
      <c r="A5844">
        <v>9</v>
      </c>
      <c r="B5844">
        <v>8</v>
      </c>
      <c r="C5844"/>
      <c r="D5844" t="s">
        <v>31</v>
      </c>
      <c r="E5844" t="s">
        <v>32</v>
      </c>
      <c r="F5844" t="s">
        <v>38</v>
      </c>
      <c r="G5844" s="118">
        <v>0.94686342592592598</v>
      </c>
      <c r="H5844" s="118">
        <v>3.4722222222222224E-4</v>
      </c>
      <c r="I5844" s="118">
        <v>1.2384259259259258E-3</v>
      </c>
      <c r="J5844" s="118">
        <v>7.0717592592592594E-3</v>
      </c>
      <c r="K5844" s="118">
        <v>7.0717592592592594E-3</v>
      </c>
    </row>
    <row r="5845" spans="1:11" x14ac:dyDescent="0.25">
      <c r="A5845">
        <v>4</v>
      </c>
      <c r="B5845">
        <v>20</v>
      </c>
      <c r="C5845"/>
      <c r="D5845" t="s">
        <v>31</v>
      </c>
      <c r="E5845" t="s">
        <v>35</v>
      </c>
      <c r="F5845" t="s">
        <v>92</v>
      </c>
      <c r="G5845" s="118">
        <v>0.94700231481481489</v>
      </c>
      <c r="H5845" s="118">
        <v>6.9444444444444447E-4</v>
      </c>
      <c r="I5845" s="118">
        <v>5.2083333333333333E-4</v>
      </c>
      <c r="J5845"/>
      <c r="K5845"/>
    </row>
    <row r="5846" spans="1:11" x14ac:dyDescent="0.25">
      <c r="A5846">
        <v>1</v>
      </c>
      <c r="B5846">
        <v>20</v>
      </c>
      <c r="C5846"/>
      <c r="D5846" t="s">
        <v>31</v>
      </c>
      <c r="E5846" t="s">
        <v>35</v>
      </c>
      <c r="F5846" t="s">
        <v>49</v>
      </c>
      <c r="G5846" s="118">
        <v>0.94716435185185188</v>
      </c>
      <c r="H5846" s="118">
        <v>9.2592592592592585E-4</v>
      </c>
      <c r="I5846" s="118">
        <v>3.4722222222222224E-4</v>
      </c>
      <c r="J5846"/>
      <c r="K5846"/>
    </row>
    <row r="5847" spans="1:11" x14ac:dyDescent="0.25">
      <c r="A5847">
        <v>2</v>
      </c>
      <c r="B5847">
        <v>21</v>
      </c>
      <c r="C5847"/>
      <c r="D5847" t="s">
        <v>31</v>
      </c>
      <c r="E5847" t="s">
        <v>35</v>
      </c>
      <c r="F5847" t="s">
        <v>46</v>
      </c>
      <c r="G5847" s="118">
        <v>0.94743055555555555</v>
      </c>
      <c r="H5847" s="118">
        <v>1.8055555555555557E-3</v>
      </c>
      <c r="I5847" s="118">
        <v>3.4722222222222224E-4</v>
      </c>
      <c r="J5847"/>
      <c r="K5847"/>
    </row>
    <row r="5848" spans="1:11" x14ac:dyDescent="0.25">
      <c r="A5848">
        <v>1</v>
      </c>
      <c r="B5848">
        <v>20</v>
      </c>
      <c r="C5848"/>
      <c r="D5848" t="s">
        <v>31</v>
      </c>
      <c r="E5848" t="s">
        <v>32</v>
      </c>
      <c r="F5848" t="s">
        <v>49</v>
      </c>
      <c r="G5848" s="118">
        <v>0.94751157407407405</v>
      </c>
      <c r="H5848" s="118">
        <v>3.4722222222222224E-4</v>
      </c>
      <c r="I5848" s="118">
        <v>1.3541666666666667E-3</v>
      </c>
      <c r="J5848" s="118">
        <v>7.0717592592592594E-3</v>
      </c>
      <c r="K5848" s="118">
        <v>7.0717592592592594E-3</v>
      </c>
    </row>
    <row r="5849" spans="1:11" x14ac:dyDescent="0.25">
      <c r="A5849">
        <v>4</v>
      </c>
      <c r="B5849">
        <v>21</v>
      </c>
      <c r="C5849"/>
      <c r="D5849" t="s">
        <v>31</v>
      </c>
      <c r="E5849" t="s">
        <v>32</v>
      </c>
      <c r="F5849" t="s">
        <v>92</v>
      </c>
      <c r="G5849" s="118">
        <v>0.9475231481481482</v>
      </c>
      <c r="H5849" s="118">
        <v>5.2083333333333333E-4</v>
      </c>
      <c r="I5849" s="118">
        <v>1.0069444444444444E-3</v>
      </c>
      <c r="J5849" s="118">
        <v>7.0717592592592594E-3</v>
      </c>
      <c r="K5849" s="118">
        <v>7.0717592592592594E-3</v>
      </c>
    </row>
    <row r="5850" spans="1:11" x14ac:dyDescent="0.25">
      <c r="A5850">
        <v>2</v>
      </c>
      <c r="B5850">
        <v>21</v>
      </c>
      <c r="C5850"/>
      <c r="D5850" t="s">
        <v>31</v>
      </c>
      <c r="E5850" t="s">
        <v>32</v>
      </c>
      <c r="F5850" t="s">
        <v>46</v>
      </c>
      <c r="G5850" s="118">
        <v>0.94777777777777772</v>
      </c>
      <c r="H5850" s="118">
        <v>3.4722222222222224E-4</v>
      </c>
      <c r="I5850" s="118">
        <v>9.1435185185185185E-4</v>
      </c>
      <c r="J5850" s="118">
        <v>7.0717592592592594E-3</v>
      </c>
      <c r="K5850" s="118">
        <v>7.0717592592592594E-3</v>
      </c>
    </row>
    <row r="5851" spans="1:11" x14ac:dyDescent="0.25">
      <c r="A5851">
        <v>5</v>
      </c>
      <c r="B5851">
        <v>21</v>
      </c>
      <c r="C5851"/>
      <c r="D5851" t="s">
        <v>31</v>
      </c>
      <c r="E5851" t="s">
        <v>35</v>
      </c>
      <c r="F5851" t="s">
        <v>56</v>
      </c>
      <c r="G5851" s="118">
        <v>0.9478240740740741</v>
      </c>
      <c r="H5851" s="118">
        <v>1.261574074074074E-3</v>
      </c>
      <c r="I5851" s="118">
        <v>3.4722222222222224E-4</v>
      </c>
      <c r="J5851"/>
      <c r="K5851"/>
    </row>
    <row r="5852" spans="1:11" x14ac:dyDescent="0.25">
      <c r="A5852">
        <v>9</v>
      </c>
      <c r="B5852">
        <v>8</v>
      </c>
      <c r="C5852"/>
      <c r="D5852" t="s">
        <v>31</v>
      </c>
      <c r="E5852" t="s">
        <v>35</v>
      </c>
      <c r="F5852" t="s">
        <v>45</v>
      </c>
      <c r="G5852" s="118">
        <v>0.94810185185185192</v>
      </c>
      <c r="H5852" s="118">
        <v>1.2384259259259258E-3</v>
      </c>
      <c r="I5852" s="118">
        <v>3.4722222222222224E-4</v>
      </c>
      <c r="J5852"/>
      <c r="K5852"/>
    </row>
    <row r="5853" spans="1:11" x14ac:dyDescent="0.25">
      <c r="A5853">
        <v>5</v>
      </c>
      <c r="B5853">
        <v>21</v>
      </c>
      <c r="C5853"/>
      <c r="D5853" t="s">
        <v>31</v>
      </c>
      <c r="E5853" t="s">
        <v>32</v>
      </c>
      <c r="F5853" t="s">
        <v>56</v>
      </c>
      <c r="G5853" s="118">
        <v>0.94817129629629626</v>
      </c>
      <c r="H5853" s="118">
        <v>3.4722222222222224E-4</v>
      </c>
      <c r="I5853" s="118">
        <v>9.6064814814814808E-4</v>
      </c>
      <c r="J5853" s="118">
        <v>7.0717592592592594E-3</v>
      </c>
      <c r="K5853" s="118">
        <v>7.0717592592592594E-3</v>
      </c>
    </row>
    <row r="5854" spans="1:11" x14ac:dyDescent="0.25">
      <c r="A5854">
        <v>9</v>
      </c>
      <c r="B5854">
        <v>8</v>
      </c>
      <c r="C5854"/>
      <c r="D5854" t="s">
        <v>31</v>
      </c>
      <c r="E5854" t="s">
        <v>32</v>
      </c>
      <c r="F5854" t="s">
        <v>45</v>
      </c>
      <c r="G5854" s="118">
        <v>0.94844907407407408</v>
      </c>
      <c r="H5854" s="118">
        <v>3.4722222222222224E-4</v>
      </c>
      <c r="I5854" s="118">
        <v>1.0416666666666667E-3</v>
      </c>
      <c r="J5854" s="118">
        <v>7.0717592592592594E-3</v>
      </c>
      <c r="K5854" s="118">
        <v>7.0717592592592594E-3</v>
      </c>
    </row>
    <row r="5855" spans="1:11" x14ac:dyDescent="0.25">
      <c r="A5855">
        <v>4</v>
      </c>
      <c r="B5855">
        <v>21</v>
      </c>
      <c r="C5855"/>
      <c r="D5855" t="s">
        <v>31</v>
      </c>
      <c r="E5855" t="s">
        <v>35</v>
      </c>
      <c r="F5855" t="s">
        <v>41</v>
      </c>
      <c r="G5855" s="118">
        <v>0.94853009259259258</v>
      </c>
      <c r="H5855" s="118">
        <v>1.0069444444444444E-3</v>
      </c>
      <c r="I5855" s="118">
        <v>3.4722222222222224E-4</v>
      </c>
      <c r="J5855"/>
      <c r="K5855"/>
    </row>
    <row r="5856" spans="1:11" x14ac:dyDescent="0.25">
      <c r="A5856">
        <v>2</v>
      </c>
      <c r="B5856">
        <v>21</v>
      </c>
      <c r="C5856"/>
      <c r="D5856" t="s">
        <v>31</v>
      </c>
      <c r="E5856" t="s">
        <v>35</v>
      </c>
      <c r="F5856" t="s">
        <v>51</v>
      </c>
      <c r="G5856" s="118">
        <v>0.94869212962962957</v>
      </c>
      <c r="H5856" s="118">
        <v>9.1435185185185185E-4</v>
      </c>
      <c r="I5856" s="118">
        <v>3.4722222222222224E-4</v>
      </c>
      <c r="J5856"/>
      <c r="K5856"/>
    </row>
    <row r="5857" spans="1:11" x14ac:dyDescent="0.25">
      <c r="A5857">
        <v>1</v>
      </c>
      <c r="B5857">
        <v>20</v>
      </c>
      <c r="C5857"/>
      <c r="D5857" t="s">
        <v>31</v>
      </c>
      <c r="E5857" t="s">
        <v>35</v>
      </c>
      <c r="F5857" t="s">
        <v>33</v>
      </c>
      <c r="G5857" s="118">
        <v>0.9488657407407407</v>
      </c>
      <c r="H5857" s="118">
        <v>1.3541666666666667E-3</v>
      </c>
      <c r="I5857" s="118">
        <v>5.2083333333333333E-4</v>
      </c>
      <c r="J5857"/>
      <c r="K5857"/>
    </row>
    <row r="5858" spans="1:11" x14ac:dyDescent="0.25">
      <c r="A5858">
        <v>4</v>
      </c>
      <c r="B5858">
        <v>21</v>
      </c>
      <c r="C5858"/>
      <c r="D5858" t="s">
        <v>31</v>
      </c>
      <c r="E5858" t="s">
        <v>32</v>
      </c>
      <c r="F5858" t="s">
        <v>41</v>
      </c>
      <c r="G5858" s="118">
        <v>0.94887731481481474</v>
      </c>
      <c r="H5858" s="118">
        <v>3.4722222222222224E-4</v>
      </c>
      <c r="I5858" s="118">
        <v>8.564814814814815E-4</v>
      </c>
      <c r="J5858" s="118">
        <v>7.0717592592592594E-3</v>
      </c>
      <c r="K5858" s="118">
        <v>7.0717592592592594E-3</v>
      </c>
    </row>
    <row r="5859" spans="1:11" x14ac:dyDescent="0.25">
      <c r="A5859">
        <v>2</v>
      </c>
      <c r="B5859">
        <v>21</v>
      </c>
      <c r="C5859"/>
      <c r="D5859" t="s">
        <v>31</v>
      </c>
      <c r="E5859" t="s">
        <v>32</v>
      </c>
      <c r="F5859" t="s">
        <v>51</v>
      </c>
      <c r="G5859" s="118">
        <v>0.94903935185185195</v>
      </c>
      <c r="H5859" s="118">
        <v>3.4722222222222224E-4</v>
      </c>
      <c r="I5859" s="118">
        <v>1.0069444444444444E-3</v>
      </c>
      <c r="J5859" s="118">
        <v>7.0717592592592594E-3</v>
      </c>
      <c r="K5859" s="118">
        <v>7.0717592592592594E-3</v>
      </c>
    </row>
    <row r="5860" spans="1:11" x14ac:dyDescent="0.25">
      <c r="A5860">
        <v>5</v>
      </c>
      <c r="B5860">
        <v>21</v>
      </c>
      <c r="C5860"/>
      <c r="D5860" t="s">
        <v>31</v>
      </c>
      <c r="E5860" t="s">
        <v>35</v>
      </c>
      <c r="F5860" t="s">
        <v>37</v>
      </c>
      <c r="G5860" s="118">
        <v>0.94913194444444438</v>
      </c>
      <c r="H5860" s="118">
        <v>9.6064814814814808E-4</v>
      </c>
      <c r="I5860" s="118">
        <v>3.4722222222222224E-4</v>
      </c>
      <c r="J5860"/>
      <c r="K5860"/>
    </row>
    <row r="5861" spans="1:11" x14ac:dyDescent="0.25">
      <c r="A5861">
        <v>1</v>
      </c>
      <c r="B5861">
        <v>20</v>
      </c>
      <c r="C5861"/>
      <c r="D5861" t="s">
        <v>31</v>
      </c>
      <c r="E5861" t="s">
        <v>32</v>
      </c>
      <c r="F5861" t="s">
        <v>33</v>
      </c>
      <c r="G5861" s="118">
        <v>0.94938657407407412</v>
      </c>
      <c r="H5861" s="118">
        <v>5.2083333333333333E-4</v>
      </c>
      <c r="I5861" s="118">
        <v>9.6064814814814808E-4</v>
      </c>
      <c r="J5861" s="118">
        <v>7.0717592592592594E-3</v>
      </c>
      <c r="K5861" s="118">
        <v>7.0717592592592594E-3</v>
      </c>
    </row>
    <row r="5862" spans="1:11" x14ac:dyDescent="0.25">
      <c r="A5862">
        <v>5</v>
      </c>
      <c r="B5862">
        <v>21</v>
      </c>
      <c r="C5862"/>
      <c r="D5862" t="s">
        <v>31</v>
      </c>
      <c r="E5862" t="s">
        <v>32</v>
      </c>
      <c r="F5862" t="s">
        <v>37</v>
      </c>
      <c r="G5862" s="118">
        <v>0.94947916666666676</v>
      </c>
      <c r="H5862" s="118">
        <v>3.4722222222222224E-4</v>
      </c>
      <c r="I5862" s="118">
        <v>9.0277777777777784E-4</v>
      </c>
      <c r="J5862" s="118">
        <v>7.0717592592592594E-3</v>
      </c>
      <c r="K5862" s="118">
        <v>7.0717592592592594E-3</v>
      </c>
    </row>
    <row r="5863" spans="1:11" x14ac:dyDescent="0.25">
      <c r="A5863">
        <v>9</v>
      </c>
      <c r="B5863">
        <v>8</v>
      </c>
      <c r="C5863"/>
      <c r="D5863" t="s">
        <v>31</v>
      </c>
      <c r="E5863" t="s">
        <v>35</v>
      </c>
      <c r="F5863" t="s">
        <v>52</v>
      </c>
      <c r="G5863" s="118">
        <v>0.94949074074074069</v>
      </c>
      <c r="H5863" s="118">
        <v>1.0416666666666667E-3</v>
      </c>
      <c r="I5863" s="118">
        <v>3.4722222222222224E-4</v>
      </c>
      <c r="J5863"/>
      <c r="K5863"/>
    </row>
    <row r="5864" spans="1:11" x14ac:dyDescent="0.25">
      <c r="A5864">
        <v>4</v>
      </c>
      <c r="B5864">
        <v>21</v>
      </c>
      <c r="C5864"/>
      <c r="D5864" t="s">
        <v>31</v>
      </c>
      <c r="E5864" t="s">
        <v>35</v>
      </c>
      <c r="F5864" t="s">
        <v>47</v>
      </c>
      <c r="G5864" s="118">
        <v>0.94973379629629628</v>
      </c>
      <c r="H5864" s="118">
        <v>8.564814814814815E-4</v>
      </c>
      <c r="I5864" s="118">
        <v>5.2083333333333333E-4</v>
      </c>
      <c r="J5864"/>
      <c r="K5864"/>
    </row>
    <row r="5865" spans="1:11" x14ac:dyDescent="0.25">
      <c r="A5865">
        <v>9</v>
      </c>
      <c r="B5865">
        <v>8</v>
      </c>
      <c r="C5865"/>
      <c r="D5865" t="s">
        <v>31</v>
      </c>
      <c r="E5865" t="s">
        <v>32</v>
      </c>
      <c r="F5865" t="s">
        <v>52</v>
      </c>
      <c r="G5865" s="118">
        <v>0.94983796296296286</v>
      </c>
      <c r="H5865" s="118">
        <v>3.4722222222222224E-4</v>
      </c>
      <c r="I5865" s="118">
        <v>1.0532407407407407E-3</v>
      </c>
      <c r="J5865" s="118">
        <v>7.0717592592592594E-3</v>
      </c>
      <c r="K5865" s="118">
        <v>7.0717592592592594E-3</v>
      </c>
    </row>
    <row r="5866" spans="1:11" x14ac:dyDescent="0.25">
      <c r="A5866">
        <v>2</v>
      </c>
      <c r="B5866">
        <v>21</v>
      </c>
      <c r="C5866"/>
      <c r="D5866" t="s">
        <v>31</v>
      </c>
      <c r="E5866" t="s">
        <v>35</v>
      </c>
      <c r="F5866" t="s">
        <v>55</v>
      </c>
      <c r="G5866" s="118">
        <v>0.95004629629629633</v>
      </c>
      <c r="H5866" s="118">
        <v>1.0069444444444444E-3</v>
      </c>
      <c r="I5866" s="118">
        <v>4.6296296296296293E-4</v>
      </c>
      <c r="J5866"/>
      <c r="K5866"/>
    </row>
    <row r="5867" spans="1:11" x14ac:dyDescent="0.25">
      <c r="A5867">
        <v>4</v>
      </c>
      <c r="B5867">
        <v>21</v>
      </c>
      <c r="C5867"/>
      <c r="D5867" t="s">
        <v>31</v>
      </c>
      <c r="E5867" t="s">
        <v>32</v>
      </c>
      <c r="F5867" t="s">
        <v>47</v>
      </c>
      <c r="G5867" s="118">
        <v>0.95025462962962959</v>
      </c>
      <c r="H5867" s="118">
        <v>5.2083333333333333E-4</v>
      </c>
      <c r="I5867" s="118">
        <v>8.7962962962962962E-4</v>
      </c>
      <c r="J5867" s="118">
        <v>7.0717592592592594E-3</v>
      </c>
      <c r="K5867" s="118">
        <v>7.0717592592592594E-3</v>
      </c>
    </row>
    <row r="5868" spans="1:11" x14ac:dyDescent="0.25">
      <c r="A5868">
        <v>1</v>
      </c>
      <c r="B5868">
        <v>20</v>
      </c>
      <c r="C5868"/>
      <c r="D5868" t="s">
        <v>31</v>
      </c>
      <c r="E5868" t="s">
        <v>35</v>
      </c>
      <c r="F5868" t="s">
        <v>36</v>
      </c>
      <c r="G5868" s="118">
        <v>0.95034722222222223</v>
      </c>
      <c r="H5868" s="118">
        <v>9.6064814814814808E-4</v>
      </c>
      <c r="I5868" s="118">
        <v>3.4722222222222224E-4</v>
      </c>
      <c r="J5868"/>
      <c r="K5868"/>
    </row>
    <row r="5869" spans="1:11" x14ac:dyDescent="0.25">
      <c r="A5869">
        <v>5</v>
      </c>
      <c r="B5869">
        <v>21</v>
      </c>
      <c r="C5869"/>
      <c r="D5869" t="s">
        <v>31</v>
      </c>
      <c r="E5869" t="s">
        <v>35</v>
      </c>
      <c r="F5869" t="s">
        <v>42</v>
      </c>
      <c r="G5869" s="118">
        <v>0.95038194444444446</v>
      </c>
      <c r="H5869" s="118">
        <v>9.0277777777777784E-4</v>
      </c>
      <c r="I5869" s="118">
        <v>3.4722222222222224E-4</v>
      </c>
      <c r="J5869"/>
      <c r="K5869"/>
    </row>
    <row r="5870" spans="1:11" x14ac:dyDescent="0.25">
      <c r="A5870">
        <v>2</v>
      </c>
      <c r="B5870">
        <v>21</v>
      </c>
      <c r="C5870"/>
      <c r="D5870" t="s">
        <v>31</v>
      </c>
      <c r="E5870" t="s">
        <v>32</v>
      </c>
      <c r="F5870" t="s">
        <v>55</v>
      </c>
      <c r="G5870" s="118">
        <v>0.95050925925925922</v>
      </c>
      <c r="H5870" s="118">
        <v>4.6296296296296293E-4</v>
      </c>
      <c r="I5870" s="118">
        <v>4.3981481481481481E-4</v>
      </c>
      <c r="J5870" s="118">
        <v>7.0717592592592594E-3</v>
      </c>
      <c r="K5870" s="118">
        <v>7.0717592592592594E-3</v>
      </c>
    </row>
    <row r="5871" spans="1:11" x14ac:dyDescent="0.25">
      <c r="A5871">
        <v>1</v>
      </c>
      <c r="B5871">
        <v>20</v>
      </c>
      <c r="C5871"/>
      <c r="D5871" t="s">
        <v>31</v>
      </c>
      <c r="E5871" t="s">
        <v>32</v>
      </c>
      <c r="F5871" t="s">
        <v>36</v>
      </c>
      <c r="G5871" s="118">
        <v>0.9506944444444444</v>
      </c>
      <c r="H5871" s="118">
        <v>3.4722222222222224E-4</v>
      </c>
      <c r="I5871" s="118">
        <v>1.0995370370370371E-3</v>
      </c>
      <c r="J5871" s="118">
        <v>7.0717592592592594E-3</v>
      </c>
      <c r="K5871" s="118">
        <v>7.0717592592592594E-3</v>
      </c>
    </row>
    <row r="5872" spans="1:11" x14ac:dyDescent="0.25">
      <c r="A5872">
        <v>5</v>
      </c>
      <c r="B5872">
        <v>21</v>
      </c>
      <c r="C5872"/>
      <c r="D5872" t="s">
        <v>31</v>
      </c>
      <c r="E5872" t="s">
        <v>32</v>
      </c>
      <c r="F5872" t="s">
        <v>42</v>
      </c>
      <c r="G5872" s="118">
        <v>0.95072916666666663</v>
      </c>
      <c r="H5872" s="118">
        <v>3.4722222222222224E-4</v>
      </c>
      <c r="I5872" s="118">
        <v>9.1435185185185185E-4</v>
      </c>
      <c r="J5872" s="118">
        <v>7.0717592592592594E-3</v>
      </c>
      <c r="K5872" s="118">
        <v>7.0717592592592594E-3</v>
      </c>
    </row>
    <row r="5873" spans="1:11" x14ac:dyDescent="0.25">
      <c r="A5873">
        <v>9</v>
      </c>
      <c r="B5873">
        <v>8</v>
      </c>
      <c r="C5873"/>
      <c r="D5873" t="s">
        <v>31</v>
      </c>
      <c r="E5873" t="s">
        <v>35</v>
      </c>
      <c r="F5873" t="s">
        <v>57</v>
      </c>
      <c r="G5873" s="118">
        <v>0.95089120370370372</v>
      </c>
      <c r="H5873" s="118">
        <v>1.0532407407407407E-3</v>
      </c>
      <c r="I5873" s="118">
        <v>3.4722222222222224E-4</v>
      </c>
      <c r="J5873"/>
      <c r="K5873"/>
    </row>
    <row r="5874" spans="1:11" x14ac:dyDescent="0.25">
      <c r="A5874">
        <v>2</v>
      </c>
      <c r="B5874">
        <v>21</v>
      </c>
      <c r="C5874"/>
      <c r="D5874" t="s">
        <v>31</v>
      </c>
      <c r="E5874" t="s">
        <v>35</v>
      </c>
      <c r="F5874" t="s">
        <v>58</v>
      </c>
      <c r="G5874" s="118">
        <v>0.95094907407407403</v>
      </c>
      <c r="H5874" s="118">
        <v>4.3981481481481481E-4</v>
      </c>
      <c r="I5874" s="118">
        <v>5.7870370370370366E-5</v>
      </c>
      <c r="J5874"/>
      <c r="K5874"/>
    </row>
    <row r="5875" spans="1:11" x14ac:dyDescent="0.25">
      <c r="A5875">
        <v>2</v>
      </c>
      <c r="B5875">
        <v>21</v>
      </c>
      <c r="C5875"/>
      <c r="D5875" t="s">
        <v>31</v>
      </c>
      <c r="E5875" t="s">
        <v>32</v>
      </c>
      <c r="F5875" t="s">
        <v>58</v>
      </c>
      <c r="G5875" s="118">
        <v>0.95100694444444445</v>
      </c>
      <c r="H5875" s="118">
        <v>5.7870370370370366E-5</v>
      </c>
      <c r="I5875" s="118">
        <v>4.8611111111111104E-4</v>
      </c>
      <c r="J5875" s="118">
        <v>7.0717592592592594E-3</v>
      </c>
      <c r="K5875" s="118">
        <v>7.0717592592592594E-3</v>
      </c>
    </row>
    <row r="5876" spans="1:11" x14ac:dyDescent="0.25">
      <c r="A5876">
        <v>4</v>
      </c>
      <c r="B5876">
        <v>21</v>
      </c>
      <c r="C5876"/>
      <c r="D5876" t="s">
        <v>31</v>
      </c>
      <c r="E5876" t="s">
        <v>35</v>
      </c>
      <c r="F5876" t="s">
        <v>53</v>
      </c>
      <c r="G5876" s="118">
        <v>0.95113425925925921</v>
      </c>
      <c r="H5876" s="118">
        <v>8.7962962962962962E-4</v>
      </c>
      <c r="I5876" s="118">
        <v>3.4722222222222224E-4</v>
      </c>
      <c r="J5876"/>
      <c r="K5876"/>
    </row>
    <row r="5877" spans="1:11" x14ac:dyDescent="0.25">
      <c r="A5877">
        <v>9</v>
      </c>
      <c r="B5877">
        <v>8</v>
      </c>
      <c r="C5877"/>
      <c r="D5877" t="s">
        <v>31</v>
      </c>
      <c r="E5877" t="s">
        <v>32</v>
      </c>
      <c r="F5877" t="s">
        <v>57</v>
      </c>
      <c r="G5877" s="118">
        <v>0.951238425925926</v>
      </c>
      <c r="H5877" s="118">
        <v>3.4722222222222224E-4</v>
      </c>
      <c r="I5877" s="118">
        <v>9.3750000000000007E-4</v>
      </c>
      <c r="J5877" s="118">
        <v>7.0717592592592594E-3</v>
      </c>
      <c r="K5877" s="118">
        <v>7.0717592592592594E-3</v>
      </c>
    </row>
    <row r="5878" spans="1:11" x14ac:dyDescent="0.25">
      <c r="A5878">
        <v>4</v>
      </c>
      <c r="B5878">
        <v>21</v>
      </c>
      <c r="C5878"/>
      <c r="D5878" t="s">
        <v>31</v>
      </c>
      <c r="E5878" t="s">
        <v>32</v>
      </c>
      <c r="F5878" t="s">
        <v>53</v>
      </c>
      <c r="G5878" s="118">
        <v>0.95148148148148148</v>
      </c>
      <c r="H5878" s="118">
        <v>3.4722222222222224E-4</v>
      </c>
      <c r="I5878" s="118">
        <v>8.449074074074075E-4</v>
      </c>
      <c r="J5878" s="118">
        <v>7.0717592592592594E-3</v>
      </c>
      <c r="K5878" s="118">
        <v>7.0717592592592594E-3</v>
      </c>
    </row>
    <row r="5879" spans="1:11" x14ac:dyDescent="0.25">
      <c r="A5879">
        <v>2</v>
      </c>
      <c r="B5879">
        <v>21</v>
      </c>
      <c r="C5879"/>
      <c r="D5879" t="s">
        <v>31</v>
      </c>
      <c r="E5879" t="s">
        <v>35</v>
      </c>
      <c r="F5879" t="s">
        <v>40</v>
      </c>
      <c r="G5879" s="118">
        <v>0.95149305555555552</v>
      </c>
      <c r="H5879" s="118">
        <v>4.8611111111111104E-4</v>
      </c>
      <c r="I5879" s="118">
        <v>4.6296296296296293E-4</v>
      </c>
      <c r="J5879"/>
      <c r="K5879"/>
    </row>
    <row r="5880" spans="1:11" x14ac:dyDescent="0.25">
      <c r="A5880">
        <v>5</v>
      </c>
      <c r="B5880">
        <v>21</v>
      </c>
      <c r="C5880"/>
      <c r="D5880" t="s">
        <v>31</v>
      </c>
      <c r="E5880" t="s">
        <v>35</v>
      </c>
      <c r="F5880" t="s">
        <v>48</v>
      </c>
      <c r="G5880" s="118">
        <v>0.95164351851851858</v>
      </c>
      <c r="H5880" s="118">
        <v>9.1435185185185185E-4</v>
      </c>
      <c r="I5880" s="118">
        <v>5.2083333333333333E-4</v>
      </c>
      <c r="J5880"/>
      <c r="K5880"/>
    </row>
    <row r="5881" spans="1:11" x14ac:dyDescent="0.25">
      <c r="A5881">
        <v>1</v>
      </c>
      <c r="B5881">
        <v>20</v>
      </c>
      <c r="C5881"/>
      <c r="D5881" t="s">
        <v>31</v>
      </c>
      <c r="E5881" t="s">
        <v>35</v>
      </c>
      <c r="F5881" t="s">
        <v>43</v>
      </c>
      <c r="G5881" s="118">
        <v>0.95179398148148142</v>
      </c>
      <c r="H5881" s="118">
        <v>1.0995370370370371E-3</v>
      </c>
      <c r="I5881" s="118">
        <v>3.4722222222222224E-4</v>
      </c>
      <c r="J5881"/>
      <c r="K5881"/>
    </row>
    <row r="5882" spans="1:11" x14ac:dyDescent="0.25">
      <c r="A5882">
        <v>2</v>
      </c>
      <c r="B5882">
        <v>21</v>
      </c>
      <c r="C5882"/>
      <c r="D5882" t="s">
        <v>31</v>
      </c>
      <c r="E5882" t="s">
        <v>32</v>
      </c>
      <c r="F5882" t="s">
        <v>40</v>
      </c>
      <c r="G5882" s="118">
        <v>0.95195601851851863</v>
      </c>
      <c r="H5882" s="118">
        <v>4.6296296296296293E-4</v>
      </c>
      <c r="I5882" s="118">
        <v>1.0069444444444444E-3</v>
      </c>
      <c r="J5882" s="118">
        <v>7.0717592592592594E-3</v>
      </c>
      <c r="K5882" s="118">
        <v>7.0717592592592594E-3</v>
      </c>
    </row>
    <row r="5883" spans="1:11" x14ac:dyDescent="0.25">
      <c r="A5883">
        <v>1</v>
      </c>
      <c r="B5883">
        <v>20</v>
      </c>
      <c r="C5883"/>
      <c r="D5883" t="s">
        <v>31</v>
      </c>
      <c r="E5883" t="s">
        <v>32</v>
      </c>
      <c r="F5883" t="s">
        <v>43</v>
      </c>
      <c r="G5883" s="118">
        <v>0.9521412037037037</v>
      </c>
      <c r="H5883" s="118">
        <v>3.4722222222222224E-4</v>
      </c>
      <c r="I5883" s="118">
        <v>1.1458333333333333E-3</v>
      </c>
      <c r="J5883" s="118">
        <v>7.0717592592592594E-3</v>
      </c>
      <c r="K5883" s="118">
        <v>7.0717592592592594E-3</v>
      </c>
    </row>
    <row r="5884" spans="1:11" x14ac:dyDescent="0.25">
      <c r="A5884">
        <v>5</v>
      </c>
      <c r="B5884">
        <v>21</v>
      </c>
      <c r="C5884"/>
      <c r="D5884" t="s">
        <v>31</v>
      </c>
      <c r="E5884" t="s">
        <v>32</v>
      </c>
      <c r="F5884" t="s">
        <v>48</v>
      </c>
      <c r="G5884" s="118">
        <v>0.95216435185185189</v>
      </c>
      <c r="H5884" s="118">
        <v>5.2083333333333333E-4</v>
      </c>
      <c r="I5884" s="118">
        <v>8.6805555555555551E-4</v>
      </c>
      <c r="J5884" s="118">
        <v>7.0717592592592594E-3</v>
      </c>
      <c r="K5884" s="118">
        <v>7.0717592592592594E-3</v>
      </c>
    </row>
    <row r="5885" spans="1:11" x14ac:dyDescent="0.25">
      <c r="A5885">
        <v>9</v>
      </c>
      <c r="B5885">
        <v>8</v>
      </c>
      <c r="C5885"/>
      <c r="D5885" t="s">
        <v>31</v>
      </c>
      <c r="E5885" t="s">
        <v>35</v>
      </c>
      <c r="F5885" t="s">
        <v>39</v>
      </c>
      <c r="G5885" s="118">
        <v>0.95217592592592604</v>
      </c>
      <c r="H5885" s="118">
        <v>9.3750000000000007E-4</v>
      </c>
      <c r="I5885" s="118">
        <v>5.2083333333333333E-4</v>
      </c>
      <c r="J5885"/>
      <c r="K5885"/>
    </row>
    <row r="5886" spans="1:11" x14ac:dyDescent="0.25">
      <c r="A5886">
        <v>4</v>
      </c>
      <c r="B5886">
        <v>21</v>
      </c>
      <c r="C5886"/>
      <c r="D5886" t="s">
        <v>31</v>
      </c>
      <c r="E5886" t="s">
        <v>35</v>
      </c>
      <c r="F5886" t="s">
        <v>34</v>
      </c>
      <c r="G5886" s="118">
        <v>0.95232638888888888</v>
      </c>
      <c r="H5886" s="118">
        <v>8.449074074074075E-4</v>
      </c>
      <c r="I5886" s="118">
        <v>3.4722222222222224E-4</v>
      </c>
      <c r="J5886"/>
      <c r="K5886"/>
    </row>
    <row r="5887" spans="1:11" x14ac:dyDescent="0.25">
      <c r="A5887">
        <v>4</v>
      </c>
      <c r="B5887">
        <v>21</v>
      </c>
      <c r="C5887"/>
      <c r="D5887" t="s">
        <v>31</v>
      </c>
      <c r="E5887" t="s">
        <v>32</v>
      </c>
      <c r="F5887" t="s">
        <v>34</v>
      </c>
      <c r="G5887" s="118">
        <v>0.95267361111111104</v>
      </c>
      <c r="H5887" s="118">
        <v>3.4722222222222224E-4</v>
      </c>
      <c r="I5887" s="118">
        <v>9.1435185185185185E-4</v>
      </c>
      <c r="J5887" s="118">
        <v>7.0717592592592594E-3</v>
      </c>
      <c r="K5887" s="118">
        <v>7.0717592592592594E-3</v>
      </c>
    </row>
    <row r="5888" spans="1:11" x14ac:dyDescent="0.25">
      <c r="A5888">
        <v>9</v>
      </c>
      <c r="B5888">
        <v>8</v>
      </c>
      <c r="C5888"/>
      <c r="D5888" t="s">
        <v>31</v>
      </c>
      <c r="E5888" t="s">
        <v>32</v>
      </c>
      <c r="F5888" t="s">
        <v>39</v>
      </c>
      <c r="G5888" s="118">
        <v>0.95269675925925934</v>
      </c>
      <c r="H5888" s="118">
        <v>5.2083333333333333E-4</v>
      </c>
      <c r="I5888" s="118">
        <v>1.8055555555555557E-3</v>
      </c>
      <c r="J5888" s="118">
        <v>7.0717592592592594E-3</v>
      </c>
      <c r="K5888" s="118">
        <v>7.0717592592592594E-3</v>
      </c>
    </row>
    <row r="5889" spans="1:11" x14ac:dyDescent="0.25">
      <c r="A5889">
        <v>2</v>
      </c>
      <c r="B5889">
        <v>21</v>
      </c>
      <c r="C5889"/>
      <c r="D5889" t="s">
        <v>31</v>
      </c>
      <c r="E5889" t="s">
        <v>35</v>
      </c>
      <c r="F5889" t="s">
        <v>44</v>
      </c>
      <c r="G5889" s="118">
        <v>0.95296296296296301</v>
      </c>
      <c r="H5889" s="118">
        <v>1.0069444444444444E-3</v>
      </c>
      <c r="I5889" s="118">
        <v>3.4722222222222224E-4</v>
      </c>
      <c r="J5889"/>
      <c r="K5889"/>
    </row>
    <row r="5890" spans="1:11" x14ac:dyDescent="0.25">
      <c r="A5890">
        <v>5</v>
      </c>
      <c r="B5890">
        <v>21</v>
      </c>
      <c r="C5890"/>
      <c r="D5890" t="s">
        <v>31</v>
      </c>
      <c r="E5890" t="s">
        <v>35</v>
      </c>
      <c r="F5890" t="s">
        <v>54</v>
      </c>
      <c r="G5890" s="118">
        <v>0.95303240740740736</v>
      </c>
      <c r="H5890" s="118">
        <v>8.6805555555555551E-4</v>
      </c>
      <c r="I5890" s="118">
        <v>3.4722222222222224E-4</v>
      </c>
      <c r="J5890"/>
      <c r="K5890"/>
    </row>
    <row r="5891" spans="1:11" x14ac:dyDescent="0.25">
      <c r="A5891">
        <v>1</v>
      </c>
      <c r="B5891">
        <v>20</v>
      </c>
      <c r="C5891"/>
      <c r="D5891" t="s">
        <v>31</v>
      </c>
      <c r="E5891" t="s">
        <v>35</v>
      </c>
      <c r="F5891" t="s">
        <v>50</v>
      </c>
      <c r="G5891" s="118">
        <v>0.95328703703703699</v>
      </c>
      <c r="H5891" s="118">
        <v>1.1458333333333333E-3</v>
      </c>
      <c r="I5891" s="118">
        <v>3.4722222222222224E-4</v>
      </c>
      <c r="J5891"/>
      <c r="K5891"/>
    </row>
    <row r="5892" spans="1:11" x14ac:dyDescent="0.25">
      <c r="A5892">
        <v>2</v>
      </c>
      <c r="B5892">
        <v>21</v>
      </c>
      <c r="C5892"/>
      <c r="D5892" t="s">
        <v>31</v>
      </c>
      <c r="E5892" t="s">
        <v>32</v>
      </c>
      <c r="F5892" t="s">
        <v>44</v>
      </c>
      <c r="G5892" s="118">
        <v>0.95331018518518518</v>
      </c>
      <c r="H5892" s="118">
        <v>3.4722222222222224E-4</v>
      </c>
      <c r="I5892" s="118">
        <v>9.2592592592592585E-4</v>
      </c>
      <c r="J5892" s="118">
        <v>7.0717592592592594E-3</v>
      </c>
      <c r="K5892" s="118">
        <v>7.0717592592592594E-3</v>
      </c>
    </row>
    <row r="5893" spans="1:11" x14ac:dyDescent="0.25">
      <c r="A5893">
        <v>5</v>
      </c>
      <c r="B5893">
        <v>21</v>
      </c>
      <c r="C5893"/>
      <c r="D5893" t="s">
        <v>31</v>
      </c>
      <c r="E5893" t="s">
        <v>32</v>
      </c>
      <c r="F5893" t="s">
        <v>54</v>
      </c>
      <c r="G5893" s="118">
        <v>0.95337962962962963</v>
      </c>
      <c r="H5893" s="118">
        <v>3.4722222222222224E-4</v>
      </c>
      <c r="I5893" s="118">
        <v>6.9444444444444447E-4</v>
      </c>
      <c r="J5893" s="118">
        <v>7.0717592592592594E-3</v>
      </c>
      <c r="K5893" s="118">
        <v>7.0717592592592594E-3</v>
      </c>
    </row>
    <row r="5894" spans="1:11" x14ac:dyDescent="0.25">
      <c r="A5894">
        <v>4</v>
      </c>
      <c r="B5894">
        <v>21</v>
      </c>
      <c r="C5894"/>
      <c r="D5894" t="s">
        <v>31</v>
      </c>
      <c r="E5894" t="s">
        <v>35</v>
      </c>
      <c r="F5894" t="s">
        <v>38</v>
      </c>
      <c r="G5894" s="118">
        <v>0.953587962962963</v>
      </c>
      <c r="H5894" s="118">
        <v>9.1435185185185185E-4</v>
      </c>
      <c r="I5894" s="118">
        <v>3.4722222222222224E-4</v>
      </c>
      <c r="J5894"/>
      <c r="K5894"/>
    </row>
    <row r="5895" spans="1:11" x14ac:dyDescent="0.25">
      <c r="A5895">
        <v>1</v>
      </c>
      <c r="B5895">
        <v>20</v>
      </c>
      <c r="C5895"/>
      <c r="D5895" t="s">
        <v>31</v>
      </c>
      <c r="E5895" t="s">
        <v>32</v>
      </c>
      <c r="F5895" t="s">
        <v>50</v>
      </c>
      <c r="G5895" s="118">
        <v>0.95363425925925915</v>
      </c>
      <c r="H5895" s="118">
        <v>3.4722222222222224E-4</v>
      </c>
      <c r="I5895" s="118">
        <v>1.261574074074074E-3</v>
      </c>
      <c r="J5895" s="118">
        <v>7.0717592592592594E-3</v>
      </c>
      <c r="K5895" s="118">
        <v>7.0717592592592594E-3</v>
      </c>
    </row>
    <row r="5896" spans="1:11" x14ac:dyDescent="0.25">
      <c r="A5896">
        <v>4</v>
      </c>
      <c r="B5896">
        <v>21</v>
      </c>
      <c r="C5896"/>
      <c r="D5896" t="s">
        <v>31</v>
      </c>
      <c r="E5896" t="s">
        <v>32</v>
      </c>
      <c r="F5896" t="s">
        <v>38</v>
      </c>
      <c r="G5896" s="118">
        <v>0.95393518518518527</v>
      </c>
      <c r="H5896" s="118">
        <v>3.4722222222222224E-4</v>
      </c>
      <c r="I5896" s="118">
        <v>1.2384259259259258E-3</v>
      </c>
      <c r="J5896" s="118">
        <v>7.0717592592592594E-3</v>
      </c>
      <c r="K5896" s="118">
        <v>7.0717592592592594E-3</v>
      </c>
    </row>
    <row r="5897" spans="1:11" x14ac:dyDescent="0.25">
      <c r="A5897">
        <v>5</v>
      </c>
      <c r="B5897">
        <v>21</v>
      </c>
      <c r="C5897"/>
      <c r="D5897" t="s">
        <v>31</v>
      </c>
      <c r="E5897" t="s">
        <v>35</v>
      </c>
      <c r="F5897" t="s">
        <v>92</v>
      </c>
      <c r="G5897" s="118">
        <v>0.95407407407407396</v>
      </c>
      <c r="H5897" s="118">
        <v>6.9444444444444447E-4</v>
      </c>
      <c r="I5897" s="118">
        <v>5.2083333333333333E-4</v>
      </c>
      <c r="J5897"/>
      <c r="K5897"/>
    </row>
    <row r="5898" spans="1:11" x14ac:dyDescent="0.25">
      <c r="A5898">
        <v>2</v>
      </c>
      <c r="B5898">
        <v>21</v>
      </c>
      <c r="C5898"/>
      <c r="D5898" t="s">
        <v>31</v>
      </c>
      <c r="E5898" t="s">
        <v>35</v>
      </c>
      <c r="F5898" t="s">
        <v>49</v>
      </c>
      <c r="G5898" s="118">
        <v>0.95423611111111117</v>
      </c>
      <c r="H5898" s="118">
        <v>9.2592592592592585E-4</v>
      </c>
      <c r="I5898" s="118">
        <v>3.4722222222222224E-4</v>
      </c>
      <c r="J5898"/>
      <c r="K5898"/>
    </row>
    <row r="5899" spans="1:11" x14ac:dyDescent="0.25">
      <c r="A5899">
        <v>9</v>
      </c>
      <c r="B5899">
        <v>8</v>
      </c>
      <c r="C5899"/>
      <c r="D5899" t="s">
        <v>31</v>
      </c>
      <c r="E5899" t="s">
        <v>35</v>
      </c>
      <c r="F5899" t="s">
        <v>46</v>
      </c>
      <c r="G5899" s="118">
        <v>0.95450231481481485</v>
      </c>
      <c r="H5899" s="118">
        <v>1.8055555555555557E-3</v>
      </c>
      <c r="I5899" s="118">
        <v>3.4722222222222224E-4</v>
      </c>
      <c r="J5899"/>
      <c r="K5899"/>
    </row>
    <row r="5900" spans="1:11" x14ac:dyDescent="0.25">
      <c r="A5900">
        <v>2</v>
      </c>
      <c r="B5900">
        <v>21</v>
      </c>
      <c r="C5900"/>
      <c r="D5900" t="s">
        <v>31</v>
      </c>
      <c r="E5900" t="s">
        <v>32</v>
      </c>
      <c r="F5900" t="s">
        <v>49</v>
      </c>
      <c r="G5900" s="118">
        <v>0.95458333333333334</v>
      </c>
      <c r="H5900" s="118">
        <v>3.4722222222222224E-4</v>
      </c>
      <c r="I5900" s="118">
        <v>1.3541666666666667E-3</v>
      </c>
      <c r="J5900" s="118">
        <v>7.0717592592592594E-3</v>
      </c>
      <c r="K5900" s="118">
        <v>7.0717592592592594E-3</v>
      </c>
    </row>
    <row r="5901" spans="1:11" x14ac:dyDescent="0.25">
      <c r="A5901">
        <v>5</v>
      </c>
      <c r="B5901">
        <v>22</v>
      </c>
      <c r="C5901"/>
      <c r="D5901" t="s">
        <v>31</v>
      </c>
      <c r="E5901" t="s">
        <v>32</v>
      </c>
      <c r="F5901" t="s">
        <v>92</v>
      </c>
      <c r="G5901" s="118">
        <v>0.95459490740740749</v>
      </c>
      <c r="H5901" s="118">
        <v>5.2083333333333333E-4</v>
      </c>
      <c r="I5901" s="118">
        <v>1.0069444444444444E-3</v>
      </c>
      <c r="J5901" s="118">
        <v>7.0717592592592594E-3</v>
      </c>
      <c r="K5901" s="118">
        <v>7.0717592592592594E-3</v>
      </c>
    </row>
    <row r="5902" spans="1:11" x14ac:dyDescent="0.25">
      <c r="A5902">
        <v>9</v>
      </c>
      <c r="B5902">
        <v>8</v>
      </c>
      <c r="C5902"/>
      <c r="D5902" t="s">
        <v>31</v>
      </c>
      <c r="E5902" t="s">
        <v>32</v>
      </c>
      <c r="F5902" t="s">
        <v>46</v>
      </c>
      <c r="G5902" s="118">
        <v>0.95484953703703701</v>
      </c>
      <c r="H5902" s="118">
        <v>3.4722222222222224E-4</v>
      </c>
      <c r="I5902" s="118">
        <v>9.1435185185185185E-4</v>
      </c>
      <c r="J5902" s="118">
        <v>7.0717592592592594E-3</v>
      </c>
      <c r="K5902" s="118">
        <v>7.0717592592592594E-3</v>
      </c>
    </row>
    <row r="5903" spans="1:11" x14ac:dyDescent="0.25">
      <c r="A5903">
        <v>1</v>
      </c>
      <c r="B5903">
        <v>20</v>
      </c>
      <c r="C5903"/>
      <c r="D5903" t="s">
        <v>31</v>
      </c>
      <c r="E5903" t="s">
        <v>35</v>
      </c>
      <c r="F5903" t="s">
        <v>56</v>
      </c>
      <c r="G5903" s="118">
        <v>0.95489583333333339</v>
      </c>
      <c r="H5903" s="118">
        <v>1.261574074074074E-3</v>
      </c>
      <c r="I5903" s="118">
        <v>3.4722222222222224E-4</v>
      </c>
      <c r="J5903"/>
      <c r="K5903"/>
    </row>
    <row r="5904" spans="1:11" x14ac:dyDescent="0.25">
      <c r="A5904">
        <v>4</v>
      </c>
      <c r="B5904">
        <v>21</v>
      </c>
      <c r="C5904"/>
      <c r="D5904" t="s">
        <v>31</v>
      </c>
      <c r="E5904" t="s">
        <v>35</v>
      </c>
      <c r="F5904" t="s">
        <v>45</v>
      </c>
      <c r="G5904" s="118">
        <v>0.95517361111111121</v>
      </c>
      <c r="H5904" s="118">
        <v>1.2384259259259258E-3</v>
      </c>
      <c r="I5904" s="118">
        <v>3.4722222222222224E-4</v>
      </c>
      <c r="J5904"/>
      <c r="K5904"/>
    </row>
    <row r="5905" spans="1:11" x14ac:dyDescent="0.25">
      <c r="A5905">
        <v>1</v>
      </c>
      <c r="B5905">
        <v>20</v>
      </c>
      <c r="C5905"/>
      <c r="D5905" t="s">
        <v>31</v>
      </c>
      <c r="E5905" t="s">
        <v>32</v>
      </c>
      <c r="F5905" t="s">
        <v>56</v>
      </c>
      <c r="G5905" s="118">
        <v>0.95524305555555555</v>
      </c>
      <c r="H5905" s="118">
        <v>3.4722222222222224E-4</v>
      </c>
      <c r="I5905" s="118">
        <v>9.6064814814814808E-4</v>
      </c>
      <c r="J5905" s="118">
        <v>7.0717592592592594E-3</v>
      </c>
      <c r="K5905" s="118">
        <v>7.0717592592592594E-3</v>
      </c>
    </row>
    <row r="5906" spans="1:11" x14ac:dyDescent="0.25">
      <c r="A5906">
        <v>4</v>
      </c>
      <c r="B5906">
        <v>21</v>
      </c>
      <c r="C5906"/>
      <c r="D5906" t="s">
        <v>31</v>
      </c>
      <c r="E5906" t="s">
        <v>32</v>
      </c>
      <c r="F5906" t="s">
        <v>45</v>
      </c>
      <c r="G5906" s="118">
        <v>0.95552083333333337</v>
      </c>
      <c r="H5906" s="118">
        <v>3.4722222222222224E-4</v>
      </c>
      <c r="I5906" s="118">
        <v>1.0416666666666667E-3</v>
      </c>
      <c r="J5906" s="118">
        <v>7.0717592592592594E-3</v>
      </c>
      <c r="K5906" s="118">
        <v>7.0717592592592594E-3</v>
      </c>
    </row>
    <row r="5907" spans="1:11" x14ac:dyDescent="0.25">
      <c r="A5907">
        <v>5</v>
      </c>
      <c r="B5907">
        <v>22</v>
      </c>
      <c r="C5907"/>
      <c r="D5907" t="s">
        <v>31</v>
      </c>
      <c r="E5907" t="s">
        <v>35</v>
      </c>
      <c r="F5907" t="s">
        <v>41</v>
      </c>
      <c r="G5907" s="118">
        <v>0.95560185185185187</v>
      </c>
      <c r="H5907" s="118">
        <v>1.0069444444444444E-3</v>
      </c>
      <c r="I5907" s="118">
        <v>3.4722222222222224E-4</v>
      </c>
      <c r="J5907"/>
      <c r="K5907"/>
    </row>
    <row r="5908" spans="1:11" x14ac:dyDescent="0.25">
      <c r="A5908">
        <v>9</v>
      </c>
      <c r="B5908">
        <v>8</v>
      </c>
      <c r="C5908"/>
      <c r="D5908" t="s">
        <v>31</v>
      </c>
      <c r="E5908" t="s">
        <v>35</v>
      </c>
      <c r="F5908" t="s">
        <v>51</v>
      </c>
      <c r="G5908" s="118">
        <v>0.95576388888888886</v>
      </c>
      <c r="H5908" s="118">
        <v>9.1435185185185185E-4</v>
      </c>
      <c r="I5908" s="118">
        <v>3.4722222222222224E-4</v>
      </c>
      <c r="J5908"/>
      <c r="K5908"/>
    </row>
    <row r="5909" spans="1:11" x14ac:dyDescent="0.25">
      <c r="A5909">
        <v>2</v>
      </c>
      <c r="B5909">
        <v>21</v>
      </c>
      <c r="C5909"/>
      <c r="D5909" t="s">
        <v>31</v>
      </c>
      <c r="E5909" t="s">
        <v>35</v>
      </c>
      <c r="F5909" t="s">
        <v>33</v>
      </c>
      <c r="G5909" s="118">
        <v>0.9559375</v>
      </c>
      <c r="H5909" s="118">
        <v>1.3541666666666667E-3</v>
      </c>
      <c r="I5909" s="118">
        <v>5.2083333333333333E-4</v>
      </c>
      <c r="J5909"/>
      <c r="K5909"/>
    </row>
    <row r="5910" spans="1:11" x14ac:dyDescent="0.25">
      <c r="A5910">
        <v>5</v>
      </c>
      <c r="B5910">
        <v>22</v>
      </c>
      <c r="C5910"/>
      <c r="D5910" t="s">
        <v>31</v>
      </c>
      <c r="E5910" t="s">
        <v>32</v>
      </c>
      <c r="F5910" t="s">
        <v>41</v>
      </c>
      <c r="G5910" s="118">
        <v>0.95594907407407403</v>
      </c>
      <c r="H5910" s="118">
        <v>3.4722222222222224E-4</v>
      </c>
      <c r="I5910" s="118">
        <v>8.564814814814815E-4</v>
      </c>
      <c r="J5910" s="118">
        <v>7.0717592592592594E-3</v>
      </c>
      <c r="K5910" s="118">
        <v>7.0717592592592594E-3</v>
      </c>
    </row>
    <row r="5911" spans="1:11" x14ac:dyDescent="0.25">
      <c r="A5911">
        <v>9</v>
      </c>
      <c r="B5911">
        <v>8</v>
      </c>
      <c r="C5911"/>
      <c r="D5911" t="s">
        <v>31</v>
      </c>
      <c r="E5911" t="s">
        <v>32</v>
      </c>
      <c r="F5911" t="s">
        <v>51</v>
      </c>
      <c r="G5911" s="118">
        <v>0.95611111111111102</v>
      </c>
      <c r="H5911" s="118">
        <v>3.4722222222222224E-4</v>
      </c>
      <c r="I5911" s="118">
        <v>1.0069444444444444E-3</v>
      </c>
      <c r="J5911" s="118">
        <v>7.0717592592592594E-3</v>
      </c>
      <c r="K5911" s="118">
        <v>7.0717592592592594E-3</v>
      </c>
    </row>
    <row r="5912" spans="1:11" x14ac:dyDescent="0.25">
      <c r="A5912">
        <v>1</v>
      </c>
      <c r="B5912">
        <v>20</v>
      </c>
      <c r="C5912"/>
      <c r="D5912" t="s">
        <v>31</v>
      </c>
      <c r="E5912" t="s">
        <v>35</v>
      </c>
      <c r="F5912" t="s">
        <v>37</v>
      </c>
      <c r="G5912" s="118">
        <v>0.95620370370370367</v>
      </c>
      <c r="H5912" s="118">
        <v>9.6064814814814808E-4</v>
      </c>
      <c r="I5912" s="118">
        <v>3.4722222222222224E-4</v>
      </c>
      <c r="J5912"/>
      <c r="K5912"/>
    </row>
    <row r="5913" spans="1:11" x14ac:dyDescent="0.25">
      <c r="A5913">
        <v>2</v>
      </c>
      <c r="B5913">
        <v>21</v>
      </c>
      <c r="C5913"/>
      <c r="D5913" t="s">
        <v>31</v>
      </c>
      <c r="E5913" t="s">
        <v>32</v>
      </c>
      <c r="F5913" t="s">
        <v>33</v>
      </c>
      <c r="G5913" s="118">
        <v>0.9564583333333333</v>
      </c>
      <c r="H5913" s="118">
        <v>5.2083333333333333E-4</v>
      </c>
      <c r="I5913" s="118">
        <v>9.6064814814814808E-4</v>
      </c>
      <c r="J5913" s="118">
        <v>7.0717592592592594E-3</v>
      </c>
      <c r="K5913" s="118">
        <v>7.0717592592592594E-3</v>
      </c>
    </row>
    <row r="5914" spans="1:11" x14ac:dyDescent="0.25">
      <c r="A5914">
        <v>1</v>
      </c>
      <c r="B5914">
        <v>20</v>
      </c>
      <c r="C5914"/>
      <c r="D5914" t="s">
        <v>31</v>
      </c>
      <c r="E5914" t="s">
        <v>32</v>
      </c>
      <c r="F5914" t="s">
        <v>37</v>
      </c>
      <c r="G5914" s="118">
        <v>0.95655092592592583</v>
      </c>
      <c r="H5914" s="118">
        <v>3.4722222222222224E-4</v>
      </c>
      <c r="I5914" s="118">
        <v>9.0277777777777784E-4</v>
      </c>
      <c r="J5914" s="118">
        <v>7.0717592592592594E-3</v>
      </c>
      <c r="K5914" s="118">
        <v>7.0717592592592594E-3</v>
      </c>
    </row>
    <row r="5915" spans="1:11" x14ac:dyDescent="0.25">
      <c r="A5915">
        <v>4</v>
      </c>
      <c r="B5915">
        <v>21</v>
      </c>
      <c r="C5915"/>
      <c r="D5915" t="s">
        <v>31</v>
      </c>
      <c r="E5915" t="s">
        <v>35</v>
      </c>
      <c r="F5915" t="s">
        <v>52</v>
      </c>
      <c r="G5915" s="118">
        <v>0.95656249999999998</v>
      </c>
      <c r="H5915" s="118">
        <v>1.0416666666666667E-3</v>
      </c>
      <c r="I5915" s="118">
        <v>3.4722222222222224E-4</v>
      </c>
      <c r="J5915"/>
      <c r="K5915"/>
    </row>
    <row r="5916" spans="1:11" x14ac:dyDescent="0.25">
      <c r="A5916">
        <v>5</v>
      </c>
      <c r="B5916">
        <v>22</v>
      </c>
      <c r="C5916"/>
      <c r="D5916" t="s">
        <v>31</v>
      </c>
      <c r="E5916" t="s">
        <v>35</v>
      </c>
      <c r="F5916" t="s">
        <v>47</v>
      </c>
      <c r="G5916" s="118">
        <v>0.95680555555555558</v>
      </c>
      <c r="H5916" s="118">
        <v>8.564814814814815E-4</v>
      </c>
      <c r="I5916" s="118">
        <v>5.2083333333333333E-4</v>
      </c>
      <c r="J5916"/>
      <c r="K5916"/>
    </row>
    <row r="5917" spans="1:11" x14ac:dyDescent="0.25">
      <c r="A5917">
        <v>4</v>
      </c>
      <c r="B5917">
        <v>21</v>
      </c>
      <c r="C5917"/>
      <c r="D5917" t="s">
        <v>31</v>
      </c>
      <c r="E5917" t="s">
        <v>32</v>
      </c>
      <c r="F5917" t="s">
        <v>52</v>
      </c>
      <c r="G5917" s="118">
        <v>0.95690972222222215</v>
      </c>
      <c r="H5917" s="118">
        <v>3.4722222222222224E-4</v>
      </c>
      <c r="I5917" s="118">
        <v>1.0532407407407407E-3</v>
      </c>
      <c r="J5917" s="118">
        <v>7.0717592592592594E-3</v>
      </c>
      <c r="K5917" s="118">
        <v>7.0717592592592594E-3</v>
      </c>
    </row>
    <row r="5918" spans="1:11" x14ac:dyDescent="0.25">
      <c r="A5918">
        <v>9</v>
      </c>
      <c r="B5918">
        <v>8</v>
      </c>
      <c r="C5918"/>
      <c r="D5918" t="s">
        <v>31</v>
      </c>
      <c r="E5918" t="s">
        <v>35</v>
      </c>
      <c r="F5918" t="s">
        <v>55</v>
      </c>
      <c r="G5918" s="118">
        <v>0.95711805555555562</v>
      </c>
      <c r="H5918" s="118">
        <v>1.0069444444444444E-3</v>
      </c>
      <c r="I5918" s="118">
        <v>4.6296296296296293E-4</v>
      </c>
      <c r="J5918"/>
      <c r="K5918"/>
    </row>
    <row r="5919" spans="1:11" x14ac:dyDescent="0.25">
      <c r="A5919">
        <v>5</v>
      </c>
      <c r="B5919">
        <v>22</v>
      </c>
      <c r="C5919"/>
      <c r="D5919" t="s">
        <v>31</v>
      </c>
      <c r="E5919" t="s">
        <v>32</v>
      </c>
      <c r="F5919" t="s">
        <v>47</v>
      </c>
      <c r="G5919" s="118">
        <v>0.95732638888888888</v>
      </c>
      <c r="H5919" s="118">
        <v>5.2083333333333333E-4</v>
      </c>
      <c r="I5919" s="118">
        <v>8.7962962962962962E-4</v>
      </c>
      <c r="J5919" s="118">
        <v>7.0717592592592594E-3</v>
      </c>
      <c r="K5919" s="118">
        <v>7.0717592592592594E-3</v>
      </c>
    </row>
    <row r="5920" spans="1:11" x14ac:dyDescent="0.25">
      <c r="A5920">
        <v>2</v>
      </c>
      <c r="B5920">
        <v>21</v>
      </c>
      <c r="C5920"/>
      <c r="D5920" t="s">
        <v>31</v>
      </c>
      <c r="E5920" t="s">
        <v>35</v>
      </c>
      <c r="F5920" t="s">
        <v>36</v>
      </c>
      <c r="G5920" s="118">
        <v>0.95741898148148152</v>
      </c>
      <c r="H5920" s="118">
        <v>9.6064814814814808E-4</v>
      </c>
      <c r="I5920" s="118">
        <v>3.4722222222222224E-4</v>
      </c>
      <c r="J5920"/>
      <c r="K5920"/>
    </row>
    <row r="5921" spans="1:11" x14ac:dyDescent="0.25">
      <c r="A5921">
        <v>1</v>
      </c>
      <c r="B5921">
        <v>20</v>
      </c>
      <c r="C5921"/>
      <c r="D5921" t="s">
        <v>31</v>
      </c>
      <c r="E5921" t="s">
        <v>35</v>
      </c>
      <c r="F5921" t="s">
        <v>42</v>
      </c>
      <c r="G5921" s="118">
        <v>0.95745370370370375</v>
      </c>
      <c r="H5921" s="118">
        <v>9.0277777777777784E-4</v>
      </c>
      <c r="I5921" s="118">
        <v>3.4722222222222224E-4</v>
      </c>
      <c r="J5921"/>
      <c r="K5921"/>
    </row>
    <row r="5922" spans="1:11" x14ac:dyDescent="0.25">
      <c r="A5922">
        <v>9</v>
      </c>
      <c r="B5922">
        <v>8</v>
      </c>
      <c r="C5922"/>
      <c r="D5922" t="s">
        <v>31</v>
      </c>
      <c r="E5922" t="s">
        <v>32</v>
      </c>
      <c r="F5922" t="s">
        <v>55</v>
      </c>
      <c r="G5922" s="118">
        <v>0.95758101851851851</v>
      </c>
      <c r="H5922" s="118">
        <v>4.6296296296296293E-4</v>
      </c>
      <c r="I5922" s="118">
        <v>4.3981481481481481E-4</v>
      </c>
      <c r="J5922" s="118">
        <v>7.0717592592592594E-3</v>
      </c>
      <c r="K5922" s="118">
        <v>7.0717592592592594E-3</v>
      </c>
    </row>
    <row r="5923" spans="1:11" x14ac:dyDescent="0.25">
      <c r="A5923">
        <v>2</v>
      </c>
      <c r="B5923">
        <v>21</v>
      </c>
      <c r="C5923"/>
      <c r="D5923" t="s">
        <v>31</v>
      </c>
      <c r="E5923" t="s">
        <v>32</v>
      </c>
      <c r="F5923" t="s">
        <v>36</v>
      </c>
      <c r="G5923" s="118">
        <v>0.95776620370370369</v>
      </c>
      <c r="H5923" s="118">
        <v>3.4722222222222224E-4</v>
      </c>
      <c r="I5923" s="118">
        <v>1.0995370370370371E-3</v>
      </c>
      <c r="J5923" s="118">
        <v>7.0717592592592594E-3</v>
      </c>
      <c r="K5923" s="118">
        <v>7.0717592592592594E-3</v>
      </c>
    </row>
    <row r="5924" spans="1:11" x14ac:dyDescent="0.25">
      <c r="A5924">
        <v>1</v>
      </c>
      <c r="B5924">
        <v>20</v>
      </c>
      <c r="C5924"/>
      <c r="D5924" t="s">
        <v>31</v>
      </c>
      <c r="E5924" t="s">
        <v>32</v>
      </c>
      <c r="F5924" t="s">
        <v>42</v>
      </c>
      <c r="G5924" s="118">
        <v>0.95780092592592592</v>
      </c>
      <c r="H5924" s="118">
        <v>3.4722222222222224E-4</v>
      </c>
      <c r="I5924" s="118">
        <v>9.1435185185185185E-4</v>
      </c>
      <c r="J5924" s="118">
        <v>7.0717592592592594E-3</v>
      </c>
      <c r="K5924" s="118">
        <v>7.0717592592592594E-3</v>
      </c>
    </row>
    <row r="5925" spans="1:11" x14ac:dyDescent="0.25">
      <c r="A5925">
        <v>4</v>
      </c>
      <c r="B5925">
        <v>21</v>
      </c>
      <c r="C5925"/>
      <c r="D5925" t="s">
        <v>31</v>
      </c>
      <c r="E5925" t="s">
        <v>35</v>
      </c>
      <c r="F5925" t="s">
        <v>57</v>
      </c>
      <c r="G5925" s="118">
        <v>0.95796296296296291</v>
      </c>
      <c r="H5925" s="118">
        <v>1.0532407407407407E-3</v>
      </c>
      <c r="I5925" s="118">
        <v>3.4722222222222224E-4</v>
      </c>
      <c r="J5925"/>
      <c r="K5925"/>
    </row>
    <row r="5926" spans="1:11" x14ac:dyDescent="0.25">
      <c r="A5926">
        <v>9</v>
      </c>
      <c r="B5926">
        <v>8</v>
      </c>
      <c r="C5926"/>
      <c r="D5926" t="s">
        <v>31</v>
      </c>
      <c r="E5926" t="s">
        <v>35</v>
      </c>
      <c r="F5926" t="s">
        <v>58</v>
      </c>
      <c r="G5926" s="118">
        <v>0.95802083333333332</v>
      </c>
      <c r="H5926" s="118">
        <v>4.3981481481481481E-4</v>
      </c>
      <c r="I5926" s="118">
        <v>5.7870370370370366E-5</v>
      </c>
      <c r="J5926"/>
      <c r="K5926"/>
    </row>
    <row r="5927" spans="1:11" x14ac:dyDescent="0.25">
      <c r="A5927">
        <v>9</v>
      </c>
      <c r="B5927">
        <v>8</v>
      </c>
      <c r="C5927"/>
      <c r="D5927" t="s">
        <v>31</v>
      </c>
      <c r="E5927" t="s">
        <v>32</v>
      </c>
      <c r="F5927" t="s">
        <v>58</v>
      </c>
      <c r="G5927" s="118">
        <v>0.95807870370370374</v>
      </c>
      <c r="H5927" s="118">
        <v>5.7870370370370366E-5</v>
      </c>
      <c r="I5927" s="118">
        <v>4.8611111111111104E-4</v>
      </c>
      <c r="J5927" s="118">
        <v>7.0717592592592594E-3</v>
      </c>
      <c r="K5927" s="118">
        <v>7.0717592592592594E-3</v>
      </c>
    </row>
    <row r="5928" spans="1:11" x14ac:dyDescent="0.25">
      <c r="A5928">
        <v>5</v>
      </c>
      <c r="B5928">
        <v>22</v>
      </c>
      <c r="C5928"/>
      <c r="D5928" t="s">
        <v>31</v>
      </c>
      <c r="E5928" t="s">
        <v>35</v>
      </c>
      <c r="F5928" t="s">
        <v>53</v>
      </c>
      <c r="G5928" s="118">
        <v>0.9582060185185185</v>
      </c>
      <c r="H5928" s="118">
        <v>8.7962962962962962E-4</v>
      </c>
      <c r="I5928" s="118">
        <v>3.4722222222222224E-4</v>
      </c>
      <c r="J5928"/>
      <c r="K5928"/>
    </row>
    <row r="5929" spans="1:11" x14ac:dyDescent="0.25">
      <c r="A5929">
        <v>4</v>
      </c>
      <c r="B5929">
        <v>21</v>
      </c>
      <c r="C5929"/>
      <c r="D5929" t="s">
        <v>31</v>
      </c>
      <c r="E5929" t="s">
        <v>32</v>
      </c>
      <c r="F5929" t="s">
        <v>57</v>
      </c>
      <c r="G5929" s="118">
        <v>0.95831018518518529</v>
      </c>
      <c r="H5929" s="118">
        <v>3.4722222222222224E-4</v>
      </c>
      <c r="I5929" s="118">
        <v>9.3750000000000007E-4</v>
      </c>
      <c r="J5929" s="118">
        <v>7.0717592592592594E-3</v>
      </c>
      <c r="K5929" s="118">
        <v>7.0717592592592594E-3</v>
      </c>
    </row>
    <row r="5930" spans="1:11" x14ac:dyDescent="0.25">
      <c r="A5930">
        <v>5</v>
      </c>
      <c r="B5930">
        <v>22</v>
      </c>
      <c r="C5930"/>
      <c r="D5930" t="s">
        <v>31</v>
      </c>
      <c r="E5930" t="s">
        <v>32</v>
      </c>
      <c r="F5930" t="s">
        <v>53</v>
      </c>
      <c r="G5930" s="118">
        <v>0.95855324074074078</v>
      </c>
      <c r="H5930" s="118">
        <v>3.4722222222222224E-4</v>
      </c>
      <c r="I5930" s="118">
        <v>8.449074074074075E-4</v>
      </c>
      <c r="J5930" s="118">
        <v>7.0717592592592594E-3</v>
      </c>
      <c r="K5930" s="118">
        <v>7.0717592592592594E-3</v>
      </c>
    </row>
    <row r="5931" spans="1:11" x14ac:dyDescent="0.25">
      <c r="A5931">
        <v>9</v>
      </c>
      <c r="B5931">
        <v>8</v>
      </c>
      <c r="C5931"/>
      <c r="D5931" t="s">
        <v>31</v>
      </c>
      <c r="E5931" t="s">
        <v>35</v>
      </c>
      <c r="F5931" t="s">
        <v>40</v>
      </c>
      <c r="G5931" s="118">
        <v>0.95856481481481481</v>
      </c>
      <c r="H5931" s="118">
        <v>4.8611111111111104E-4</v>
      </c>
      <c r="I5931" s="118">
        <v>4.6296296296296293E-4</v>
      </c>
      <c r="J5931"/>
      <c r="K5931"/>
    </row>
    <row r="5932" spans="1:11" x14ac:dyDescent="0.25">
      <c r="A5932">
        <v>1</v>
      </c>
      <c r="B5932">
        <v>20</v>
      </c>
      <c r="C5932"/>
      <c r="D5932" t="s">
        <v>31</v>
      </c>
      <c r="E5932" t="s">
        <v>35</v>
      </c>
      <c r="F5932" t="s">
        <v>48</v>
      </c>
      <c r="G5932" s="118">
        <v>0.95871527777777776</v>
      </c>
      <c r="H5932" s="118">
        <v>9.1435185185185185E-4</v>
      </c>
      <c r="I5932" s="118">
        <v>5.2083333333333333E-4</v>
      </c>
      <c r="J5932"/>
      <c r="K5932"/>
    </row>
    <row r="5933" spans="1:11" x14ac:dyDescent="0.25">
      <c r="A5933">
        <v>2</v>
      </c>
      <c r="B5933">
        <v>21</v>
      </c>
      <c r="C5933"/>
      <c r="D5933" t="s">
        <v>31</v>
      </c>
      <c r="E5933" t="s">
        <v>35</v>
      </c>
      <c r="F5933" t="s">
        <v>43</v>
      </c>
      <c r="G5933" s="118">
        <v>0.95886574074074071</v>
      </c>
      <c r="H5933" s="118">
        <v>1.0995370370370371E-3</v>
      </c>
      <c r="I5933" s="118">
        <v>3.4722222222222224E-4</v>
      </c>
      <c r="J5933"/>
      <c r="K5933"/>
    </row>
    <row r="5934" spans="1:11" x14ac:dyDescent="0.25">
      <c r="A5934">
        <v>9</v>
      </c>
      <c r="B5934">
        <v>8</v>
      </c>
      <c r="C5934"/>
      <c r="D5934" t="s">
        <v>31</v>
      </c>
      <c r="E5934" t="s">
        <v>32</v>
      </c>
      <c r="F5934" t="s">
        <v>40</v>
      </c>
      <c r="G5934" s="118">
        <v>0.9590277777777777</v>
      </c>
      <c r="H5934" s="118">
        <v>4.6296296296296293E-4</v>
      </c>
      <c r="I5934" s="118">
        <v>1.0069444444444444E-3</v>
      </c>
      <c r="J5934" s="118">
        <v>7.0717592592592594E-3</v>
      </c>
      <c r="K5934" s="118">
        <v>7.0717592592592594E-3</v>
      </c>
    </row>
    <row r="5935" spans="1:11" x14ac:dyDescent="0.25">
      <c r="A5935">
        <v>2</v>
      </c>
      <c r="B5935">
        <v>21</v>
      </c>
      <c r="C5935"/>
      <c r="D5935" t="s">
        <v>31</v>
      </c>
      <c r="E5935" t="s">
        <v>32</v>
      </c>
      <c r="F5935" t="s">
        <v>43</v>
      </c>
      <c r="G5935" s="118">
        <v>0.95921296296296299</v>
      </c>
      <c r="H5935" s="118">
        <v>3.4722222222222224E-4</v>
      </c>
      <c r="I5935" s="118">
        <v>1.1458333333333333E-3</v>
      </c>
      <c r="J5935" s="118">
        <v>7.0717592592592594E-3</v>
      </c>
      <c r="K5935" s="118">
        <v>7.0717592592592594E-3</v>
      </c>
    </row>
    <row r="5936" spans="1:11" x14ac:dyDescent="0.25">
      <c r="A5936">
        <v>1</v>
      </c>
      <c r="B5936">
        <v>20</v>
      </c>
      <c r="C5936"/>
      <c r="D5936" t="s">
        <v>31</v>
      </c>
      <c r="E5936" t="s">
        <v>32</v>
      </c>
      <c r="F5936" t="s">
        <v>48</v>
      </c>
      <c r="G5936" s="118">
        <v>0.95923611111111118</v>
      </c>
      <c r="H5936" s="118">
        <v>5.2083333333333333E-4</v>
      </c>
      <c r="I5936" s="118">
        <v>8.6805555555555551E-4</v>
      </c>
      <c r="J5936" s="118">
        <v>7.0717592592592594E-3</v>
      </c>
      <c r="K5936" s="118">
        <v>7.0717592592592594E-3</v>
      </c>
    </row>
    <row r="5937" spans="1:11" x14ac:dyDescent="0.25">
      <c r="A5937">
        <v>4</v>
      </c>
      <c r="B5937">
        <v>21</v>
      </c>
      <c r="C5937"/>
      <c r="D5937" t="s">
        <v>31</v>
      </c>
      <c r="E5937" t="s">
        <v>35</v>
      </c>
      <c r="F5937" t="s">
        <v>39</v>
      </c>
      <c r="G5937" s="118">
        <v>0.95924768518518511</v>
      </c>
      <c r="H5937" s="118">
        <v>9.3750000000000007E-4</v>
      </c>
      <c r="I5937" s="118">
        <v>5.2083333333333333E-4</v>
      </c>
      <c r="J5937"/>
      <c r="K5937"/>
    </row>
    <row r="5938" spans="1:11" x14ac:dyDescent="0.25">
      <c r="A5938">
        <v>5</v>
      </c>
      <c r="B5938">
        <v>22</v>
      </c>
      <c r="C5938"/>
      <c r="D5938" t="s">
        <v>31</v>
      </c>
      <c r="E5938" t="s">
        <v>35</v>
      </c>
      <c r="F5938" t="s">
        <v>34</v>
      </c>
      <c r="G5938" s="118">
        <v>0.95939814814814817</v>
      </c>
      <c r="H5938" s="118">
        <v>8.449074074074075E-4</v>
      </c>
      <c r="I5938" s="118">
        <v>3.4722222222222224E-4</v>
      </c>
      <c r="J5938"/>
      <c r="K5938"/>
    </row>
    <row r="5939" spans="1:11" x14ac:dyDescent="0.25">
      <c r="A5939">
        <v>5</v>
      </c>
      <c r="B5939">
        <v>22</v>
      </c>
      <c r="C5939"/>
      <c r="D5939" t="s">
        <v>31</v>
      </c>
      <c r="E5939" t="s">
        <v>32</v>
      </c>
      <c r="F5939" t="s">
        <v>34</v>
      </c>
      <c r="G5939" s="118">
        <v>0.95974537037037033</v>
      </c>
      <c r="H5939" s="118">
        <v>3.4722222222222224E-4</v>
      </c>
      <c r="I5939" s="118">
        <v>9.1435185185185185E-4</v>
      </c>
      <c r="J5939" s="118">
        <v>7.0717592592592594E-3</v>
      </c>
      <c r="K5939" s="118">
        <v>7.0717592592592594E-3</v>
      </c>
    </row>
    <row r="5940" spans="1:11" x14ac:dyDescent="0.25">
      <c r="A5940">
        <v>4</v>
      </c>
      <c r="B5940">
        <v>21</v>
      </c>
      <c r="C5940"/>
      <c r="D5940" t="s">
        <v>31</v>
      </c>
      <c r="E5940" t="s">
        <v>32</v>
      </c>
      <c r="F5940" t="s">
        <v>39</v>
      </c>
      <c r="G5940" s="118">
        <v>0.95976851851851841</v>
      </c>
      <c r="H5940" s="118">
        <v>5.2083333333333333E-4</v>
      </c>
      <c r="I5940" s="118">
        <v>1.8055555555555557E-3</v>
      </c>
      <c r="J5940" s="118">
        <v>7.0717592592592594E-3</v>
      </c>
      <c r="K5940" s="118">
        <v>7.0717592592592594E-3</v>
      </c>
    </row>
    <row r="5941" spans="1:11" x14ac:dyDescent="0.25">
      <c r="A5941">
        <v>9</v>
      </c>
      <c r="B5941">
        <v>8</v>
      </c>
      <c r="C5941"/>
      <c r="D5941" t="s">
        <v>31</v>
      </c>
      <c r="E5941" t="s">
        <v>35</v>
      </c>
      <c r="F5941" t="s">
        <v>44</v>
      </c>
      <c r="G5941" s="118">
        <v>0.96003472222222219</v>
      </c>
      <c r="H5941" s="118">
        <v>1.0069444444444444E-3</v>
      </c>
      <c r="I5941" s="118">
        <v>3.4722222222222224E-4</v>
      </c>
      <c r="J5941"/>
      <c r="K5941"/>
    </row>
    <row r="5942" spans="1:11" x14ac:dyDescent="0.25">
      <c r="A5942">
        <v>1</v>
      </c>
      <c r="B5942">
        <v>20</v>
      </c>
      <c r="C5942"/>
      <c r="D5942" t="s">
        <v>31</v>
      </c>
      <c r="E5942" t="s">
        <v>35</v>
      </c>
      <c r="F5942" t="s">
        <v>54</v>
      </c>
      <c r="G5942" s="118">
        <v>0.96010416666666665</v>
      </c>
      <c r="H5942" s="118">
        <v>8.6805555555555551E-4</v>
      </c>
      <c r="I5942" s="118">
        <v>3.4722222222222224E-4</v>
      </c>
      <c r="J5942"/>
      <c r="K5942"/>
    </row>
    <row r="5943" spans="1:11" x14ac:dyDescent="0.25">
      <c r="A5943">
        <v>2</v>
      </c>
      <c r="B5943">
        <v>21</v>
      </c>
      <c r="C5943"/>
      <c r="D5943" t="s">
        <v>31</v>
      </c>
      <c r="E5943" t="s">
        <v>35</v>
      </c>
      <c r="F5943" t="s">
        <v>50</v>
      </c>
      <c r="G5943" s="118">
        <v>0.96035879629629628</v>
      </c>
      <c r="H5943" s="118">
        <v>1.1458333333333333E-3</v>
      </c>
      <c r="I5943" s="118">
        <v>3.4722222222222224E-4</v>
      </c>
      <c r="J5943"/>
      <c r="K5943"/>
    </row>
    <row r="5944" spans="1:11" x14ac:dyDescent="0.25">
      <c r="A5944">
        <v>9</v>
      </c>
      <c r="B5944">
        <v>8</v>
      </c>
      <c r="C5944"/>
      <c r="D5944" t="s">
        <v>31</v>
      </c>
      <c r="E5944" t="s">
        <v>32</v>
      </c>
      <c r="F5944" t="s">
        <v>44</v>
      </c>
      <c r="G5944" s="118">
        <v>0.96038194444444447</v>
      </c>
      <c r="H5944" s="118">
        <v>3.4722222222222224E-4</v>
      </c>
      <c r="I5944" s="118">
        <v>9.2592592592592585E-4</v>
      </c>
      <c r="J5944" s="118">
        <v>7.0717592592592594E-3</v>
      </c>
      <c r="K5944" s="118">
        <v>7.0717592592592594E-3</v>
      </c>
    </row>
    <row r="5945" spans="1:11" x14ac:dyDescent="0.25">
      <c r="A5945">
        <v>1</v>
      </c>
      <c r="B5945">
        <v>20</v>
      </c>
      <c r="C5945"/>
      <c r="D5945" t="s">
        <v>31</v>
      </c>
      <c r="E5945" t="s">
        <v>32</v>
      </c>
      <c r="F5945" t="s">
        <v>54</v>
      </c>
      <c r="G5945" s="118">
        <v>0.96045138888888892</v>
      </c>
      <c r="H5945" s="118">
        <v>3.4722222222222224E-4</v>
      </c>
      <c r="I5945" s="118">
        <v>6.9444444444444447E-4</v>
      </c>
      <c r="J5945" s="118">
        <v>7.0717592592592594E-3</v>
      </c>
      <c r="K5945" s="118">
        <v>7.0717592592592594E-3</v>
      </c>
    </row>
    <row r="5946" spans="1:11" x14ac:dyDescent="0.25">
      <c r="A5946">
        <v>5</v>
      </c>
      <c r="B5946">
        <v>22</v>
      </c>
      <c r="C5946"/>
      <c r="D5946" t="s">
        <v>31</v>
      </c>
      <c r="E5946" t="s">
        <v>35</v>
      </c>
      <c r="F5946" t="s">
        <v>38</v>
      </c>
      <c r="G5946" s="118">
        <v>0.96065972222222218</v>
      </c>
      <c r="H5946" s="118">
        <v>9.1435185185185185E-4</v>
      </c>
      <c r="I5946" s="118">
        <v>3.4722222222222224E-4</v>
      </c>
      <c r="J5946"/>
      <c r="K5946"/>
    </row>
    <row r="5947" spans="1:11" x14ac:dyDescent="0.25">
      <c r="A5947">
        <v>2</v>
      </c>
      <c r="B5947">
        <v>21</v>
      </c>
      <c r="C5947"/>
      <c r="D5947" t="s">
        <v>31</v>
      </c>
      <c r="E5947" t="s">
        <v>32</v>
      </c>
      <c r="F5947" t="s">
        <v>50</v>
      </c>
      <c r="G5947" s="118">
        <v>0.96070601851851845</v>
      </c>
      <c r="H5947" s="118">
        <v>3.4722222222222224E-4</v>
      </c>
      <c r="I5947" s="118">
        <v>1.261574074074074E-3</v>
      </c>
      <c r="J5947" s="118">
        <v>7.0717592592592594E-3</v>
      </c>
      <c r="K5947" s="118">
        <v>7.0717592592592594E-3</v>
      </c>
    </row>
    <row r="5948" spans="1:11" x14ac:dyDescent="0.25">
      <c r="A5948">
        <v>5</v>
      </c>
      <c r="B5948">
        <v>22</v>
      </c>
      <c r="C5948"/>
      <c r="D5948" t="s">
        <v>31</v>
      </c>
      <c r="E5948" t="s">
        <v>32</v>
      </c>
      <c r="F5948" t="s">
        <v>38</v>
      </c>
      <c r="G5948" s="118">
        <v>0.96100694444444434</v>
      </c>
      <c r="H5948" s="118">
        <v>3.4722222222222224E-4</v>
      </c>
      <c r="I5948" s="118">
        <v>1.2384259259259258E-3</v>
      </c>
      <c r="J5948" s="118">
        <v>7.0717592592592594E-3</v>
      </c>
      <c r="K5948" s="118">
        <v>7.0717592592592594E-3</v>
      </c>
    </row>
    <row r="5949" spans="1:11" x14ac:dyDescent="0.25">
      <c r="A5949">
        <v>1</v>
      </c>
      <c r="B5949">
        <v>20</v>
      </c>
      <c r="C5949"/>
      <c r="D5949" t="s">
        <v>31</v>
      </c>
      <c r="E5949" t="s">
        <v>35</v>
      </c>
      <c r="F5949" t="s">
        <v>92</v>
      </c>
      <c r="G5949" s="118">
        <v>0.96114583333333325</v>
      </c>
      <c r="H5949" s="118">
        <v>6.9444444444444447E-4</v>
      </c>
      <c r="I5949" s="118">
        <v>5.2083333333333333E-4</v>
      </c>
      <c r="J5949"/>
      <c r="K5949"/>
    </row>
    <row r="5950" spans="1:11" x14ac:dyDescent="0.25">
      <c r="A5950">
        <v>9</v>
      </c>
      <c r="B5950">
        <v>8</v>
      </c>
      <c r="C5950"/>
      <c r="D5950" t="s">
        <v>31</v>
      </c>
      <c r="E5950" t="s">
        <v>35</v>
      </c>
      <c r="F5950" t="s">
        <v>49</v>
      </c>
      <c r="G5950" s="118">
        <v>0.96130787037037047</v>
      </c>
      <c r="H5950" s="118">
        <v>9.2592592592592585E-4</v>
      </c>
      <c r="I5950" s="118">
        <v>3.4722222222222224E-4</v>
      </c>
      <c r="J5950"/>
      <c r="K5950"/>
    </row>
    <row r="5951" spans="1:11" x14ac:dyDescent="0.25">
      <c r="A5951">
        <v>4</v>
      </c>
      <c r="B5951">
        <v>21</v>
      </c>
      <c r="C5951"/>
      <c r="D5951" t="s">
        <v>31</v>
      </c>
      <c r="E5951" t="s">
        <v>35</v>
      </c>
      <c r="F5951" t="s">
        <v>46</v>
      </c>
      <c r="G5951" s="118">
        <v>0.96157407407407414</v>
      </c>
      <c r="H5951" s="118">
        <v>1.8055555555555557E-3</v>
      </c>
      <c r="I5951" s="118">
        <v>3.4722222222222224E-4</v>
      </c>
      <c r="J5951"/>
      <c r="K5951"/>
    </row>
    <row r="5952" spans="1:11" x14ac:dyDescent="0.25">
      <c r="A5952">
        <v>9</v>
      </c>
      <c r="B5952">
        <v>8</v>
      </c>
      <c r="C5952"/>
      <c r="D5952" t="s">
        <v>31</v>
      </c>
      <c r="E5952" t="s">
        <v>32</v>
      </c>
      <c r="F5952" t="s">
        <v>49</v>
      </c>
      <c r="G5952" s="118">
        <v>0.96165509259259263</v>
      </c>
      <c r="H5952" s="118">
        <v>3.4722222222222224E-4</v>
      </c>
      <c r="I5952" s="118">
        <v>1.3541666666666667E-3</v>
      </c>
      <c r="J5952" s="118">
        <v>7.0717592592592594E-3</v>
      </c>
      <c r="K5952" s="118">
        <v>7.0717592592592594E-3</v>
      </c>
    </row>
    <row r="5953" spans="1:11" x14ac:dyDescent="0.25">
      <c r="A5953">
        <v>1</v>
      </c>
      <c r="B5953">
        <v>21</v>
      </c>
      <c r="C5953"/>
      <c r="D5953" t="s">
        <v>31</v>
      </c>
      <c r="E5953" t="s">
        <v>32</v>
      </c>
      <c r="F5953" t="s">
        <v>92</v>
      </c>
      <c r="G5953" s="118">
        <v>0.96166666666666656</v>
      </c>
      <c r="H5953" s="118">
        <v>5.2083333333333333E-4</v>
      </c>
      <c r="I5953" s="118">
        <v>1.0069444444444444E-3</v>
      </c>
      <c r="J5953" s="118">
        <v>7.0717592592592594E-3</v>
      </c>
      <c r="K5953" s="118">
        <v>7.0717592592592594E-3</v>
      </c>
    </row>
    <row r="5954" spans="1:11" x14ac:dyDescent="0.25">
      <c r="A5954">
        <v>4</v>
      </c>
      <c r="B5954">
        <v>21</v>
      </c>
      <c r="C5954"/>
      <c r="D5954" t="s">
        <v>31</v>
      </c>
      <c r="E5954" t="s">
        <v>32</v>
      </c>
      <c r="F5954" t="s">
        <v>46</v>
      </c>
      <c r="G5954" s="118">
        <v>0.9619212962962963</v>
      </c>
      <c r="H5954" s="118">
        <v>3.4722222222222224E-4</v>
      </c>
      <c r="I5954" s="118">
        <v>9.1435185185185185E-4</v>
      </c>
      <c r="J5954" s="118">
        <v>7.0717592592592594E-3</v>
      </c>
      <c r="K5954" s="118">
        <v>7.0717592592592594E-3</v>
      </c>
    </row>
    <row r="5955" spans="1:11" x14ac:dyDescent="0.25">
      <c r="A5955">
        <v>2</v>
      </c>
      <c r="B5955">
        <v>21</v>
      </c>
      <c r="C5955"/>
      <c r="D5955" t="s">
        <v>31</v>
      </c>
      <c r="E5955" t="s">
        <v>35</v>
      </c>
      <c r="F5955" t="s">
        <v>56</v>
      </c>
      <c r="G5955" s="118">
        <v>0.96196759259259268</v>
      </c>
      <c r="H5955" s="118">
        <v>1.261574074074074E-3</v>
      </c>
      <c r="I5955" s="118">
        <v>3.4722222222222224E-4</v>
      </c>
      <c r="J5955"/>
      <c r="K5955"/>
    </row>
    <row r="5956" spans="1:11" x14ac:dyDescent="0.25">
      <c r="A5956">
        <v>5</v>
      </c>
      <c r="B5956">
        <v>22</v>
      </c>
      <c r="C5956"/>
      <c r="D5956" t="s">
        <v>31</v>
      </c>
      <c r="E5956" t="s">
        <v>35</v>
      </c>
      <c r="F5956" t="s">
        <v>45</v>
      </c>
      <c r="G5956" s="118">
        <v>0.96224537037037028</v>
      </c>
      <c r="H5956" s="118">
        <v>1.2384259259259258E-3</v>
      </c>
      <c r="I5956" s="118">
        <v>3.4722222222222224E-4</v>
      </c>
      <c r="J5956"/>
      <c r="K5956"/>
    </row>
    <row r="5957" spans="1:11" x14ac:dyDescent="0.25">
      <c r="A5957">
        <v>2</v>
      </c>
      <c r="B5957">
        <v>21</v>
      </c>
      <c r="C5957"/>
      <c r="D5957" t="s">
        <v>31</v>
      </c>
      <c r="E5957" t="s">
        <v>32</v>
      </c>
      <c r="F5957" t="s">
        <v>56</v>
      </c>
      <c r="G5957" s="118">
        <v>0.96231481481481485</v>
      </c>
      <c r="H5957" s="118">
        <v>3.4722222222222224E-4</v>
      </c>
      <c r="I5957" s="118">
        <v>9.6064814814814808E-4</v>
      </c>
      <c r="J5957" s="118">
        <v>7.0717592592592594E-3</v>
      </c>
      <c r="K5957" s="118">
        <v>7.0717592592592594E-3</v>
      </c>
    </row>
    <row r="5958" spans="1:11" x14ac:dyDescent="0.25">
      <c r="A5958">
        <v>5</v>
      </c>
      <c r="B5958">
        <v>22</v>
      </c>
      <c r="C5958"/>
      <c r="D5958" t="s">
        <v>31</v>
      </c>
      <c r="E5958" t="s">
        <v>32</v>
      </c>
      <c r="F5958" t="s">
        <v>45</v>
      </c>
      <c r="G5958" s="118">
        <v>0.96259259259259267</v>
      </c>
      <c r="H5958" s="118">
        <v>3.4722222222222224E-4</v>
      </c>
      <c r="I5958" s="118">
        <v>1.0416666666666667E-3</v>
      </c>
      <c r="J5958" s="118">
        <v>7.0717592592592594E-3</v>
      </c>
      <c r="K5958" s="118">
        <v>7.0717592592592594E-3</v>
      </c>
    </row>
    <row r="5959" spans="1:11" x14ac:dyDescent="0.25">
      <c r="A5959">
        <v>1</v>
      </c>
      <c r="B5959">
        <v>21</v>
      </c>
      <c r="C5959"/>
      <c r="D5959" t="s">
        <v>31</v>
      </c>
      <c r="E5959" t="s">
        <v>35</v>
      </c>
      <c r="F5959" t="s">
        <v>41</v>
      </c>
      <c r="G5959" s="118">
        <v>0.96267361111111116</v>
      </c>
      <c r="H5959" s="118">
        <v>1.0069444444444444E-3</v>
      </c>
      <c r="I5959" s="118">
        <v>3.4722222222222224E-4</v>
      </c>
      <c r="J5959"/>
      <c r="K5959"/>
    </row>
    <row r="5960" spans="1:11" x14ac:dyDescent="0.25">
      <c r="A5960">
        <v>4</v>
      </c>
      <c r="B5960">
        <v>21</v>
      </c>
      <c r="C5960"/>
      <c r="D5960" t="s">
        <v>31</v>
      </c>
      <c r="E5960" t="s">
        <v>35</v>
      </c>
      <c r="F5960" t="s">
        <v>51</v>
      </c>
      <c r="G5960" s="118">
        <v>0.96283564814814815</v>
      </c>
      <c r="H5960" s="118">
        <v>9.1435185185185185E-4</v>
      </c>
      <c r="I5960" s="118">
        <v>3.4722222222222224E-4</v>
      </c>
      <c r="J5960"/>
      <c r="K5960"/>
    </row>
    <row r="5961" spans="1:11" x14ac:dyDescent="0.25">
      <c r="A5961">
        <v>9</v>
      </c>
      <c r="B5961">
        <v>8</v>
      </c>
      <c r="C5961"/>
      <c r="D5961" t="s">
        <v>31</v>
      </c>
      <c r="E5961" t="s">
        <v>35</v>
      </c>
      <c r="F5961" t="s">
        <v>33</v>
      </c>
      <c r="G5961" s="118">
        <v>0.96300925925925929</v>
      </c>
      <c r="H5961" s="118">
        <v>1.3541666666666667E-3</v>
      </c>
      <c r="I5961" s="118">
        <v>5.2083333333333333E-4</v>
      </c>
      <c r="J5961"/>
      <c r="K5961"/>
    </row>
    <row r="5962" spans="1:11" x14ac:dyDescent="0.25">
      <c r="A5962">
        <v>1</v>
      </c>
      <c r="B5962">
        <v>21</v>
      </c>
      <c r="C5962"/>
      <c r="D5962" t="s">
        <v>31</v>
      </c>
      <c r="E5962" t="s">
        <v>32</v>
      </c>
      <c r="F5962" t="s">
        <v>41</v>
      </c>
      <c r="G5962" s="118">
        <v>0.96302083333333333</v>
      </c>
      <c r="H5962" s="118">
        <v>3.4722222222222224E-4</v>
      </c>
      <c r="I5962" s="118">
        <v>8.564814814814815E-4</v>
      </c>
      <c r="J5962" s="118">
        <v>7.0717592592592594E-3</v>
      </c>
      <c r="K5962" s="118">
        <v>7.0717592592592594E-3</v>
      </c>
    </row>
    <row r="5963" spans="1:11" x14ac:dyDescent="0.25">
      <c r="A5963">
        <v>4</v>
      </c>
      <c r="B5963">
        <v>21</v>
      </c>
      <c r="C5963"/>
      <c r="D5963" t="s">
        <v>31</v>
      </c>
      <c r="E5963" t="s">
        <v>32</v>
      </c>
      <c r="F5963" t="s">
        <v>51</v>
      </c>
      <c r="G5963" s="118">
        <v>0.96318287037037031</v>
      </c>
      <c r="H5963" s="118">
        <v>3.4722222222222224E-4</v>
      </c>
      <c r="I5963" s="118">
        <v>1.0069444444444444E-3</v>
      </c>
      <c r="J5963" s="118">
        <v>7.0717592592592594E-3</v>
      </c>
      <c r="K5963" s="118">
        <v>7.0717592592592594E-3</v>
      </c>
    </row>
    <row r="5964" spans="1:11" x14ac:dyDescent="0.25">
      <c r="A5964">
        <v>2</v>
      </c>
      <c r="B5964">
        <v>21</v>
      </c>
      <c r="C5964"/>
      <c r="D5964" t="s">
        <v>31</v>
      </c>
      <c r="E5964" t="s">
        <v>35</v>
      </c>
      <c r="F5964" t="s">
        <v>37</v>
      </c>
      <c r="G5964" s="118">
        <v>0.96327546296296296</v>
      </c>
      <c r="H5964" s="118">
        <v>9.6064814814814808E-4</v>
      </c>
      <c r="I5964" s="118">
        <v>3.4722222222222224E-4</v>
      </c>
      <c r="J5964"/>
      <c r="K5964"/>
    </row>
    <row r="5965" spans="1:11" x14ac:dyDescent="0.25">
      <c r="A5965">
        <v>9</v>
      </c>
      <c r="B5965">
        <v>8</v>
      </c>
      <c r="C5965"/>
      <c r="D5965" t="s">
        <v>31</v>
      </c>
      <c r="E5965" t="s">
        <v>32</v>
      </c>
      <c r="F5965" t="s">
        <v>33</v>
      </c>
      <c r="G5965" s="118">
        <v>0.96353009259259259</v>
      </c>
      <c r="H5965" s="118">
        <v>5.2083333333333333E-4</v>
      </c>
      <c r="I5965" s="118">
        <v>9.6064814814814808E-4</v>
      </c>
      <c r="J5965" s="118">
        <v>7.0717592592592594E-3</v>
      </c>
      <c r="K5965" s="118">
        <v>7.0717592592592594E-3</v>
      </c>
    </row>
    <row r="5966" spans="1:11" x14ac:dyDescent="0.25">
      <c r="A5966">
        <v>2</v>
      </c>
      <c r="B5966">
        <v>21</v>
      </c>
      <c r="C5966"/>
      <c r="D5966" t="s">
        <v>31</v>
      </c>
      <c r="E5966" t="s">
        <v>32</v>
      </c>
      <c r="F5966" t="s">
        <v>37</v>
      </c>
      <c r="G5966" s="118">
        <v>0.96362268518518512</v>
      </c>
      <c r="H5966" s="118">
        <v>3.4722222222222224E-4</v>
      </c>
      <c r="I5966" s="118">
        <v>9.0277777777777784E-4</v>
      </c>
      <c r="J5966" s="118">
        <v>7.0717592592592594E-3</v>
      </c>
      <c r="K5966" s="118">
        <v>7.0717592592592594E-3</v>
      </c>
    </row>
    <row r="5967" spans="1:11" x14ac:dyDescent="0.25">
      <c r="A5967">
        <v>5</v>
      </c>
      <c r="B5967">
        <v>22</v>
      </c>
      <c r="C5967"/>
      <c r="D5967" t="s">
        <v>31</v>
      </c>
      <c r="E5967" t="s">
        <v>35</v>
      </c>
      <c r="F5967" t="s">
        <v>52</v>
      </c>
      <c r="G5967" s="118">
        <v>0.96363425925925927</v>
      </c>
      <c r="H5967" s="118">
        <v>1.0416666666666667E-3</v>
      </c>
      <c r="I5967" s="118">
        <v>3.4722222222222224E-4</v>
      </c>
      <c r="J5967"/>
      <c r="K5967"/>
    </row>
    <row r="5968" spans="1:11" x14ac:dyDescent="0.25">
      <c r="A5968">
        <v>1</v>
      </c>
      <c r="B5968">
        <v>21</v>
      </c>
      <c r="C5968"/>
      <c r="D5968" t="s">
        <v>31</v>
      </c>
      <c r="E5968" t="s">
        <v>35</v>
      </c>
      <c r="F5968" t="s">
        <v>47</v>
      </c>
      <c r="G5968" s="118">
        <v>0.96387731481481476</v>
      </c>
      <c r="H5968" s="118">
        <v>8.564814814814815E-4</v>
      </c>
      <c r="I5968" s="118">
        <v>5.2083333333333333E-4</v>
      </c>
      <c r="J5968"/>
      <c r="K5968"/>
    </row>
    <row r="5969" spans="1:11" x14ac:dyDescent="0.25">
      <c r="A5969">
        <v>5</v>
      </c>
      <c r="B5969">
        <v>22</v>
      </c>
      <c r="C5969"/>
      <c r="D5969" t="s">
        <v>31</v>
      </c>
      <c r="E5969" t="s">
        <v>32</v>
      </c>
      <c r="F5969" t="s">
        <v>52</v>
      </c>
      <c r="G5969" s="118">
        <v>0.96398148148148144</v>
      </c>
      <c r="H5969" s="118">
        <v>3.4722222222222224E-4</v>
      </c>
      <c r="I5969" s="118">
        <v>1.0532407407407407E-3</v>
      </c>
      <c r="J5969" s="118">
        <v>7.0717592592592594E-3</v>
      </c>
      <c r="K5969" s="118">
        <v>7.0717592592592594E-3</v>
      </c>
    </row>
    <row r="5970" spans="1:11" x14ac:dyDescent="0.25">
      <c r="A5970">
        <v>4</v>
      </c>
      <c r="B5970">
        <v>21</v>
      </c>
      <c r="C5970"/>
      <c r="D5970" t="s">
        <v>31</v>
      </c>
      <c r="E5970" t="s">
        <v>35</v>
      </c>
      <c r="F5970" t="s">
        <v>55</v>
      </c>
      <c r="G5970" s="118">
        <v>0.96418981481481481</v>
      </c>
      <c r="H5970" s="118">
        <v>1.0069444444444444E-3</v>
      </c>
      <c r="I5970" s="118">
        <v>4.6296296296296293E-4</v>
      </c>
      <c r="J5970"/>
      <c r="K5970"/>
    </row>
    <row r="5971" spans="1:11" x14ac:dyDescent="0.25">
      <c r="A5971">
        <v>1</v>
      </c>
      <c r="B5971">
        <v>21</v>
      </c>
      <c r="C5971"/>
      <c r="D5971" t="s">
        <v>31</v>
      </c>
      <c r="E5971" t="s">
        <v>32</v>
      </c>
      <c r="F5971" t="s">
        <v>47</v>
      </c>
      <c r="G5971" s="118">
        <v>0.96439814814814817</v>
      </c>
      <c r="H5971" s="118">
        <v>5.2083333333333333E-4</v>
      </c>
      <c r="I5971" s="118">
        <v>8.7962962962962962E-4</v>
      </c>
      <c r="J5971" s="118">
        <v>7.0717592592592594E-3</v>
      </c>
      <c r="K5971" s="118">
        <v>7.0717592592592594E-3</v>
      </c>
    </row>
    <row r="5972" spans="1:11" x14ac:dyDescent="0.25">
      <c r="A5972">
        <v>9</v>
      </c>
      <c r="B5972">
        <v>8</v>
      </c>
      <c r="C5972"/>
      <c r="D5972" t="s">
        <v>31</v>
      </c>
      <c r="E5972" t="s">
        <v>35</v>
      </c>
      <c r="F5972" t="s">
        <v>36</v>
      </c>
      <c r="G5972" s="118">
        <v>0.9644907407407407</v>
      </c>
      <c r="H5972" s="118">
        <v>9.6064814814814808E-4</v>
      </c>
      <c r="I5972" s="118">
        <v>3.4722222222222224E-4</v>
      </c>
      <c r="J5972"/>
      <c r="K5972"/>
    </row>
    <row r="5973" spans="1:11" x14ac:dyDescent="0.25">
      <c r="A5973">
        <v>2</v>
      </c>
      <c r="B5973">
        <v>21</v>
      </c>
      <c r="C5973"/>
      <c r="D5973" t="s">
        <v>31</v>
      </c>
      <c r="E5973" t="s">
        <v>35</v>
      </c>
      <c r="F5973" t="s">
        <v>42</v>
      </c>
      <c r="G5973" s="118">
        <v>0.96452546296296304</v>
      </c>
      <c r="H5973" s="118">
        <v>9.0277777777777784E-4</v>
      </c>
      <c r="I5973" s="118">
        <v>3.4722222222222224E-4</v>
      </c>
      <c r="J5973"/>
      <c r="K5973"/>
    </row>
    <row r="5974" spans="1:11" x14ac:dyDescent="0.25">
      <c r="A5974">
        <v>4</v>
      </c>
      <c r="B5974">
        <v>21</v>
      </c>
      <c r="C5974"/>
      <c r="D5974" t="s">
        <v>31</v>
      </c>
      <c r="E5974" t="s">
        <v>32</v>
      </c>
      <c r="F5974" t="s">
        <v>55</v>
      </c>
      <c r="G5974" s="118">
        <v>0.9646527777777778</v>
      </c>
      <c r="H5974" s="118">
        <v>4.6296296296296293E-4</v>
      </c>
      <c r="I5974" s="118">
        <v>4.3981481481481481E-4</v>
      </c>
      <c r="J5974" s="118">
        <v>7.0717592592592594E-3</v>
      </c>
      <c r="K5974" s="118">
        <v>7.0717592592592594E-3</v>
      </c>
    </row>
    <row r="5975" spans="1:11" x14ac:dyDescent="0.25">
      <c r="A5975">
        <v>9</v>
      </c>
      <c r="B5975">
        <v>8</v>
      </c>
      <c r="C5975"/>
      <c r="D5975" t="s">
        <v>31</v>
      </c>
      <c r="E5975" t="s">
        <v>32</v>
      </c>
      <c r="F5975" t="s">
        <v>36</v>
      </c>
      <c r="G5975" s="118">
        <v>0.96483796296296298</v>
      </c>
      <c r="H5975" s="118">
        <v>3.4722222222222224E-4</v>
      </c>
      <c r="I5975" s="118">
        <v>1.0995370370370371E-3</v>
      </c>
      <c r="J5975" s="118">
        <v>7.0717592592592594E-3</v>
      </c>
      <c r="K5975" s="118">
        <v>7.0717592592592594E-3</v>
      </c>
    </row>
    <row r="5976" spans="1:11" x14ac:dyDescent="0.25">
      <c r="A5976">
        <v>2</v>
      </c>
      <c r="B5976">
        <v>21</v>
      </c>
      <c r="C5976"/>
      <c r="D5976" t="s">
        <v>31</v>
      </c>
      <c r="E5976" t="s">
        <v>32</v>
      </c>
      <c r="F5976" t="s">
        <v>42</v>
      </c>
      <c r="G5976" s="118">
        <v>0.96487268518518521</v>
      </c>
      <c r="H5976" s="118">
        <v>3.4722222222222224E-4</v>
      </c>
      <c r="I5976" s="118">
        <v>9.1435185185185185E-4</v>
      </c>
      <c r="J5976" s="118">
        <v>7.0717592592592594E-3</v>
      </c>
      <c r="K5976" s="118">
        <v>7.0717592592592594E-3</v>
      </c>
    </row>
    <row r="5977" spans="1:11" x14ac:dyDescent="0.25">
      <c r="A5977">
        <v>5</v>
      </c>
      <c r="B5977">
        <v>22</v>
      </c>
      <c r="C5977"/>
      <c r="D5977" t="s">
        <v>31</v>
      </c>
      <c r="E5977" t="s">
        <v>35</v>
      </c>
      <c r="F5977" t="s">
        <v>57</v>
      </c>
      <c r="G5977" s="118">
        <v>0.9650347222222222</v>
      </c>
      <c r="H5977" s="118">
        <v>1.0532407407407407E-3</v>
      </c>
      <c r="I5977" s="118">
        <v>3.4722222222222224E-4</v>
      </c>
      <c r="J5977"/>
      <c r="K5977"/>
    </row>
    <row r="5978" spans="1:11" x14ac:dyDescent="0.25">
      <c r="A5978">
        <v>4</v>
      </c>
      <c r="B5978">
        <v>21</v>
      </c>
      <c r="C5978"/>
      <c r="D5978" t="s">
        <v>31</v>
      </c>
      <c r="E5978" t="s">
        <v>35</v>
      </c>
      <c r="F5978" t="s">
        <v>58</v>
      </c>
      <c r="G5978" s="118">
        <v>0.96509259259259261</v>
      </c>
      <c r="H5978" s="118">
        <v>4.3981481481481481E-4</v>
      </c>
      <c r="I5978" s="118">
        <v>5.7870370370370366E-5</v>
      </c>
      <c r="J5978"/>
      <c r="K5978"/>
    </row>
    <row r="5979" spans="1:11" x14ac:dyDescent="0.25">
      <c r="A5979">
        <v>4</v>
      </c>
      <c r="B5979">
        <v>21</v>
      </c>
      <c r="C5979"/>
      <c r="D5979" t="s">
        <v>31</v>
      </c>
      <c r="E5979" t="s">
        <v>32</v>
      </c>
      <c r="F5979" t="s">
        <v>58</v>
      </c>
      <c r="G5979" s="118">
        <v>0.96515046296296303</v>
      </c>
      <c r="H5979" s="118">
        <v>5.7870370370370366E-5</v>
      </c>
      <c r="I5979" s="118">
        <v>4.8611111111111104E-4</v>
      </c>
      <c r="J5979" s="118">
        <v>7.0717592592592594E-3</v>
      </c>
      <c r="K5979" s="118">
        <v>7.0717592592592594E-3</v>
      </c>
    </row>
    <row r="5980" spans="1:11" x14ac:dyDescent="0.25">
      <c r="A5980">
        <v>1</v>
      </c>
      <c r="B5980">
        <v>21</v>
      </c>
      <c r="C5980"/>
      <c r="D5980" t="s">
        <v>31</v>
      </c>
      <c r="E5980" t="s">
        <v>35</v>
      </c>
      <c r="F5980" t="s">
        <v>53</v>
      </c>
      <c r="G5980" s="118">
        <v>0.96527777777777779</v>
      </c>
      <c r="H5980" s="118">
        <v>8.7962962962962962E-4</v>
      </c>
      <c r="I5980" s="118">
        <v>3.4722222222222224E-4</v>
      </c>
      <c r="J5980"/>
      <c r="K5980"/>
    </row>
    <row r="5981" spans="1:11" x14ac:dyDescent="0.25">
      <c r="A5981">
        <v>5</v>
      </c>
      <c r="B5981">
        <v>22</v>
      </c>
      <c r="C5981"/>
      <c r="D5981" t="s">
        <v>31</v>
      </c>
      <c r="E5981" t="s">
        <v>32</v>
      </c>
      <c r="F5981" t="s">
        <v>57</v>
      </c>
      <c r="G5981" s="118">
        <v>0.96538194444444436</v>
      </c>
      <c r="H5981" s="118">
        <v>3.4722222222222224E-4</v>
      </c>
      <c r="I5981" s="118">
        <v>9.3750000000000007E-4</v>
      </c>
      <c r="J5981" s="118">
        <v>7.0717592592592594E-3</v>
      </c>
      <c r="K5981" s="118">
        <v>7.0717592592592594E-3</v>
      </c>
    </row>
    <row r="5982" spans="1:11" x14ac:dyDescent="0.25">
      <c r="A5982">
        <v>1</v>
      </c>
      <c r="B5982">
        <v>21</v>
      </c>
      <c r="C5982"/>
      <c r="D5982" t="s">
        <v>31</v>
      </c>
      <c r="E5982" t="s">
        <v>32</v>
      </c>
      <c r="F5982" t="s">
        <v>53</v>
      </c>
      <c r="G5982" s="118">
        <v>0.96562500000000007</v>
      </c>
      <c r="H5982" s="118">
        <v>3.4722222222222224E-4</v>
      </c>
      <c r="I5982" s="118">
        <v>8.449074074074075E-4</v>
      </c>
      <c r="J5982" s="118">
        <v>7.0717592592592594E-3</v>
      </c>
      <c r="K5982" s="118">
        <v>7.0717592592592594E-3</v>
      </c>
    </row>
    <row r="5983" spans="1:11" x14ac:dyDescent="0.25">
      <c r="A5983">
        <v>4</v>
      </c>
      <c r="B5983">
        <v>21</v>
      </c>
      <c r="C5983"/>
      <c r="D5983" t="s">
        <v>31</v>
      </c>
      <c r="E5983" t="s">
        <v>35</v>
      </c>
      <c r="F5983" t="s">
        <v>40</v>
      </c>
      <c r="G5983" s="118">
        <v>0.96563657407407411</v>
      </c>
      <c r="H5983" s="118">
        <v>4.8611111111111104E-4</v>
      </c>
      <c r="I5983" s="118">
        <v>4.6296296296296293E-4</v>
      </c>
      <c r="J5983"/>
      <c r="K5983"/>
    </row>
    <row r="5984" spans="1:11" x14ac:dyDescent="0.25">
      <c r="A5984">
        <v>2</v>
      </c>
      <c r="B5984">
        <v>21</v>
      </c>
      <c r="C5984"/>
      <c r="D5984" t="s">
        <v>31</v>
      </c>
      <c r="E5984" t="s">
        <v>35</v>
      </c>
      <c r="F5984" t="s">
        <v>48</v>
      </c>
      <c r="G5984" s="118">
        <v>0.96578703703703705</v>
      </c>
      <c r="H5984" s="118">
        <v>9.1435185185185185E-4</v>
      </c>
      <c r="I5984" s="118">
        <v>5.2083333333333333E-4</v>
      </c>
      <c r="J5984"/>
      <c r="K5984"/>
    </row>
    <row r="5985" spans="1:11" x14ac:dyDescent="0.25">
      <c r="A5985">
        <v>9</v>
      </c>
      <c r="B5985">
        <v>8</v>
      </c>
      <c r="C5985"/>
      <c r="D5985" t="s">
        <v>31</v>
      </c>
      <c r="E5985" t="s">
        <v>35</v>
      </c>
      <c r="F5985" t="s">
        <v>43</v>
      </c>
      <c r="G5985" s="118">
        <v>0.9659375</v>
      </c>
      <c r="H5985" s="118">
        <v>1.0995370370370371E-3</v>
      </c>
      <c r="I5985" s="118">
        <v>3.4722222222222224E-4</v>
      </c>
      <c r="J5985"/>
      <c r="K5985"/>
    </row>
    <row r="5986" spans="1:11" x14ac:dyDescent="0.25">
      <c r="A5986">
        <v>4</v>
      </c>
      <c r="B5986">
        <v>21</v>
      </c>
      <c r="C5986"/>
      <c r="D5986" t="s">
        <v>31</v>
      </c>
      <c r="E5986" t="s">
        <v>32</v>
      </c>
      <c r="F5986" t="s">
        <v>40</v>
      </c>
      <c r="G5986" s="118">
        <v>0.96609953703703699</v>
      </c>
      <c r="H5986" s="118">
        <v>4.6296296296296293E-4</v>
      </c>
      <c r="I5986" s="118">
        <v>1.0069444444444444E-3</v>
      </c>
      <c r="J5986" s="118">
        <v>7.0717592592592594E-3</v>
      </c>
      <c r="K5986" s="118">
        <v>7.0717592592592594E-3</v>
      </c>
    </row>
    <row r="5987" spans="1:11" x14ac:dyDescent="0.25">
      <c r="A5987">
        <v>9</v>
      </c>
      <c r="B5987">
        <v>8</v>
      </c>
      <c r="C5987"/>
      <c r="D5987" t="s">
        <v>31</v>
      </c>
      <c r="E5987" t="s">
        <v>32</v>
      </c>
      <c r="F5987" t="s">
        <v>43</v>
      </c>
      <c r="G5987" s="118">
        <v>0.96628472222222228</v>
      </c>
      <c r="H5987" s="118">
        <v>3.4722222222222224E-4</v>
      </c>
      <c r="I5987" s="118">
        <v>1.1458333333333333E-3</v>
      </c>
      <c r="J5987" s="118">
        <v>7.0717592592592594E-3</v>
      </c>
      <c r="K5987" s="118">
        <v>7.0717592592592594E-3</v>
      </c>
    </row>
    <row r="5988" spans="1:11" x14ac:dyDescent="0.25">
      <c r="A5988">
        <v>2</v>
      </c>
      <c r="B5988">
        <v>21</v>
      </c>
      <c r="C5988"/>
      <c r="D5988" t="s">
        <v>31</v>
      </c>
      <c r="E5988" t="s">
        <v>32</v>
      </c>
      <c r="F5988" t="s">
        <v>48</v>
      </c>
      <c r="G5988" s="118">
        <v>0.96630787037037036</v>
      </c>
      <c r="H5988" s="118">
        <v>5.2083333333333333E-4</v>
      </c>
      <c r="I5988" s="118">
        <v>8.6805555555555551E-4</v>
      </c>
      <c r="J5988" s="118">
        <v>7.0717592592592594E-3</v>
      </c>
      <c r="K5988" s="118">
        <v>7.0717592592592594E-3</v>
      </c>
    </row>
    <row r="5989" spans="1:11" x14ac:dyDescent="0.25">
      <c r="A5989">
        <v>5</v>
      </c>
      <c r="B5989">
        <v>22</v>
      </c>
      <c r="C5989"/>
      <c r="D5989" t="s">
        <v>31</v>
      </c>
      <c r="E5989" t="s">
        <v>35</v>
      </c>
      <c r="F5989" t="s">
        <v>39</v>
      </c>
      <c r="G5989" s="118">
        <v>0.9663194444444444</v>
      </c>
      <c r="H5989" s="118">
        <v>9.3750000000000007E-4</v>
      </c>
      <c r="I5989" s="118">
        <v>5.2083333333333333E-4</v>
      </c>
      <c r="J5989"/>
      <c r="K5989"/>
    </row>
    <row r="5990" spans="1:11" x14ac:dyDescent="0.25">
      <c r="A5990">
        <v>1</v>
      </c>
      <c r="B5990">
        <v>21</v>
      </c>
      <c r="C5990"/>
      <c r="D5990" t="s">
        <v>31</v>
      </c>
      <c r="E5990" t="s">
        <v>35</v>
      </c>
      <c r="F5990" t="s">
        <v>34</v>
      </c>
      <c r="G5990" s="118">
        <v>0.96646990740740746</v>
      </c>
      <c r="H5990" s="118">
        <v>8.449074074074075E-4</v>
      </c>
      <c r="I5990" s="118">
        <v>3.4722222222222224E-4</v>
      </c>
      <c r="J5990"/>
      <c r="K5990"/>
    </row>
    <row r="5991" spans="1:11" x14ac:dyDescent="0.25">
      <c r="A5991">
        <v>1</v>
      </c>
      <c r="B5991">
        <v>21</v>
      </c>
      <c r="C5991"/>
      <c r="D5991" t="s">
        <v>31</v>
      </c>
      <c r="E5991" t="s">
        <v>32</v>
      </c>
      <c r="F5991" t="s">
        <v>34</v>
      </c>
      <c r="G5991" s="118">
        <v>0.96681712962962962</v>
      </c>
      <c r="H5991" s="118">
        <v>3.4722222222222224E-4</v>
      </c>
      <c r="I5991" s="118">
        <v>9.1435185185185185E-4</v>
      </c>
      <c r="J5991" s="118">
        <v>7.0717592592592594E-3</v>
      </c>
      <c r="K5991" s="118">
        <v>7.0717592592592594E-3</v>
      </c>
    </row>
    <row r="5992" spans="1:11" x14ac:dyDescent="0.25">
      <c r="A5992">
        <v>5</v>
      </c>
      <c r="B5992">
        <v>22</v>
      </c>
      <c r="C5992"/>
      <c r="D5992" t="s">
        <v>31</v>
      </c>
      <c r="E5992" t="s">
        <v>32</v>
      </c>
      <c r="F5992" t="s">
        <v>39</v>
      </c>
      <c r="G5992" s="118">
        <v>0.9668402777777777</v>
      </c>
      <c r="H5992" s="118">
        <v>5.2083333333333333E-4</v>
      </c>
      <c r="I5992" s="118">
        <v>1.8055555555555557E-3</v>
      </c>
      <c r="J5992" s="118">
        <v>7.0717592592592594E-3</v>
      </c>
      <c r="K5992" s="118">
        <v>7.0717592592592594E-3</v>
      </c>
    </row>
    <row r="5993" spans="1:11" x14ac:dyDescent="0.25">
      <c r="A5993">
        <v>4</v>
      </c>
      <c r="B5993">
        <v>21</v>
      </c>
      <c r="C5993"/>
      <c r="D5993" t="s">
        <v>31</v>
      </c>
      <c r="E5993" t="s">
        <v>35</v>
      </c>
      <c r="F5993" t="s">
        <v>44</v>
      </c>
      <c r="G5993" s="118">
        <v>0.96710648148148148</v>
      </c>
      <c r="H5993" s="118">
        <v>1.0069444444444444E-3</v>
      </c>
      <c r="I5993" s="118">
        <v>3.4722222222222224E-4</v>
      </c>
      <c r="J5993"/>
      <c r="K5993"/>
    </row>
    <row r="5994" spans="1:11" x14ac:dyDescent="0.25">
      <c r="A5994">
        <v>2</v>
      </c>
      <c r="B5994">
        <v>21</v>
      </c>
      <c r="C5994"/>
      <c r="D5994" t="s">
        <v>31</v>
      </c>
      <c r="E5994" t="s">
        <v>35</v>
      </c>
      <c r="F5994" t="s">
        <v>54</v>
      </c>
      <c r="G5994" s="118">
        <v>0.96717592592592594</v>
      </c>
      <c r="H5994" s="118">
        <v>8.6805555555555551E-4</v>
      </c>
      <c r="I5994" s="118">
        <v>3.4722222222222224E-4</v>
      </c>
      <c r="J5994"/>
      <c r="K5994"/>
    </row>
    <row r="5995" spans="1:11" x14ac:dyDescent="0.25">
      <c r="A5995">
        <v>9</v>
      </c>
      <c r="B5995">
        <v>8</v>
      </c>
      <c r="C5995"/>
      <c r="D5995" t="s">
        <v>31</v>
      </c>
      <c r="E5995" t="s">
        <v>35</v>
      </c>
      <c r="F5995" t="s">
        <v>50</v>
      </c>
      <c r="G5995" s="118">
        <v>0.96743055555555557</v>
      </c>
      <c r="H5995" s="118">
        <v>1.1458333333333333E-3</v>
      </c>
      <c r="I5995" s="118">
        <v>3.4722222222222224E-4</v>
      </c>
      <c r="J5995"/>
      <c r="K5995"/>
    </row>
    <row r="5996" spans="1:11" x14ac:dyDescent="0.25">
      <c r="A5996">
        <v>4</v>
      </c>
      <c r="B5996">
        <v>21</v>
      </c>
      <c r="C5996"/>
      <c r="D5996" t="s">
        <v>31</v>
      </c>
      <c r="E5996" t="s">
        <v>32</v>
      </c>
      <c r="F5996" t="s">
        <v>44</v>
      </c>
      <c r="G5996" s="118">
        <v>0.96745370370370365</v>
      </c>
      <c r="H5996" s="118">
        <v>3.4722222222222224E-4</v>
      </c>
      <c r="I5996" s="118">
        <v>9.2592592592592585E-4</v>
      </c>
      <c r="J5996" s="118">
        <v>7.0717592592592594E-3</v>
      </c>
      <c r="K5996" s="118">
        <v>7.0717592592592594E-3</v>
      </c>
    </row>
    <row r="5997" spans="1:11" x14ac:dyDescent="0.25">
      <c r="A5997">
        <v>2</v>
      </c>
      <c r="B5997">
        <v>21</v>
      </c>
      <c r="C5997"/>
      <c r="D5997" t="s">
        <v>31</v>
      </c>
      <c r="E5997" t="s">
        <v>32</v>
      </c>
      <c r="F5997" t="s">
        <v>54</v>
      </c>
      <c r="G5997" s="118">
        <v>0.96752314814814822</v>
      </c>
      <c r="H5997" s="118">
        <v>3.4722222222222224E-4</v>
      </c>
      <c r="I5997" s="118">
        <v>6.9444444444444447E-4</v>
      </c>
      <c r="J5997" s="118">
        <v>7.0717592592592594E-3</v>
      </c>
      <c r="K5997" s="118">
        <v>7.0717592592592594E-3</v>
      </c>
    </row>
    <row r="5998" spans="1:11" x14ac:dyDescent="0.25">
      <c r="A5998">
        <v>1</v>
      </c>
      <c r="B5998">
        <v>21</v>
      </c>
      <c r="C5998"/>
      <c r="D5998" t="s">
        <v>31</v>
      </c>
      <c r="E5998" t="s">
        <v>35</v>
      </c>
      <c r="F5998" t="s">
        <v>38</v>
      </c>
      <c r="G5998" s="118">
        <v>0.96773148148148147</v>
      </c>
      <c r="H5998" s="118">
        <v>9.1435185185185185E-4</v>
      </c>
      <c r="I5998" s="118">
        <v>3.4722222222222224E-4</v>
      </c>
      <c r="J5998"/>
      <c r="K5998"/>
    </row>
    <row r="5999" spans="1:11" x14ac:dyDescent="0.25">
      <c r="A5999">
        <v>9</v>
      </c>
      <c r="B5999">
        <v>8</v>
      </c>
      <c r="C5999"/>
      <c r="D5999" t="s">
        <v>31</v>
      </c>
      <c r="E5999" t="s">
        <v>32</v>
      </c>
      <c r="F5999" t="s">
        <v>50</v>
      </c>
      <c r="G5999" s="118">
        <v>0.96777777777777774</v>
      </c>
      <c r="H5999" s="118">
        <v>3.4722222222222224E-4</v>
      </c>
      <c r="I5999" s="118">
        <v>1.261574074074074E-3</v>
      </c>
      <c r="J5999" s="118">
        <v>7.0717592592592594E-3</v>
      </c>
      <c r="K5999" s="118">
        <v>7.0717592592592594E-3</v>
      </c>
    </row>
    <row r="6000" spans="1:11" x14ac:dyDescent="0.25">
      <c r="A6000">
        <v>1</v>
      </c>
      <c r="B6000">
        <v>21</v>
      </c>
      <c r="C6000"/>
      <c r="D6000" t="s">
        <v>31</v>
      </c>
      <c r="E6000" t="s">
        <v>32</v>
      </c>
      <c r="F6000" t="s">
        <v>38</v>
      </c>
      <c r="G6000" s="118">
        <v>0.96807870370370364</v>
      </c>
      <c r="H6000" s="118">
        <v>3.4722222222222224E-4</v>
      </c>
      <c r="I6000" s="118">
        <v>1.2384259259259258E-3</v>
      </c>
      <c r="J6000" s="118">
        <v>7.0717592592592594E-3</v>
      </c>
      <c r="K6000" s="118">
        <v>7.0717592592592594E-3</v>
      </c>
    </row>
    <row r="6001" spans="1:11" x14ac:dyDescent="0.25">
      <c r="A6001">
        <v>2</v>
      </c>
      <c r="B6001">
        <v>21</v>
      </c>
      <c r="C6001"/>
      <c r="D6001" t="s">
        <v>31</v>
      </c>
      <c r="E6001" t="s">
        <v>35</v>
      </c>
      <c r="F6001" t="s">
        <v>92</v>
      </c>
      <c r="G6001" s="118">
        <v>0.96821759259259255</v>
      </c>
      <c r="H6001" s="118">
        <v>6.9444444444444447E-4</v>
      </c>
      <c r="I6001" s="118">
        <v>5.2083333333333333E-4</v>
      </c>
      <c r="J6001"/>
      <c r="K6001"/>
    </row>
    <row r="6002" spans="1:11" x14ac:dyDescent="0.25">
      <c r="A6002">
        <v>4</v>
      </c>
      <c r="B6002">
        <v>21</v>
      </c>
      <c r="C6002"/>
      <c r="D6002" t="s">
        <v>31</v>
      </c>
      <c r="E6002" t="s">
        <v>35</v>
      </c>
      <c r="F6002" t="s">
        <v>49</v>
      </c>
      <c r="G6002" s="118">
        <v>0.96837962962962953</v>
      </c>
      <c r="H6002" s="118">
        <v>9.2592592592592585E-4</v>
      </c>
      <c r="I6002" s="118">
        <v>3.4722222222222224E-4</v>
      </c>
      <c r="J6002"/>
      <c r="K6002"/>
    </row>
    <row r="6003" spans="1:11" x14ac:dyDescent="0.25">
      <c r="A6003">
        <v>5</v>
      </c>
      <c r="B6003">
        <v>22</v>
      </c>
      <c r="C6003"/>
      <c r="D6003" t="s">
        <v>31</v>
      </c>
      <c r="E6003" t="s">
        <v>35</v>
      </c>
      <c r="F6003" t="s">
        <v>46</v>
      </c>
      <c r="G6003" s="118">
        <v>0.96864583333333332</v>
      </c>
      <c r="H6003" s="118">
        <v>1.8055555555555557E-3</v>
      </c>
      <c r="I6003" s="118">
        <v>3.4722222222222224E-4</v>
      </c>
      <c r="J6003"/>
      <c r="K6003"/>
    </row>
    <row r="6004" spans="1:11" x14ac:dyDescent="0.25">
      <c r="A6004">
        <v>4</v>
      </c>
      <c r="B6004">
        <v>21</v>
      </c>
      <c r="C6004"/>
      <c r="D6004" t="s">
        <v>31</v>
      </c>
      <c r="E6004" t="s">
        <v>32</v>
      </c>
      <c r="F6004" t="s">
        <v>49</v>
      </c>
      <c r="G6004" s="118">
        <v>0.96872685185185192</v>
      </c>
      <c r="H6004" s="118">
        <v>3.4722222222222224E-4</v>
      </c>
      <c r="I6004" s="118">
        <v>1.3541666666666667E-3</v>
      </c>
      <c r="J6004" s="118">
        <v>7.0717592592592594E-3</v>
      </c>
      <c r="K6004" s="118">
        <v>7.0717592592592594E-3</v>
      </c>
    </row>
    <row r="6005" spans="1:11" x14ac:dyDescent="0.25">
      <c r="A6005">
        <v>2</v>
      </c>
      <c r="B6005">
        <v>22</v>
      </c>
      <c r="C6005"/>
      <c r="D6005" t="s">
        <v>31</v>
      </c>
      <c r="E6005" t="s">
        <v>32</v>
      </c>
      <c r="F6005" t="s">
        <v>92</v>
      </c>
      <c r="G6005" s="118">
        <v>0.96873842592592585</v>
      </c>
      <c r="H6005" s="118">
        <v>5.2083333333333333E-4</v>
      </c>
      <c r="I6005" s="118">
        <v>1.0069444444444444E-3</v>
      </c>
      <c r="J6005" s="118">
        <v>7.0717592592592594E-3</v>
      </c>
      <c r="K6005" s="118">
        <v>7.0717592592592594E-3</v>
      </c>
    </row>
    <row r="6006" spans="1:11" x14ac:dyDescent="0.25">
      <c r="A6006">
        <v>5</v>
      </c>
      <c r="B6006">
        <v>22</v>
      </c>
      <c r="C6006"/>
      <c r="D6006" t="s">
        <v>31</v>
      </c>
      <c r="E6006" t="s">
        <v>32</v>
      </c>
      <c r="F6006" t="s">
        <v>46</v>
      </c>
      <c r="G6006" s="118">
        <v>0.96899305555555548</v>
      </c>
      <c r="H6006" s="118">
        <v>3.4722222222222224E-4</v>
      </c>
      <c r="I6006" s="118">
        <v>9.1435185185185185E-4</v>
      </c>
      <c r="J6006" s="118">
        <v>7.0717592592592594E-3</v>
      </c>
      <c r="K6006" s="118">
        <v>7.0717592592592594E-3</v>
      </c>
    </row>
    <row r="6007" spans="1:11" x14ac:dyDescent="0.25">
      <c r="A6007">
        <v>9</v>
      </c>
      <c r="B6007">
        <v>8</v>
      </c>
      <c r="C6007"/>
      <c r="D6007" t="s">
        <v>31</v>
      </c>
      <c r="E6007" t="s">
        <v>35</v>
      </c>
      <c r="F6007" t="s">
        <v>56</v>
      </c>
      <c r="G6007" s="118">
        <v>0.96903935185185175</v>
      </c>
      <c r="H6007" s="118">
        <v>1.261574074074074E-3</v>
      </c>
      <c r="I6007" s="118">
        <v>3.4722222222222224E-4</v>
      </c>
      <c r="J6007"/>
      <c r="K6007"/>
    </row>
    <row r="6008" spans="1:11" x14ac:dyDescent="0.25">
      <c r="A6008">
        <v>1</v>
      </c>
      <c r="B6008">
        <v>21</v>
      </c>
      <c r="C6008"/>
      <c r="D6008" t="s">
        <v>31</v>
      </c>
      <c r="E6008" t="s">
        <v>35</v>
      </c>
      <c r="F6008" t="s">
        <v>45</v>
      </c>
      <c r="G6008" s="118">
        <v>0.96931712962962957</v>
      </c>
      <c r="H6008" s="118">
        <v>1.2384259259259258E-3</v>
      </c>
      <c r="I6008" s="118">
        <v>3.4722222222222224E-4</v>
      </c>
      <c r="J6008"/>
      <c r="K6008"/>
    </row>
    <row r="6009" spans="1:11" x14ac:dyDescent="0.25">
      <c r="A6009">
        <v>9</v>
      </c>
      <c r="B6009">
        <v>8</v>
      </c>
      <c r="C6009"/>
      <c r="D6009" t="s">
        <v>31</v>
      </c>
      <c r="E6009" t="s">
        <v>32</v>
      </c>
      <c r="F6009" t="s">
        <v>56</v>
      </c>
      <c r="G6009" s="118">
        <v>0.96938657407407414</v>
      </c>
      <c r="H6009" s="118">
        <v>3.4722222222222224E-4</v>
      </c>
      <c r="I6009" s="118">
        <v>9.6064814814814808E-4</v>
      </c>
      <c r="J6009" s="118">
        <v>7.0717592592592594E-3</v>
      </c>
      <c r="K6009" s="118">
        <v>7.0717592592592594E-3</v>
      </c>
    </row>
    <row r="6010" spans="1:11" x14ac:dyDescent="0.25">
      <c r="A6010">
        <v>1</v>
      </c>
      <c r="B6010">
        <v>21</v>
      </c>
      <c r="C6010"/>
      <c r="D6010" t="s">
        <v>31</v>
      </c>
      <c r="E6010" t="s">
        <v>32</v>
      </c>
      <c r="F6010" t="s">
        <v>45</v>
      </c>
      <c r="G6010" s="118">
        <v>0.96966435185185185</v>
      </c>
      <c r="H6010" s="118">
        <v>3.4722222222222224E-4</v>
      </c>
      <c r="I6010" s="118">
        <v>1.0416666666666667E-3</v>
      </c>
      <c r="J6010" s="118">
        <v>7.0717592592592594E-3</v>
      </c>
      <c r="K6010" s="118">
        <v>7.0717592592592594E-3</v>
      </c>
    </row>
    <row r="6011" spans="1:11" x14ac:dyDescent="0.25">
      <c r="A6011">
        <v>2</v>
      </c>
      <c r="B6011">
        <v>22</v>
      </c>
      <c r="C6011"/>
      <c r="D6011" t="s">
        <v>31</v>
      </c>
      <c r="E6011" t="s">
        <v>35</v>
      </c>
      <c r="F6011" t="s">
        <v>41</v>
      </c>
      <c r="G6011" s="118">
        <v>0.96974537037037034</v>
      </c>
      <c r="H6011" s="118">
        <v>1.0069444444444444E-3</v>
      </c>
      <c r="I6011" s="118">
        <v>3.4722222222222224E-4</v>
      </c>
      <c r="J6011"/>
      <c r="K6011"/>
    </row>
    <row r="6012" spans="1:11" x14ac:dyDescent="0.25">
      <c r="A6012">
        <v>5</v>
      </c>
      <c r="B6012">
        <v>22</v>
      </c>
      <c r="C6012"/>
      <c r="D6012" t="s">
        <v>31</v>
      </c>
      <c r="E6012" t="s">
        <v>35</v>
      </c>
      <c r="F6012" t="s">
        <v>51</v>
      </c>
      <c r="G6012" s="118">
        <v>0.96990740740740744</v>
      </c>
      <c r="H6012" s="118">
        <v>9.1435185185185185E-4</v>
      </c>
      <c r="I6012" s="118">
        <v>3.4722222222222224E-4</v>
      </c>
      <c r="J6012"/>
      <c r="K6012"/>
    </row>
    <row r="6013" spans="1:11" x14ac:dyDescent="0.25">
      <c r="A6013">
        <v>4</v>
      </c>
      <c r="B6013">
        <v>21</v>
      </c>
      <c r="C6013"/>
      <c r="D6013" t="s">
        <v>31</v>
      </c>
      <c r="E6013" t="s">
        <v>35</v>
      </c>
      <c r="F6013" t="s">
        <v>33</v>
      </c>
      <c r="G6013" s="118">
        <v>0.97008101851851858</v>
      </c>
      <c r="H6013" s="118">
        <v>1.3541666666666667E-3</v>
      </c>
      <c r="I6013" s="118">
        <v>5.2083333333333333E-4</v>
      </c>
      <c r="J6013"/>
      <c r="K6013"/>
    </row>
    <row r="6014" spans="1:11" x14ac:dyDescent="0.25">
      <c r="A6014">
        <v>2</v>
      </c>
      <c r="B6014">
        <v>22</v>
      </c>
      <c r="C6014"/>
      <c r="D6014" t="s">
        <v>31</v>
      </c>
      <c r="E6014" t="s">
        <v>32</v>
      </c>
      <c r="F6014" t="s">
        <v>41</v>
      </c>
      <c r="G6014" s="118">
        <v>0.97009259259259262</v>
      </c>
      <c r="H6014" s="118">
        <v>3.4722222222222224E-4</v>
      </c>
      <c r="I6014" s="118">
        <v>8.564814814814815E-4</v>
      </c>
      <c r="J6014" s="118">
        <v>7.0717592592592594E-3</v>
      </c>
      <c r="K6014" s="118">
        <v>7.0717592592592594E-3</v>
      </c>
    </row>
    <row r="6015" spans="1:11" x14ac:dyDescent="0.25">
      <c r="A6015">
        <v>5</v>
      </c>
      <c r="B6015">
        <v>22</v>
      </c>
      <c r="C6015"/>
      <c r="D6015" t="s">
        <v>31</v>
      </c>
      <c r="E6015" t="s">
        <v>32</v>
      </c>
      <c r="F6015" t="s">
        <v>51</v>
      </c>
      <c r="G6015" s="118">
        <v>0.97025462962962961</v>
      </c>
      <c r="H6015" s="118">
        <v>3.4722222222222224E-4</v>
      </c>
      <c r="I6015" s="118">
        <v>1.0069444444444444E-3</v>
      </c>
      <c r="J6015" s="118">
        <v>7.0717592592592594E-3</v>
      </c>
      <c r="K6015" s="118">
        <v>7.0717592592592594E-3</v>
      </c>
    </row>
    <row r="6016" spans="1:11" x14ac:dyDescent="0.25">
      <c r="A6016">
        <v>9</v>
      </c>
      <c r="B6016">
        <v>8</v>
      </c>
      <c r="C6016"/>
      <c r="D6016" t="s">
        <v>31</v>
      </c>
      <c r="E6016" t="s">
        <v>35</v>
      </c>
      <c r="F6016" t="s">
        <v>37</v>
      </c>
      <c r="G6016" s="118">
        <v>0.97034722222222225</v>
      </c>
      <c r="H6016" s="118">
        <v>9.6064814814814808E-4</v>
      </c>
      <c r="I6016" s="118">
        <v>3.4722222222222224E-4</v>
      </c>
      <c r="J6016"/>
      <c r="K6016"/>
    </row>
    <row r="6017" spans="1:11" x14ac:dyDescent="0.25">
      <c r="A6017">
        <v>4</v>
      </c>
      <c r="B6017">
        <v>21</v>
      </c>
      <c r="C6017"/>
      <c r="D6017" t="s">
        <v>31</v>
      </c>
      <c r="E6017" t="s">
        <v>32</v>
      </c>
      <c r="F6017" t="s">
        <v>33</v>
      </c>
      <c r="G6017" s="118">
        <v>0.97060185185185188</v>
      </c>
      <c r="H6017" s="118">
        <v>5.2083333333333333E-4</v>
      </c>
      <c r="I6017" s="118">
        <v>9.6064814814814808E-4</v>
      </c>
      <c r="J6017" s="118">
        <v>7.0717592592592594E-3</v>
      </c>
      <c r="K6017" s="118">
        <v>7.0717592592592594E-3</v>
      </c>
    </row>
    <row r="6018" spans="1:11" x14ac:dyDescent="0.25">
      <c r="A6018">
        <v>9</v>
      </c>
      <c r="B6018">
        <v>8</v>
      </c>
      <c r="C6018"/>
      <c r="D6018" t="s">
        <v>31</v>
      </c>
      <c r="E6018" t="s">
        <v>32</v>
      </c>
      <c r="F6018" t="s">
        <v>37</v>
      </c>
      <c r="G6018" s="118">
        <v>0.97069444444444442</v>
      </c>
      <c r="H6018" s="118">
        <v>3.4722222222222224E-4</v>
      </c>
      <c r="I6018" s="118">
        <v>9.0277777777777784E-4</v>
      </c>
      <c r="J6018" s="118">
        <v>7.0717592592592594E-3</v>
      </c>
      <c r="K6018" s="118">
        <v>7.0717592592592594E-3</v>
      </c>
    </row>
    <row r="6019" spans="1:11" x14ac:dyDescent="0.25">
      <c r="A6019">
        <v>1</v>
      </c>
      <c r="B6019">
        <v>21</v>
      </c>
      <c r="C6019"/>
      <c r="D6019" t="s">
        <v>31</v>
      </c>
      <c r="E6019" t="s">
        <v>35</v>
      </c>
      <c r="F6019" t="s">
        <v>52</v>
      </c>
      <c r="G6019" s="118">
        <v>0.97070601851851857</v>
      </c>
      <c r="H6019" s="118">
        <v>1.0416666666666667E-3</v>
      </c>
      <c r="I6019" s="118">
        <v>3.4722222222222224E-4</v>
      </c>
      <c r="J6019"/>
      <c r="K6019"/>
    </row>
    <row r="6020" spans="1:11" x14ac:dyDescent="0.25">
      <c r="A6020">
        <v>2</v>
      </c>
      <c r="B6020">
        <v>22</v>
      </c>
      <c r="C6020"/>
      <c r="D6020" t="s">
        <v>31</v>
      </c>
      <c r="E6020" t="s">
        <v>35</v>
      </c>
      <c r="F6020" t="s">
        <v>47</v>
      </c>
      <c r="G6020" s="118">
        <v>0.97094907407407405</v>
      </c>
      <c r="H6020" s="118">
        <v>8.564814814814815E-4</v>
      </c>
      <c r="I6020" s="118">
        <v>5.2083333333333333E-4</v>
      </c>
      <c r="J6020"/>
      <c r="K6020"/>
    </row>
    <row r="6021" spans="1:11" x14ac:dyDescent="0.25">
      <c r="A6021">
        <v>1</v>
      </c>
      <c r="B6021">
        <v>21</v>
      </c>
      <c r="C6021"/>
      <c r="D6021" t="s">
        <v>31</v>
      </c>
      <c r="E6021" t="s">
        <v>32</v>
      </c>
      <c r="F6021" t="s">
        <v>52</v>
      </c>
      <c r="G6021" s="118">
        <v>0.97105324074074073</v>
      </c>
      <c r="H6021" s="118">
        <v>3.4722222222222224E-4</v>
      </c>
      <c r="I6021" s="118">
        <v>1.0532407407407407E-3</v>
      </c>
      <c r="J6021" s="118">
        <v>7.0717592592592594E-3</v>
      </c>
      <c r="K6021" s="118">
        <v>7.0717592592592594E-3</v>
      </c>
    </row>
    <row r="6022" spans="1:11" x14ac:dyDescent="0.25">
      <c r="A6022">
        <v>5</v>
      </c>
      <c r="B6022">
        <v>22</v>
      </c>
      <c r="C6022"/>
      <c r="D6022" t="s">
        <v>31</v>
      </c>
      <c r="E6022" t="s">
        <v>35</v>
      </c>
      <c r="F6022" t="s">
        <v>55</v>
      </c>
      <c r="G6022" s="118">
        <v>0.9712615740740741</v>
      </c>
      <c r="H6022" s="118">
        <v>1.0069444444444444E-3</v>
      </c>
      <c r="I6022" s="118">
        <v>4.6296296296296293E-4</v>
      </c>
      <c r="J6022"/>
      <c r="K6022"/>
    </row>
    <row r="6023" spans="1:11" x14ac:dyDescent="0.25">
      <c r="A6023">
        <v>2</v>
      </c>
      <c r="B6023">
        <v>22</v>
      </c>
      <c r="C6023"/>
      <c r="D6023" t="s">
        <v>31</v>
      </c>
      <c r="E6023" t="s">
        <v>32</v>
      </c>
      <c r="F6023" t="s">
        <v>47</v>
      </c>
      <c r="G6023" s="118">
        <v>0.97146990740740735</v>
      </c>
      <c r="H6023" s="118">
        <v>5.2083333333333333E-4</v>
      </c>
      <c r="I6023" s="118">
        <v>8.7962962962962962E-4</v>
      </c>
      <c r="J6023" s="118">
        <v>7.0717592592592594E-3</v>
      </c>
      <c r="K6023" s="118">
        <v>7.0717592592592594E-3</v>
      </c>
    </row>
    <row r="6024" spans="1:11" x14ac:dyDescent="0.25">
      <c r="A6024">
        <v>4</v>
      </c>
      <c r="B6024">
        <v>21</v>
      </c>
      <c r="C6024"/>
      <c r="D6024" t="s">
        <v>31</v>
      </c>
      <c r="E6024" t="s">
        <v>35</v>
      </c>
      <c r="F6024" t="s">
        <v>36</v>
      </c>
      <c r="G6024" s="118">
        <v>0.9715625</v>
      </c>
      <c r="H6024" s="118">
        <v>9.6064814814814808E-4</v>
      </c>
      <c r="I6024" s="118">
        <v>3.4722222222222224E-4</v>
      </c>
      <c r="J6024"/>
      <c r="K6024"/>
    </row>
    <row r="6025" spans="1:11" x14ac:dyDescent="0.25">
      <c r="A6025">
        <v>9</v>
      </c>
      <c r="B6025">
        <v>8</v>
      </c>
      <c r="C6025"/>
      <c r="D6025" t="s">
        <v>31</v>
      </c>
      <c r="E6025" t="s">
        <v>35</v>
      </c>
      <c r="F6025" t="s">
        <v>42</v>
      </c>
      <c r="G6025" s="118">
        <v>0.97159722222222233</v>
      </c>
      <c r="H6025" s="118">
        <v>9.0277777777777784E-4</v>
      </c>
      <c r="I6025" s="118">
        <v>3.4722222222222224E-4</v>
      </c>
      <c r="J6025"/>
      <c r="K6025"/>
    </row>
    <row r="6026" spans="1:11" x14ac:dyDescent="0.25">
      <c r="A6026">
        <v>5</v>
      </c>
      <c r="B6026">
        <v>22</v>
      </c>
      <c r="C6026"/>
      <c r="D6026" t="s">
        <v>31</v>
      </c>
      <c r="E6026" t="s">
        <v>32</v>
      </c>
      <c r="F6026" t="s">
        <v>55</v>
      </c>
      <c r="G6026" s="118">
        <v>0.97172453703703709</v>
      </c>
      <c r="H6026" s="118">
        <v>4.6296296296296293E-4</v>
      </c>
      <c r="I6026" s="118">
        <v>4.3981481481481481E-4</v>
      </c>
      <c r="J6026" s="118">
        <v>7.0717592592592594E-3</v>
      </c>
      <c r="K6026" s="118">
        <v>7.0717592592592594E-3</v>
      </c>
    </row>
    <row r="6027" spans="1:11" x14ac:dyDescent="0.25">
      <c r="A6027">
        <v>4</v>
      </c>
      <c r="B6027">
        <v>21</v>
      </c>
      <c r="C6027"/>
      <c r="D6027" t="s">
        <v>31</v>
      </c>
      <c r="E6027" t="s">
        <v>32</v>
      </c>
      <c r="F6027" t="s">
        <v>36</v>
      </c>
      <c r="G6027" s="118">
        <v>0.97190972222222216</v>
      </c>
      <c r="H6027" s="118">
        <v>3.4722222222222224E-4</v>
      </c>
      <c r="I6027" s="118">
        <v>1.0995370370370371E-3</v>
      </c>
      <c r="J6027" s="118">
        <v>7.0717592592592594E-3</v>
      </c>
      <c r="K6027" s="118">
        <v>7.0717592592592594E-3</v>
      </c>
    </row>
    <row r="6028" spans="1:11" x14ac:dyDescent="0.25">
      <c r="A6028">
        <v>9</v>
      </c>
      <c r="B6028">
        <v>8</v>
      </c>
      <c r="C6028"/>
      <c r="D6028" t="s">
        <v>31</v>
      </c>
      <c r="E6028" t="s">
        <v>32</v>
      </c>
      <c r="F6028" t="s">
        <v>42</v>
      </c>
      <c r="G6028" s="118">
        <v>0.9719444444444445</v>
      </c>
      <c r="H6028" s="118">
        <v>3.4722222222222224E-4</v>
      </c>
      <c r="I6028" s="118">
        <v>9.1435185185185185E-4</v>
      </c>
      <c r="J6028" s="118">
        <v>7.0717592592592594E-3</v>
      </c>
      <c r="K6028" s="118">
        <v>7.0717592592592594E-3</v>
      </c>
    </row>
    <row r="6029" spans="1:11" x14ac:dyDescent="0.25">
      <c r="A6029">
        <v>1</v>
      </c>
      <c r="B6029">
        <v>21</v>
      </c>
      <c r="C6029"/>
      <c r="D6029" t="s">
        <v>31</v>
      </c>
      <c r="E6029" t="s">
        <v>35</v>
      </c>
      <c r="F6029" t="s">
        <v>57</v>
      </c>
      <c r="G6029" s="118">
        <v>0.97210648148148149</v>
      </c>
      <c r="H6029" s="118">
        <v>1.0532407407407407E-3</v>
      </c>
      <c r="I6029" s="118">
        <v>3.4722222222222224E-4</v>
      </c>
      <c r="J6029"/>
      <c r="K6029"/>
    </row>
    <row r="6030" spans="1:11" x14ac:dyDescent="0.25">
      <c r="A6030">
        <v>5</v>
      </c>
      <c r="B6030">
        <v>22</v>
      </c>
      <c r="C6030"/>
      <c r="D6030" t="s">
        <v>31</v>
      </c>
      <c r="E6030" t="s">
        <v>35</v>
      </c>
      <c r="F6030" t="s">
        <v>58</v>
      </c>
      <c r="G6030" s="118">
        <v>0.9721643518518519</v>
      </c>
      <c r="H6030" s="118">
        <v>4.3981481481481481E-4</v>
      </c>
      <c r="I6030" s="118">
        <v>5.7870370370370366E-5</v>
      </c>
      <c r="J6030"/>
      <c r="K6030"/>
    </row>
    <row r="6031" spans="1:11" x14ac:dyDescent="0.25">
      <c r="A6031">
        <v>5</v>
      </c>
      <c r="B6031">
        <v>22</v>
      </c>
      <c r="C6031"/>
      <c r="D6031" t="s">
        <v>31</v>
      </c>
      <c r="E6031" t="s">
        <v>32</v>
      </c>
      <c r="F6031" t="s">
        <v>58</v>
      </c>
      <c r="G6031" s="118">
        <v>0.97222222222222221</v>
      </c>
      <c r="H6031" s="118">
        <v>5.7870370370370366E-5</v>
      </c>
      <c r="I6031" s="118">
        <v>4.8611111111111104E-4</v>
      </c>
      <c r="J6031" s="118">
        <v>7.0717592592592594E-3</v>
      </c>
      <c r="K6031" s="118">
        <v>7.0717592592592594E-3</v>
      </c>
    </row>
    <row r="6032" spans="1:11" x14ac:dyDescent="0.25">
      <c r="A6032">
        <v>2</v>
      </c>
      <c r="B6032">
        <v>22</v>
      </c>
      <c r="C6032"/>
      <c r="D6032" t="s">
        <v>31</v>
      </c>
      <c r="E6032" t="s">
        <v>35</v>
      </c>
      <c r="F6032" t="s">
        <v>53</v>
      </c>
      <c r="G6032" s="118">
        <v>0.97234953703703697</v>
      </c>
      <c r="H6032" s="118">
        <v>8.7962962962962962E-4</v>
      </c>
      <c r="I6032" s="118">
        <v>3.4722222222222224E-4</v>
      </c>
      <c r="J6032"/>
      <c r="K6032"/>
    </row>
    <row r="6033" spans="1:11" x14ac:dyDescent="0.25">
      <c r="A6033">
        <v>1</v>
      </c>
      <c r="B6033">
        <v>21</v>
      </c>
      <c r="C6033"/>
      <c r="D6033" t="s">
        <v>31</v>
      </c>
      <c r="E6033" t="s">
        <v>32</v>
      </c>
      <c r="F6033" t="s">
        <v>57</v>
      </c>
      <c r="G6033" s="118">
        <v>0.97245370370370365</v>
      </c>
      <c r="H6033" s="118">
        <v>3.4722222222222224E-4</v>
      </c>
      <c r="I6033" s="118">
        <v>9.3750000000000007E-4</v>
      </c>
      <c r="J6033" s="118">
        <v>7.0717592592592594E-3</v>
      </c>
      <c r="K6033" s="118">
        <v>7.0717592592592594E-3</v>
      </c>
    </row>
    <row r="6034" spans="1:11" x14ac:dyDescent="0.25">
      <c r="A6034">
        <v>2</v>
      </c>
      <c r="B6034">
        <v>22</v>
      </c>
      <c r="C6034"/>
      <c r="D6034" t="s">
        <v>31</v>
      </c>
      <c r="E6034" t="s">
        <v>32</v>
      </c>
      <c r="F6034" t="s">
        <v>53</v>
      </c>
      <c r="G6034" s="118">
        <v>0.97269675925925936</v>
      </c>
      <c r="H6034" s="118">
        <v>3.4722222222222224E-4</v>
      </c>
      <c r="I6034" s="118">
        <v>8.449074074074075E-4</v>
      </c>
      <c r="J6034" s="118">
        <v>7.0717592592592594E-3</v>
      </c>
      <c r="K6034" s="118">
        <v>7.0717592592592594E-3</v>
      </c>
    </row>
    <row r="6035" spans="1:11" x14ac:dyDescent="0.25">
      <c r="A6035">
        <v>5</v>
      </c>
      <c r="B6035">
        <v>22</v>
      </c>
      <c r="C6035"/>
      <c r="D6035" t="s">
        <v>31</v>
      </c>
      <c r="E6035" t="s">
        <v>35</v>
      </c>
      <c r="F6035" t="s">
        <v>40</v>
      </c>
      <c r="G6035" s="118">
        <v>0.97270833333333329</v>
      </c>
      <c r="H6035" s="118">
        <v>4.8611111111111104E-4</v>
      </c>
      <c r="I6035" s="118">
        <v>4.6296296296296293E-4</v>
      </c>
      <c r="J6035"/>
      <c r="K6035"/>
    </row>
    <row r="6036" spans="1:11" x14ac:dyDescent="0.25">
      <c r="A6036">
        <v>9</v>
      </c>
      <c r="B6036">
        <v>8</v>
      </c>
      <c r="C6036"/>
      <c r="D6036" t="s">
        <v>31</v>
      </c>
      <c r="E6036" t="s">
        <v>35</v>
      </c>
      <c r="F6036" t="s">
        <v>48</v>
      </c>
      <c r="G6036" s="118">
        <v>0.97285879629629635</v>
      </c>
      <c r="H6036" s="118">
        <v>9.1435185185185185E-4</v>
      </c>
      <c r="I6036" s="118">
        <v>5.2083333333333333E-4</v>
      </c>
      <c r="J6036"/>
      <c r="K6036"/>
    </row>
    <row r="6037" spans="1:11" x14ac:dyDescent="0.25">
      <c r="A6037">
        <v>4</v>
      </c>
      <c r="B6037">
        <v>21</v>
      </c>
      <c r="C6037"/>
      <c r="D6037" t="s">
        <v>31</v>
      </c>
      <c r="E6037" t="s">
        <v>35</v>
      </c>
      <c r="F6037" t="s">
        <v>43</v>
      </c>
      <c r="G6037" s="118">
        <v>0.9730092592592593</v>
      </c>
      <c r="H6037" s="118">
        <v>1.0995370370370371E-3</v>
      </c>
      <c r="I6037" s="118">
        <v>3.4722222222222224E-4</v>
      </c>
      <c r="J6037"/>
      <c r="K6037"/>
    </row>
    <row r="6038" spans="1:11" x14ac:dyDescent="0.25">
      <c r="A6038">
        <v>5</v>
      </c>
      <c r="B6038">
        <v>22</v>
      </c>
      <c r="C6038"/>
      <c r="D6038" t="s">
        <v>31</v>
      </c>
      <c r="E6038" t="s">
        <v>32</v>
      </c>
      <c r="F6038" t="s">
        <v>40</v>
      </c>
      <c r="G6038" s="118">
        <v>0.97317129629629628</v>
      </c>
      <c r="H6038" s="118">
        <v>4.6296296296296293E-4</v>
      </c>
      <c r="I6038" s="118">
        <v>1.0069444444444444E-3</v>
      </c>
      <c r="J6038" s="118">
        <v>7.0717592592592594E-3</v>
      </c>
      <c r="K6038" s="118">
        <v>7.0717592592592594E-3</v>
      </c>
    </row>
    <row r="6039" spans="1:11" x14ac:dyDescent="0.25">
      <c r="A6039">
        <v>4</v>
      </c>
      <c r="B6039">
        <v>21</v>
      </c>
      <c r="C6039"/>
      <c r="D6039" t="s">
        <v>31</v>
      </c>
      <c r="E6039" t="s">
        <v>32</v>
      </c>
      <c r="F6039" t="s">
        <v>43</v>
      </c>
      <c r="G6039" s="118">
        <v>0.97335648148148157</v>
      </c>
      <c r="H6039" s="118">
        <v>3.4722222222222224E-4</v>
      </c>
      <c r="I6039" s="118">
        <v>1.1458333333333333E-3</v>
      </c>
      <c r="J6039" s="118">
        <v>7.0717592592592594E-3</v>
      </c>
      <c r="K6039" s="118">
        <v>7.0717592592592594E-3</v>
      </c>
    </row>
    <row r="6040" spans="1:11" x14ac:dyDescent="0.25">
      <c r="A6040">
        <v>9</v>
      </c>
      <c r="B6040">
        <v>8</v>
      </c>
      <c r="C6040"/>
      <c r="D6040" t="s">
        <v>31</v>
      </c>
      <c r="E6040" t="s">
        <v>32</v>
      </c>
      <c r="F6040" t="s">
        <v>48</v>
      </c>
      <c r="G6040" s="118">
        <v>0.97337962962962965</v>
      </c>
      <c r="H6040" s="118">
        <v>5.2083333333333333E-4</v>
      </c>
      <c r="I6040" s="118">
        <v>8.6805555555555551E-4</v>
      </c>
      <c r="J6040" s="118">
        <v>7.0717592592592594E-3</v>
      </c>
      <c r="K6040" s="118">
        <v>7.0717592592592594E-3</v>
      </c>
    </row>
    <row r="6041" spans="1:11" x14ac:dyDescent="0.25">
      <c r="A6041">
        <v>1</v>
      </c>
      <c r="B6041">
        <v>21</v>
      </c>
      <c r="C6041"/>
      <c r="D6041" t="s">
        <v>31</v>
      </c>
      <c r="E6041" t="s">
        <v>35</v>
      </c>
      <c r="F6041" t="s">
        <v>39</v>
      </c>
      <c r="G6041" s="118">
        <v>0.97339120370370369</v>
      </c>
      <c r="H6041" s="118">
        <v>9.3750000000000007E-4</v>
      </c>
      <c r="I6041" s="118">
        <v>5.2083333333333333E-4</v>
      </c>
      <c r="J6041"/>
      <c r="K6041"/>
    </row>
    <row r="6042" spans="1:11" x14ac:dyDescent="0.25">
      <c r="A6042">
        <v>2</v>
      </c>
      <c r="B6042">
        <v>22</v>
      </c>
      <c r="C6042"/>
      <c r="D6042" t="s">
        <v>31</v>
      </c>
      <c r="E6042" t="s">
        <v>35</v>
      </c>
      <c r="F6042" t="s">
        <v>34</v>
      </c>
      <c r="G6042" s="118">
        <v>0.97354166666666664</v>
      </c>
      <c r="H6042" s="118">
        <v>8.449074074074075E-4</v>
      </c>
      <c r="I6042" s="118">
        <v>3.4722222222222224E-4</v>
      </c>
      <c r="J6042"/>
      <c r="K6042"/>
    </row>
    <row r="6043" spans="1:11" x14ac:dyDescent="0.25">
      <c r="A6043">
        <v>2</v>
      </c>
      <c r="B6043">
        <v>22</v>
      </c>
      <c r="C6043"/>
      <c r="D6043" t="s">
        <v>31</v>
      </c>
      <c r="E6043" t="s">
        <v>32</v>
      </c>
      <c r="F6043" t="s">
        <v>34</v>
      </c>
      <c r="G6043" s="118">
        <v>0.97388888888888892</v>
      </c>
      <c r="H6043" s="118">
        <v>3.4722222222222224E-4</v>
      </c>
      <c r="I6043" s="118">
        <v>9.1435185185185185E-4</v>
      </c>
      <c r="J6043" s="118">
        <v>7.0717592592592594E-3</v>
      </c>
      <c r="K6043" s="118">
        <v>7.0717592592592594E-3</v>
      </c>
    </row>
    <row r="6044" spans="1:11" x14ac:dyDescent="0.25">
      <c r="A6044">
        <v>1</v>
      </c>
      <c r="B6044">
        <v>21</v>
      </c>
      <c r="C6044"/>
      <c r="D6044" t="s">
        <v>31</v>
      </c>
      <c r="E6044" t="s">
        <v>32</v>
      </c>
      <c r="F6044" t="s">
        <v>39</v>
      </c>
      <c r="G6044" s="118">
        <v>0.97391203703703699</v>
      </c>
      <c r="H6044" s="118">
        <v>5.2083333333333333E-4</v>
      </c>
      <c r="I6044" s="118">
        <v>1.8055555555555557E-3</v>
      </c>
      <c r="J6044" s="118">
        <v>7.0717592592592594E-3</v>
      </c>
      <c r="K6044" s="118">
        <v>7.0717592592592594E-3</v>
      </c>
    </row>
    <row r="6045" spans="1:11" x14ac:dyDescent="0.25">
      <c r="A6045">
        <v>5</v>
      </c>
      <c r="B6045">
        <v>22</v>
      </c>
      <c r="C6045"/>
      <c r="D6045" t="s">
        <v>31</v>
      </c>
      <c r="E6045" t="s">
        <v>35</v>
      </c>
      <c r="F6045" t="s">
        <v>44</v>
      </c>
      <c r="G6045" s="118">
        <v>0.97417824074074078</v>
      </c>
      <c r="H6045" s="118">
        <v>1.0069444444444444E-3</v>
      </c>
      <c r="I6045" s="118">
        <v>3.4722222222222224E-4</v>
      </c>
      <c r="J6045"/>
      <c r="K6045"/>
    </row>
    <row r="6046" spans="1:11" x14ac:dyDescent="0.25">
      <c r="A6046">
        <v>9</v>
      </c>
      <c r="B6046">
        <v>8</v>
      </c>
      <c r="C6046"/>
      <c r="D6046" t="s">
        <v>31</v>
      </c>
      <c r="E6046" t="s">
        <v>35</v>
      </c>
      <c r="F6046" t="s">
        <v>54</v>
      </c>
      <c r="G6046" s="118">
        <v>0.97424768518518512</v>
      </c>
      <c r="H6046" s="118">
        <v>8.6805555555555551E-4</v>
      </c>
      <c r="I6046" s="118">
        <v>3.4722222222222224E-4</v>
      </c>
      <c r="J6046"/>
      <c r="K6046"/>
    </row>
    <row r="6047" spans="1:11" x14ac:dyDescent="0.25">
      <c r="A6047">
        <v>4</v>
      </c>
      <c r="B6047">
        <v>21</v>
      </c>
      <c r="C6047"/>
      <c r="D6047" t="s">
        <v>31</v>
      </c>
      <c r="E6047" t="s">
        <v>35</v>
      </c>
      <c r="F6047" t="s">
        <v>50</v>
      </c>
      <c r="G6047" s="118">
        <v>0.97450231481481486</v>
      </c>
      <c r="H6047" s="118">
        <v>1.1458333333333333E-3</v>
      </c>
      <c r="I6047" s="118">
        <v>3.4722222222222224E-4</v>
      </c>
      <c r="J6047"/>
      <c r="K6047"/>
    </row>
    <row r="6048" spans="1:11" x14ac:dyDescent="0.25">
      <c r="A6048">
        <v>5</v>
      </c>
      <c r="B6048">
        <v>22</v>
      </c>
      <c r="C6048"/>
      <c r="D6048" t="s">
        <v>31</v>
      </c>
      <c r="E6048" t="s">
        <v>32</v>
      </c>
      <c r="F6048" t="s">
        <v>44</v>
      </c>
      <c r="G6048" s="118">
        <v>0.97452546296296294</v>
      </c>
      <c r="H6048" s="118">
        <v>3.4722222222222224E-4</v>
      </c>
      <c r="I6048" s="118">
        <v>9.2592592592592585E-4</v>
      </c>
      <c r="J6048" s="118">
        <v>7.0717592592592594E-3</v>
      </c>
      <c r="K6048" s="118">
        <v>7.0717592592592594E-3</v>
      </c>
    </row>
    <row r="6049" spans="1:11" x14ac:dyDescent="0.25">
      <c r="A6049">
        <v>9</v>
      </c>
      <c r="B6049">
        <v>8</v>
      </c>
      <c r="C6049"/>
      <c r="D6049" t="s">
        <v>31</v>
      </c>
      <c r="E6049" t="s">
        <v>32</v>
      </c>
      <c r="F6049" t="s">
        <v>54</v>
      </c>
      <c r="G6049" s="118">
        <v>0.97459490740740751</v>
      </c>
      <c r="H6049" s="118">
        <v>3.4722222222222224E-4</v>
      </c>
      <c r="I6049" s="118">
        <v>6.9444444444444447E-4</v>
      </c>
      <c r="J6049" s="118">
        <v>7.0717592592592594E-3</v>
      </c>
      <c r="K6049" s="118">
        <v>7.0717592592592594E-3</v>
      </c>
    </row>
    <row r="6050" spans="1:11" x14ac:dyDescent="0.25">
      <c r="A6050">
        <v>2</v>
      </c>
      <c r="B6050">
        <v>22</v>
      </c>
      <c r="C6050"/>
      <c r="D6050" t="s">
        <v>31</v>
      </c>
      <c r="E6050" t="s">
        <v>35</v>
      </c>
      <c r="F6050" t="s">
        <v>38</v>
      </c>
      <c r="G6050" s="118">
        <v>0.97480324074074076</v>
      </c>
      <c r="H6050" s="118">
        <v>9.1435185185185185E-4</v>
      </c>
      <c r="I6050" s="118">
        <v>3.4722222222222224E-4</v>
      </c>
      <c r="J6050"/>
      <c r="K6050"/>
    </row>
    <row r="6051" spans="1:11" x14ac:dyDescent="0.25">
      <c r="A6051">
        <v>4</v>
      </c>
      <c r="B6051">
        <v>21</v>
      </c>
      <c r="C6051"/>
      <c r="D6051" t="s">
        <v>31</v>
      </c>
      <c r="E6051" t="s">
        <v>32</v>
      </c>
      <c r="F6051" t="s">
        <v>50</v>
      </c>
      <c r="G6051" s="118">
        <v>0.97484953703703703</v>
      </c>
      <c r="H6051" s="118">
        <v>3.4722222222222224E-4</v>
      </c>
      <c r="I6051" s="118">
        <v>1.261574074074074E-3</v>
      </c>
      <c r="J6051" s="118">
        <v>7.0717592592592594E-3</v>
      </c>
      <c r="K6051" s="118">
        <v>7.0717592592592594E-3</v>
      </c>
    </row>
    <row r="6052" spans="1:11" x14ac:dyDescent="0.25">
      <c r="A6052">
        <v>2</v>
      </c>
      <c r="B6052">
        <v>22</v>
      </c>
      <c r="C6052"/>
      <c r="D6052" t="s">
        <v>31</v>
      </c>
      <c r="E6052" t="s">
        <v>32</v>
      </c>
      <c r="F6052" t="s">
        <v>38</v>
      </c>
      <c r="G6052" s="118">
        <v>0.97515046296296293</v>
      </c>
      <c r="H6052" s="118">
        <v>3.4722222222222224E-4</v>
      </c>
      <c r="I6052" s="118">
        <v>1.2384259259259258E-3</v>
      </c>
      <c r="J6052" s="118">
        <v>7.0717592592592594E-3</v>
      </c>
      <c r="K6052" s="118">
        <v>7.0717592592592594E-3</v>
      </c>
    </row>
    <row r="6053" spans="1:11" x14ac:dyDescent="0.25">
      <c r="A6053">
        <v>9</v>
      </c>
      <c r="B6053">
        <v>8</v>
      </c>
      <c r="C6053"/>
      <c r="D6053" t="s">
        <v>31</v>
      </c>
      <c r="E6053" t="s">
        <v>35</v>
      </c>
      <c r="F6053" t="s">
        <v>92</v>
      </c>
      <c r="G6053" s="118">
        <v>0.97528935185185184</v>
      </c>
      <c r="H6053" s="118">
        <v>6.9444444444444447E-4</v>
      </c>
      <c r="I6053" s="118">
        <v>5.2083333333333333E-4</v>
      </c>
      <c r="J6053"/>
      <c r="K6053"/>
    </row>
    <row r="6054" spans="1:11" x14ac:dyDescent="0.25">
      <c r="A6054">
        <v>5</v>
      </c>
      <c r="B6054">
        <v>22</v>
      </c>
      <c r="C6054"/>
      <c r="D6054" t="s">
        <v>31</v>
      </c>
      <c r="E6054" t="s">
        <v>35</v>
      </c>
      <c r="F6054" t="s">
        <v>49</v>
      </c>
      <c r="G6054" s="118">
        <v>0.97545138888888883</v>
      </c>
      <c r="H6054" s="118">
        <v>9.2592592592592585E-4</v>
      </c>
      <c r="I6054" s="118">
        <v>3.4722222222222224E-4</v>
      </c>
      <c r="J6054"/>
      <c r="K6054"/>
    </row>
    <row r="6055" spans="1:11" x14ac:dyDescent="0.25">
      <c r="A6055">
        <v>1</v>
      </c>
      <c r="B6055">
        <v>21</v>
      </c>
      <c r="C6055"/>
      <c r="D6055" t="s">
        <v>31</v>
      </c>
      <c r="E6055" t="s">
        <v>35</v>
      </c>
      <c r="F6055" t="s">
        <v>46</v>
      </c>
      <c r="G6055" s="118">
        <v>0.97571759259259261</v>
      </c>
      <c r="H6055" s="118">
        <v>1.8055555555555557E-3</v>
      </c>
      <c r="I6055" s="118">
        <v>3.4722222222222224E-4</v>
      </c>
      <c r="J6055"/>
      <c r="K6055"/>
    </row>
    <row r="6056" spans="1:11" x14ac:dyDescent="0.25">
      <c r="A6056">
        <v>5</v>
      </c>
      <c r="B6056">
        <v>22</v>
      </c>
      <c r="C6056"/>
      <c r="D6056" t="s">
        <v>31</v>
      </c>
      <c r="E6056" t="s">
        <v>32</v>
      </c>
      <c r="F6056" t="s">
        <v>49</v>
      </c>
      <c r="G6056" s="118">
        <v>0.9757986111111111</v>
      </c>
      <c r="H6056" s="118">
        <v>3.4722222222222224E-4</v>
      </c>
      <c r="I6056" s="118">
        <v>1.3541666666666667E-3</v>
      </c>
      <c r="J6056" s="118">
        <v>7.0717592592592594E-3</v>
      </c>
      <c r="K6056" s="118">
        <v>7.0717592592592594E-3</v>
      </c>
    </row>
    <row r="6057" spans="1:11" x14ac:dyDescent="0.25">
      <c r="A6057">
        <v>9</v>
      </c>
      <c r="B6057">
        <v>9</v>
      </c>
      <c r="C6057"/>
      <c r="D6057" t="s">
        <v>31</v>
      </c>
      <c r="E6057" t="s">
        <v>32</v>
      </c>
      <c r="F6057" t="s">
        <v>92</v>
      </c>
      <c r="G6057" s="118">
        <v>0.97581018518518514</v>
      </c>
      <c r="H6057" s="118">
        <v>5.2083333333333333E-4</v>
      </c>
      <c r="I6057" s="118">
        <v>1.0069444444444444E-3</v>
      </c>
      <c r="J6057" s="118">
        <v>7.0717592592592594E-3</v>
      </c>
      <c r="K6057" s="118">
        <v>7.0717592592592594E-3</v>
      </c>
    </row>
    <row r="6058" spans="1:11" x14ac:dyDescent="0.25">
      <c r="A6058">
        <v>1</v>
      </c>
      <c r="B6058">
        <v>21</v>
      </c>
      <c r="C6058"/>
      <c r="D6058" t="s">
        <v>31</v>
      </c>
      <c r="E6058" t="s">
        <v>32</v>
      </c>
      <c r="F6058" t="s">
        <v>46</v>
      </c>
      <c r="G6058" s="118">
        <v>0.97606481481481477</v>
      </c>
      <c r="H6058" s="118">
        <v>3.4722222222222224E-4</v>
      </c>
      <c r="I6058" s="118">
        <v>9.1435185185185185E-4</v>
      </c>
      <c r="J6058" s="118">
        <v>7.0717592592592594E-3</v>
      </c>
      <c r="K6058" s="118">
        <v>7.0717592592592594E-3</v>
      </c>
    </row>
    <row r="6059" spans="1:11" x14ac:dyDescent="0.25">
      <c r="A6059">
        <v>4</v>
      </c>
      <c r="B6059">
        <v>21</v>
      </c>
      <c r="C6059"/>
      <c r="D6059" t="s">
        <v>31</v>
      </c>
      <c r="E6059" t="s">
        <v>35</v>
      </c>
      <c r="F6059" t="s">
        <v>56</v>
      </c>
      <c r="G6059" s="118">
        <v>0.97611111111111104</v>
      </c>
      <c r="H6059" s="118">
        <v>1.261574074074074E-3</v>
      </c>
      <c r="I6059" s="118">
        <v>3.4722222222222224E-4</v>
      </c>
      <c r="J6059"/>
      <c r="K6059"/>
    </row>
    <row r="6060" spans="1:11" x14ac:dyDescent="0.25">
      <c r="A6060">
        <v>2</v>
      </c>
      <c r="B6060">
        <v>22</v>
      </c>
      <c r="C6060"/>
      <c r="D6060" t="s">
        <v>31</v>
      </c>
      <c r="E6060" t="s">
        <v>35</v>
      </c>
      <c r="F6060" t="s">
        <v>45</v>
      </c>
      <c r="G6060" s="118">
        <v>0.97638888888888886</v>
      </c>
      <c r="H6060" s="118">
        <v>1.2384259259259258E-3</v>
      </c>
      <c r="I6060" s="118">
        <v>3.4722222222222224E-4</v>
      </c>
      <c r="J6060"/>
      <c r="K6060"/>
    </row>
    <row r="6061" spans="1:11" x14ac:dyDescent="0.25">
      <c r="A6061">
        <v>4</v>
      </c>
      <c r="B6061">
        <v>21</v>
      </c>
      <c r="C6061"/>
      <c r="D6061" t="s">
        <v>31</v>
      </c>
      <c r="E6061" t="s">
        <v>32</v>
      </c>
      <c r="F6061" t="s">
        <v>56</v>
      </c>
      <c r="G6061" s="118">
        <v>0.97645833333333332</v>
      </c>
      <c r="H6061" s="118">
        <v>3.4722222222222224E-4</v>
      </c>
      <c r="I6061" s="118">
        <v>9.6064814814814808E-4</v>
      </c>
      <c r="J6061" s="118">
        <v>7.0717592592592594E-3</v>
      </c>
      <c r="K6061" s="118">
        <v>7.0717592592592594E-3</v>
      </c>
    </row>
    <row r="6062" spans="1:11" x14ac:dyDescent="0.25">
      <c r="A6062">
        <v>2</v>
      </c>
      <c r="B6062">
        <v>22</v>
      </c>
      <c r="C6062"/>
      <c r="D6062" t="s">
        <v>31</v>
      </c>
      <c r="E6062" t="s">
        <v>32</v>
      </c>
      <c r="F6062" t="s">
        <v>45</v>
      </c>
      <c r="G6062" s="118">
        <v>0.97673611111111114</v>
      </c>
      <c r="H6062" s="118">
        <v>3.4722222222222224E-4</v>
      </c>
      <c r="I6062" s="118">
        <v>1.0416666666666667E-3</v>
      </c>
      <c r="J6062" s="118">
        <v>7.0717592592592594E-3</v>
      </c>
      <c r="K6062" s="118">
        <v>7.0717592592592594E-3</v>
      </c>
    </row>
    <row r="6063" spans="1:11" x14ac:dyDescent="0.25">
      <c r="A6063">
        <v>9</v>
      </c>
      <c r="B6063">
        <v>9</v>
      </c>
      <c r="C6063"/>
      <c r="D6063" t="s">
        <v>31</v>
      </c>
      <c r="E6063" t="s">
        <v>35</v>
      </c>
      <c r="F6063" t="s">
        <v>41</v>
      </c>
      <c r="G6063" s="118">
        <v>0.97681712962962963</v>
      </c>
      <c r="H6063" s="118">
        <v>1.0069444444444444E-3</v>
      </c>
      <c r="I6063" s="118">
        <v>3.4722222222222224E-4</v>
      </c>
      <c r="J6063"/>
      <c r="K6063"/>
    </row>
    <row r="6064" spans="1:11" x14ac:dyDescent="0.25">
      <c r="A6064">
        <v>1</v>
      </c>
      <c r="B6064">
        <v>21</v>
      </c>
      <c r="C6064"/>
      <c r="D6064" t="s">
        <v>31</v>
      </c>
      <c r="E6064" t="s">
        <v>35</v>
      </c>
      <c r="F6064" t="s">
        <v>51</v>
      </c>
      <c r="G6064" s="118">
        <v>0.97697916666666673</v>
      </c>
      <c r="H6064" s="118">
        <v>9.1435185185185185E-4</v>
      </c>
      <c r="I6064" s="118">
        <v>3.4722222222222224E-4</v>
      </c>
      <c r="J6064"/>
      <c r="K6064"/>
    </row>
    <row r="6065" spans="1:11" x14ac:dyDescent="0.25">
      <c r="A6065">
        <v>5</v>
      </c>
      <c r="B6065">
        <v>22</v>
      </c>
      <c r="C6065"/>
      <c r="D6065" t="s">
        <v>31</v>
      </c>
      <c r="E6065" t="s">
        <v>35</v>
      </c>
      <c r="F6065" t="s">
        <v>33</v>
      </c>
      <c r="G6065" s="118">
        <v>0.97715277777777787</v>
      </c>
      <c r="H6065" s="118">
        <v>1.3541666666666667E-3</v>
      </c>
      <c r="I6065" s="118">
        <v>5.2083333333333333E-4</v>
      </c>
      <c r="J6065"/>
      <c r="K6065"/>
    </row>
    <row r="6066" spans="1:11" x14ac:dyDescent="0.25">
      <c r="A6066">
        <v>9</v>
      </c>
      <c r="B6066">
        <v>9</v>
      </c>
      <c r="C6066"/>
      <c r="D6066" t="s">
        <v>31</v>
      </c>
      <c r="E6066" t="s">
        <v>32</v>
      </c>
      <c r="F6066" t="s">
        <v>41</v>
      </c>
      <c r="G6066" s="118">
        <v>0.9771643518518518</v>
      </c>
      <c r="H6066" s="118">
        <v>3.4722222222222224E-4</v>
      </c>
      <c r="I6066" s="118">
        <v>8.564814814814815E-4</v>
      </c>
      <c r="J6066" s="118">
        <v>7.0717592592592594E-3</v>
      </c>
      <c r="K6066" s="118">
        <v>7.0717592592592594E-3</v>
      </c>
    </row>
    <row r="6067" spans="1:11" x14ac:dyDescent="0.25">
      <c r="A6067">
        <v>1</v>
      </c>
      <c r="B6067">
        <v>21</v>
      </c>
      <c r="C6067"/>
      <c r="D6067" t="s">
        <v>31</v>
      </c>
      <c r="E6067" t="s">
        <v>32</v>
      </c>
      <c r="F6067" t="s">
        <v>51</v>
      </c>
      <c r="G6067" s="118">
        <v>0.9773263888888889</v>
      </c>
      <c r="H6067" s="118">
        <v>3.4722222222222224E-4</v>
      </c>
      <c r="I6067" s="118">
        <v>1.0069444444444444E-3</v>
      </c>
      <c r="J6067" s="118">
        <v>7.0717592592592594E-3</v>
      </c>
      <c r="K6067" s="118">
        <v>7.0717592592592594E-3</v>
      </c>
    </row>
    <row r="6068" spans="1:11" x14ac:dyDescent="0.25">
      <c r="A6068">
        <v>4</v>
      </c>
      <c r="B6068">
        <v>21</v>
      </c>
      <c r="C6068"/>
      <c r="D6068" t="s">
        <v>31</v>
      </c>
      <c r="E6068" t="s">
        <v>35</v>
      </c>
      <c r="F6068" t="s">
        <v>37</v>
      </c>
      <c r="G6068" s="118">
        <v>0.97741898148148154</v>
      </c>
      <c r="H6068" s="118">
        <v>9.6064814814814808E-4</v>
      </c>
      <c r="I6068" s="118">
        <v>3.4722222222222224E-4</v>
      </c>
      <c r="J6068"/>
      <c r="K6068"/>
    </row>
    <row r="6069" spans="1:11" x14ac:dyDescent="0.25">
      <c r="A6069">
        <v>5</v>
      </c>
      <c r="B6069">
        <v>22</v>
      </c>
      <c r="C6069"/>
      <c r="D6069" t="s">
        <v>31</v>
      </c>
      <c r="E6069" t="s">
        <v>32</v>
      </c>
      <c r="F6069" t="s">
        <v>33</v>
      </c>
      <c r="G6069" s="118">
        <v>0.97767361111111117</v>
      </c>
      <c r="H6069" s="118">
        <v>5.2083333333333333E-4</v>
      </c>
      <c r="I6069" s="118">
        <v>9.6064814814814808E-4</v>
      </c>
      <c r="J6069" s="118">
        <v>7.0717592592592594E-3</v>
      </c>
      <c r="K6069" s="118">
        <v>7.0717592592592594E-3</v>
      </c>
    </row>
    <row r="6070" spans="1:11" x14ac:dyDescent="0.25">
      <c r="A6070">
        <v>4</v>
      </c>
      <c r="B6070">
        <v>21</v>
      </c>
      <c r="C6070"/>
      <c r="D6070" t="s">
        <v>31</v>
      </c>
      <c r="E6070" t="s">
        <v>32</v>
      </c>
      <c r="F6070" t="s">
        <v>37</v>
      </c>
      <c r="G6070" s="118">
        <v>0.97776620370370371</v>
      </c>
      <c r="H6070" s="118">
        <v>3.4722222222222224E-4</v>
      </c>
      <c r="I6070" s="118">
        <v>9.0277777777777784E-4</v>
      </c>
      <c r="J6070" s="118">
        <v>7.0717592592592594E-3</v>
      </c>
      <c r="K6070" s="118">
        <v>7.0717592592592594E-3</v>
      </c>
    </row>
    <row r="6071" spans="1:11" x14ac:dyDescent="0.25">
      <c r="A6071">
        <v>2</v>
      </c>
      <c r="B6071">
        <v>22</v>
      </c>
      <c r="C6071"/>
      <c r="D6071" t="s">
        <v>31</v>
      </c>
      <c r="E6071" t="s">
        <v>35</v>
      </c>
      <c r="F6071" t="s">
        <v>52</v>
      </c>
      <c r="G6071" s="118">
        <v>0.97777777777777775</v>
      </c>
      <c r="H6071" s="118">
        <v>1.0416666666666667E-3</v>
      </c>
      <c r="I6071" s="118">
        <v>3.4722222222222224E-4</v>
      </c>
      <c r="J6071"/>
      <c r="K6071"/>
    </row>
    <row r="6072" spans="1:11" x14ac:dyDescent="0.25">
      <c r="A6072">
        <v>9</v>
      </c>
      <c r="B6072">
        <v>9</v>
      </c>
      <c r="C6072"/>
      <c r="D6072" t="s">
        <v>31</v>
      </c>
      <c r="E6072" t="s">
        <v>35</v>
      </c>
      <c r="F6072" t="s">
        <v>47</v>
      </c>
      <c r="G6072" s="118">
        <v>0.97802083333333334</v>
      </c>
      <c r="H6072" s="118">
        <v>8.564814814814815E-4</v>
      </c>
      <c r="I6072" s="118">
        <v>5.2083333333333333E-4</v>
      </c>
      <c r="J6072"/>
      <c r="K6072"/>
    </row>
    <row r="6073" spans="1:11" x14ac:dyDescent="0.25">
      <c r="A6073">
        <v>2</v>
      </c>
      <c r="B6073">
        <v>22</v>
      </c>
      <c r="C6073"/>
      <c r="D6073" t="s">
        <v>31</v>
      </c>
      <c r="E6073" t="s">
        <v>32</v>
      </c>
      <c r="F6073" t="s">
        <v>52</v>
      </c>
      <c r="G6073" s="118">
        <v>0.97812500000000002</v>
      </c>
      <c r="H6073" s="118">
        <v>3.4722222222222224E-4</v>
      </c>
      <c r="I6073" s="118">
        <v>1.0532407407407407E-3</v>
      </c>
      <c r="J6073" s="118">
        <v>7.0717592592592594E-3</v>
      </c>
      <c r="K6073" s="118">
        <v>7.0717592592592594E-3</v>
      </c>
    </row>
    <row r="6074" spans="1:11" x14ac:dyDescent="0.25">
      <c r="A6074">
        <v>1</v>
      </c>
      <c r="B6074">
        <v>21</v>
      </c>
      <c r="C6074"/>
      <c r="D6074" t="s">
        <v>31</v>
      </c>
      <c r="E6074" t="s">
        <v>35</v>
      </c>
      <c r="F6074" t="s">
        <v>55</v>
      </c>
      <c r="G6074" s="118">
        <v>0.97833333333333339</v>
      </c>
      <c r="H6074" s="118">
        <v>1.0069444444444444E-3</v>
      </c>
      <c r="I6074" s="118">
        <v>4.6296296296296293E-4</v>
      </c>
      <c r="J6074"/>
      <c r="K6074"/>
    </row>
    <row r="6075" spans="1:11" x14ac:dyDescent="0.25">
      <c r="A6075">
        <v>9</v>
      </c>
      <c r="B6075">
        <v>9</v>
      </c>
      <c r="C6075"/>
      <c r="D6075" t="s">
        <v>31</v>
      </c>
      <c r="E6075" t="s">
        <v>32</v>
      </c>
      <c r="F6075" t="s">
        <v>47</v>
      </c>
      <c r="G6075" s="118">
        <v>0.97854166666666664</v>
      </c>
      <c r="H6075" s="118">
        <v>5.2083333333333333E-4</v>
      </c>
      <c r="I6075" s="118">
        <v>8.7962962962962962E-4</v>
      </c>
      <c r="J6075" s="118">
        <v>7.0717592592592594E-3</v>
      </c>
      <c r="K6075" s="118">
        <v>7.0717592592592594E-3</v>
      </c>
    </row>
    <row r="6076" spans="1:11" x14ac:dyDescent="0.25">
      <c r="A6076">
        <v>5</v>
      </c>
      <c r="B6076">
        <v>22</v>
      </c>
      <c r="C6076"/>
      <c r="D6076" t="s">
        <v>31</v>
      </c>
      <c r="E6076" t="s">
        <v>35</v>
      </c>
      <c r="F6076" t="s">
        <v>36</v>
      </c>
      <c r="G6076" s="118">
        <v>0.97863425925925929</v>
      </c>
      <c r="H6076" s="118">
        <v>9.6064814814814808E-4</v>
      </c>
      <c r="I6076" s="118">
        <v>3.4722222222222224E-4</v>
      </c>
      <c r="J6076"/>
      <c r="K6076"/>
    </row>
    <row r="6077" spans="1:11" x14ac:dyDescent="0.25">
      <c r="A6077">
        <v>4</v>
      </c>
      <c r="B6077">
        <v>21</v>
      </c>
      <c r="C6077"/>
      <c r="D6077" t="s">
        <v>31</v>
      </c>
      <c r="E6077" t="s">
        <v>35</v>
      </c>
      <c r="F6077" t="s">
        <v>42</v>
      </c>
      <c r="G6077" s="118">
        <v>0.9786689814814814</v>
      </c>
      <c r="H6077" s="118">
        <v>9.0277777777777784E-4</v>
      </c>
      <c r="I6077" s="118">
        <v>3.4722222222222224E-4</v>
      </c>
      <c r="J6077"/>
      <c r="K6077"/>
    </row>
    <row r="6078" spans="1:11" x14ac:dyDescent="0.25">
      <c r="A6078">
        <v>1</v>
      </c>
      <c r="B6078">
        <v>21</v>
      </c>
      <c r="C6078"/>
      <c r="D6078" t="s">
        <v>31</v>
      </c>
      <c r="E6078" t="s">
        <v>32</v>
      </c>
      <c r="F6078" t="s">
        <v>55</v>
      </c>
      <c r="G6078" s="118">
        <v>0.97879629629629628</v>
      </c>
      <c r="H6078" s="118">
        <v>4.6296296296296293E-4</v>
      </c>
      <c r="I6078" s="118">
        <v>4.3981481481481481E-4</v>
      </c>
      <c r="J6078" s="118">
        <v>7.0717592592592594E-3</v>
      </c>
      <c r="K6078" s="118">
        <v>7.0717592592592594E-3</v>
      </c>
    </row>
    <row r="6079" spans="1:11" x14ac:dyDescent="0.25">
      <c r="A6079">
        <v>5</v>
      </c>
      <c r="B6079">
        <v>22</v>
      </c>
      <c r="C6079"/>
      <c r="D6079" t="s">
        <v>31</v>
      </c>
      <c r="E6079" t="s">
        <v>32</v>
      </c>
      <c r="F6079" t="s">
        <v>36</v>
      </c>
      <c r="G6079" s="118">
        <v>0.97898148148148145</v>
      </c>
      <c r="H6079" s="118">
        <v>3.4722222222222224E-4</v>
      </c>
      <c r="I6079" s="118">
        <v>1.0995370370370371E-3</v>
      </c>
      <c r="J6079" s="118">
        <v>7.0717592592592594E-3</v>
      </c>
      <c r="K6079" s="118">
        <v>7.0717592592592594E-3</v>
      </c>
    </row>
    <row r="6080" spans="1:11" x14ac:dyDescent="0.25">
      <c r="A6080">
        <v>4</v>
      </c>
      <c r="B6080">
        <v>21</v>
      </c>
      <c r="C6080"/>
      <c r="D6080" t="s">
        <v>31</v>
      </c>
      <c r="E6080" t="s">
        <v>32</v>
      </c>
      <c r="F6080" t="s">
        <v>42</v>
      </c>
      <c r="G6080" s="118">
        <v>0.97901620370370368</v>
      </c>
      <c r="H6080" s="118">
        <v>3.4722222222222224E-4</v>
      </c>
      <c r="I6080" s="118">
        <v>9.1435185185185185E-4</v>
      </c>
      <c r="J6080" s="118">
        <v>7.0717592592592594E-3</v>
      </c>
      <c r="K6080" s="118">
        <v>7.0717592592592594E-3</v>
      </c>
    </row>
    <row r="6081" spans="1:11" x14ac:dyDescent="0.25">
      <c r="A6081">
        <v>2</v>
      </c>
      <c r="B6081">
        <v>22</v>
      </c>
      <c r="C6081"/>
      <c r="D6081" t="s">
        <v>31</v>
      </c>
      <c r="E6081" t="s">
        <v>35</v>
      </c>
      <c r="F6081" t="s">
        <v>57</v>
      </c>
      <c r="G6081" s="118">
        <v>0.97917824074074078</v>
      </c>
      <c r="H6081" s="118">
        <v>1.0532407407407407E-3</v>
      </c>
      <c r="I6081" s="118">
        <v>3.4722222222222224E-4</v>
      </c>
      <c r="J6081"/>
      <c r="K6081"/>
    </row>
    <row r="6082" spans="1:11" x14ac:dyDescent="0.25">
      <c r="A6082">
        <v>1</v>
      </c>
      <c r="B6082">
        <v>21</v>
      </c>
      <c r="C6082"/>
      <c r="D6082" t="s">
        <v>31</v>
      </c>
      <c r="E6082" t="s">
        <v>35</v>
      </c>
      <c r="F6082" t="s">
        <v>58</v>
      </c>
      <c r="G6082" s="118">
        <v>0.97923611111111108</v>
      </c>
      <c r="H6082" s="118">
        <v>4.3981481481481481E-4</v>
      </c>
      <c r="I6082" s="118">
        <v>5.7870370370370366E-5</v>
      </c>
      <c r="J6082"/>
      <c r="K6082"/>
    </row>
    <row r="6083" spans="1:11" x14ac:dyDescent="0.25">
      <c r="A6083">
        <v>1</v>
      </c>
      <c r="B6083">
        <v>21</v>
      </c>
      <c r="C6083"/>
      <c r="D6083" t="s">
        <v>31</v>
      </c>
      <c r="E6083" t="s">
        <v>32</v>
      </c>
      <c r="F6083" t="s">
        <v>58</v>
      </c>
      <c r="G6083" s="118">
        <v>0.9792939814814815</v>
      </c>
      <c r="H6083" s="118">
        <v>5.7870370370370366E-5</v>
      </c>
      <c r="I6083" s="118">
        <v>4.8611111111111104E-4</v>
      </c>
      <c r="J6083" s="118">
        <v>7.0717592592592594E-3</v>
      </c>
      <c r="K6083" s="118">
        <v>7.0717592592592594E-3</v>
      </c>
    </row>
    <row r="6084" spans="1:11" x14ac:dyDescent="0.25">
      <c r="A6084">
        <v>9</v>
      </c>
      <c r="B6084">
        <v>9</v>
      </c>
      <c r="C6084"/>
      <c r="D6084" t="s">
        <v>31</v>
      </c>
      <c r="E6084" t="s">
        <v>35</v>
      </c>
      <c r="F6084" t="s">
        <v>53</v>
      </c>
      <c r="G6084" s="118">
        <v>0.97942129629629626</v>
      </c>
      <c r="H6084" s="118">
        <v>8.7962962962962962E-4</v>
      </c>
      <c r="I6084" s="118">
        <v>3.4722222222222224E-4</v>
      </c>
      <c r="J6084"/>
      <c r="K6084"/>
    </row>
    <row r="6085" spans="1:11" x14ac:dyDescent="0.25">
      <c r="A6085">
        <v>2</v>
      </c>
      <c r="B6085">
        <v>22</v>
      </c>
      <c r="C6085"/>
      <c r="D6085" t="s">
        <v>31</v>
      </c>
      <c r="E6085" t="s">
        <v>32</v>
      </c>
      <c r="F6085" t="s">
        <v>57</v>
      </c>
      <c r="G6085" s="118">
        <v>0.97952546296296295</v>
      </c>
      <c r="H6085" s="118">
        <v>3.4722222222222224E-4</v>
      </c>
      <c r="I6085" s="118">
        <v>9.3750000000000007E-4</v>
      </c>
      <c r="J6085" s="118">
        <v>7.0717592592592594E-3</v>
      </c>
      <c r="K6085" s="118">
        <v>7.0717592592592594E-3</v>
      </c>
    </row>
    <row r="6086" spans="1:11" x14ac:dyDescent="0.25">
      <c r="A6086">
        <v>9</v>
      </c>
      <c r="B6086">
        <v>9</v>
      </c>
      <c r="C6086"/>
      <c r="D6086" t="s">
        <v>31</v>
      </c>
      <c r="E6086" t="s">
        <v>32</v>
      </c>
      <c r="F6086" t="s">
        <v>53</v>
      </c>
      <c r="G6086" s="118">
        <v>0.97976851851851843</v>
      </c>
      <c r="H6086" s="118">
        <v>3.4722222222222224E-4</v>
      </c>
      <c r="I6086" s="118">
        <v>8.449074074074075E-4</v>
      </c>
      <c r="J6086" s="118">
        <v>7.0717592592592594E-3</v>
      </c>
      <c r="K6086" s="118">
        <v>7.0717592592592594E-3</v>
      </c>
    </row>
    <row r="6087" spans="1:11" x14ac:dyDescent="0.25">
      <c r="A6087">
        <v>1</v>
      </c>
      <c r="B6087">
        <v>21</v>
      </c>
      <c r="C6087"/>
      <c r="D6087" t="s">
        <v>31</v>
      </c>
      <c r="E6087" t="s">
        <v>35</v>
      </c>
      <c r="F6087" t="s">
        <v>40</v>
      </c>
      <c r="G6087" s="118">
        <v>0.97978009259259258</v>
      </c>
      <c r="H6087" s="118">
        <v>4.8611111111111104E-4</v>
      </c>
      <c r="I6087" s="118">
        <v>4.6296296296296293E-4</v>
      </c>
      <c r="J6087"/>
      <c r="K6087"/>
    </row>
    <row r="6088" spans="1:11" x14ac:dyDescent="0.25">
      <c r="A6088">
        <v>4</v>
      </c>
      <c r="B6088">
        <v>21</v>
      </c>
      <c r="C6088"/>
      <c r="D6088" t="s">
        <v>31</v>
      </c>
      <c r="E6088" t="s">
        <v>35</v>
      </c>
      <c r="F6088" t="s">
        <v>48</v>
      </c>
      <c r="G6088" s="118">
        <v>0.97993055555555564</v>
      </c>
      <c r="H6088" s="118">
        <v>9.1435185185185185E-4</v>
      </c>
      <c r="I6088" s="118">
        <v>5.2083333333333333E-4</v>
      </c>
      <c r="J6088"/>
      <c r="K6088"/>
    </row>
    <row r="6089" spans="1:11" x14ac:dyDescent="0.25">
      <c r="A6089">
        <v>5</v>
      </c>
      <c r="B6089">
        <v>22</v>
      </c>
      <c r="C6089"/>
      <c r="D6089" t="s">
        <v>31</v>
      </c>
      <c r="E6089" t="s">
        <v>35</v>
      </c>
      <c r="F6089" t="s">
        <v>43</v>
      </c>
      <c r="G6089" s="118">
        <v>0.98008101851851848</v>
      </c>
      <c r="H6089" s="118">
        <v>1.0995370370370371E-3</v>
      </c>
      <c r="I6089" s="118">
        <v>3.4722222222222224E-4</v>
      </c>
      <c r="J6089"/>
      <c r="K6089"/>
    </row>
    <row r="6090" spans="1:11" x14ac:dyDescent="0.25">
      <c r="A6090">
        <v>1</v>
      </c>
      <c r="B6090">
        <v>21</v>
      </c>
      <c r="C6090"/>
      <c r="D6090" t="s">
        <v>31</v>
      </c>
      <c r="E6090" t="s">
        <v>32</v>
      </c>
      <c r="F6090" t="s">
        <v>40</v>
      </c>
      <c r="G6090" s="118">
        <v>0.98024305555555558</v>
      </c>
      <c r="H6090" s="118">
        <v>4.6296296296296293E-4</v>
      </c>
      <c r="I6090" s="118">
        <v>1.0069444444444444E-3</v>
      </c>
      <c r="J6090" s="118">
        <v>7.0717592592592594E-3</v>
      </c>
      <c r="K6090" s="118">
        <v>7.0717592592592594E-3</v>
      </c>
    </row>
    <row r="6091" spans="1:11" x14ac:dyDescent="0.25">
      <c r="A6091">
        <v>5</v>
      </c>
      <c r="B6091">
        <v>22</v>
      </c>
      <c r="C6091"/>
      <c r="D6091" t="s">
        <v>31</v>
      </c>
      <c r="E6091" t="s">
        <v>32</v>
      </c>
      <c r="F6091" t="s">
        <v>43</v>
      </c>
      <c r="G6091" s="118">
        <v>0.98042824074074064</v>
      </c>
      <c r="H6091" s="118">
        <v>3.4722222222222224E-4</v>
      </c>
      <c r="I6091" s="118">
        <v>1.1458333333333333E-3</v>
      </c>
      <c r="J6091" s="118">
        <v>7.0717592592592594E-3</v>
      </c>
      <c r="K6091" s="118">
        <v>7.0717592592592594E-3</v>
      </c>
    </row>
    <row r="6092" spans="1:11" x14ac:dyDescent="0.25">
      <c r="A6092">
        <v>4</v>
      </c>
      <c r="B6092">
        <v>21</v>
      </c>
      <c r="C6092"/>
      <c r="D6092" t="s">
        <v>31</v>
      </c>
      <c r="E6092" t="s">
        <v>32</v>
      </c>
      <c r="F6092" t="s">
        <v>48</v>
      </c>
      <c r="G6092" s="118">
        <v>0.98045138888888894</v>
      </c>
      <c r="H6092" s="118">
        <v>5.2083333333333333E-4</v>
      </c>
      <c r="I6092" s="118">
        <v>8.6805555555555551E-4</v>
      </c>
      <c r="J6092" s="118">
        <v>7.0717592592592594E-3</v>
      </c>
      <c r="K6092" s="118">
        <v>7.0717592592592594E-3</v>
      </c>
    </row>
    <row r="6093" spans="1:11" x14ac:dyDescent="0.25">
      <c r="A6093">
        <v>2</v>
      </c>
      <c r="B6093">
        <v>22</v>
      </c>
      <c r="C6093"/>
      <c r="D6093" t="s">
        <v>31</v>
      </c>
      <c r="E6093" t="s">
        <v>35</v>
      </c>
      <c r="F6093" t="s">
        <v>39</v>
      </c>
      <c r="G6093" s="118">
        <v>0.98046296296296298</v>
      </c>
      <c r="H6093" s="118">
        <v>9.3750000000000007E-4</v>
      </c>
      <c r="I6093" s="118">
        <v>5.2083333333333333E-4</v>
      </c>
      <c r="J6093"/>
      <c r="K6093"/>
    </row>
    <row r="6094" spans="1:11" x14ac:dyDescent="0.25">
      <c r="A6094">
        <v>9</v>
      </c>
      <c r="B6094">
        <v>9</v>
      </c>
      <c r="C6094"/>
      <c r="D6094" t="s">
        <v>31</v>
      </c>
      <c r="E6094" t="s">
        <v>35</v>
      </c>
      <c r="F6094" t="s">
        <v>34</v>
      </c>
      <c r="G6094" s="118">
        <v>0.98061342592592593</v>
      </c>
      <c r="H6094" s="118">
        <v>8.449074074074075E-4</v>
      </c>
      <c r="I6094" s="118">
        <v>3.4722222222222224E-4</v>
      </c>
      <c r="J6094"/>
      <c r="K6094"/>
    </row>
    <row r="6095" spans="1:11" x14ac:dyDescent="0.25">
      <c r="A6095">
        <v>9</v>
      </c>
      <c r="B6095">
        <v>9</v>
      </c>
      <c r="C6095"/>
      <c r="D6095" t="s">
        <v>31</v>
      </c>
      <c r="E6095" t="s">
        <v>32</v>
      </c>
      <c r="F6095" t="s">
        <v>34</v>
      </c>
      <c r="G6095" s="118">
        <v>0.9809606481481481</v>
      </c>
      <c r="H6095" s="118">
        <v>3.4722222222222224E-4</v>
      </c>
      <c r="I6095" s="118">
        <v>9.1435185185185185E-4</v>
      </c>
      <c r="J6095" s="118">
        <v>7.0717592592592594E-3</v>
      </c>
      <c r="K6095" s="118">
        <v>7.0717592592592594E-3</v>
      </c>
    </row>
    <row r="6096" spans="1:11" x14ac:dyDescent="0.25">
      <c r="A6096">
        <v>2</v>
      </c>
      <c r="B6096">
        <v>22</v>
      </c>
      <c r="C6096"/>
      <c r="D6096" t="s">
        <v>31</v>
      </c>
      <c r="E6096" t="s">
        <v>32</v>
      </c>
      <c r="F6096" t="s">
        <v>39</v>
      </c>
      <c r="G6096" s="118">
        <v>0.98098379629629628</v>
      </c>
      <c r="H6096" s="118">
        <v>5.2083333333333333E-4</v>
      </c>
      <c r="I6096" s="118">
        <v>1.8055555555555557E-3</v>
      </c>
      <c r="J6096" s="118">
        <v>7.0717592592592594E-3</v>
      </c>
      <c r="K6096" s="118">
        <v>7.0717592592592594E-3</v>
      </c>
    </row>
    <row r="6097" spans="1:11" x14ac:dyDescent="0.25">
      <c r="A6097">
        <v>1</v>
      </c>
      <c r="B6097">
        <v>21</v>
      </c>
      <c r="C6097"/>
      <c r="D6097" t="s">
        <v>31</v>
      </c>
      <c r="E6097" t="s">
        <v>35</v>
      </c>
      <c r="F6097" t="s">
        <v>44</v>
      </c>
      <c r="G6097" s="118">
        <v>0.98125000000000007</v>
      </c>
      <c r="H6097" s="118">
        <v>1.0069444444444444E-3</v>
      </c>
      <c r="I6097" s="118">
        <v>3.4722222222222224E-4</v>
      </c>
      <c r="J6097"/>
      <c r="K6097"/>
    </row>
    <row r="6098" spans="1:11" x14ac:dyDescent="0.25">
      <c r="A6098">
        <v>4</v>
      </c>
      <c r="B6098">
        <v>21</v>
      </c>
      <c r="C6098"/>
      <c r="D6098" t="s">
        <v>31</v>
      </c>
      <c r="E6098" t="s">
        <v>35</v>
      </c>
      <c r="F6098" t="s">
        <v>54</v>
      </c>
      <c r="G6098" s="118">
        <v>0.98131944444444441</v>
      </c>
      <c r="H6098" s="118">
        <v>8.6805555555555551E-4</v>
      </c>
      <c r="I6098" s="118">
        <v>3.4722222222222224E-4</v>
      </c>
      <c r="J6098"/>
      <c r="K6098"/>
    </row>
    <row r="6099" spans="1:11" x14ac:dyDescent="0.25">
      <c r="A6099">
        <v>5</v>
      </c>
      <c r="B6099">
        <v>22</v>
      </c>
      <c r="C6099"/>
      <c r="D6099" t="s">
        <v>31</v>
      </c>
      <c r="E6099" t="s">
        <v>35</v>
      </c>
      <c r="F6099" t="s">
        <v>50</v>
      </c>
      <c r="G6099" s="118">
        <v>0.98157407407407404</v>
      </c>
      <c r="H6099" s="118">
        <v>1.1458333333333333E-3</v>
      </c>
      <c r="I6099" s="118">
        <v>3.4722222222222224E-4</v>
      </c>
      <c r="J6099"/>
      <c r="K6099"/>
    </row>
    <row r="6100" spans="1:11" x14ac:dyDescent="0.25">
      <c r="A6100">
        <v>1</v>
      </c>
      <c r="B6100">
        <v>21</v>
      </c>
      <c r="C6100"/>
      <c r="D6100" t="s">
        <v>31</v>
      </c>
      <c r="E6100" t="s">
        <v>32</v>
      </c>
      <c r="F6100" t="s">
        <v>44</v>
      </c>
      <c r="G6100" s="118">
        <v>0.98159722222222223</v>
      </c>
      <c r="H6100" s="118">
        <v>3.4722222222222224E-4</v>
      </c>
      <c r="I6100" s="118">
        <v>9.2592592592592585E-4</v>
      </c>
      <c r="J6100" s="118">
        <v>7.0717592592592594E-3</v>
      </c>
      <c r="K6100" s="118">
        <v>7.0717592592592594E-3</v>
      </c>
    </row>
    <row r="6101" spans="1:11" x14ac:dyDescent="0.25">
      <c r="A6101">
        <v>4</v>
      </c>
      <c r="B6101">
        <v>21</v>
      </c>
      <c r="C6101"/>
      <c r="D6101" t="s">
        <v>31</v>
      </c>
      <c r="E6101" t="s">
        <v>32</v>
      </c>
      <c r="F6101" t="s">
        <v>54</v>
      </c>
      <c r="G6101" s="118">
        <v>0.98166666666666658</v>
      </c>
      <c r="H6101" s="118">
        <v>3.4722222222222224E-4</v>
      </c>
      <c r="I6101" s="118">
        <v>6.9444444444444447E-4</v>
      </c>
      <c r="J6101" s="118">
        <v>7.0717592592592594E-3</v>
      </c>
      <c r="K6101" s="118">
        <v>7.0717592592592594E-3</v>
      </c>
    </row>
    <row r="6102" spans="1:11" x14ac:dyDescent="0.25">
      <c r="A6102">
        <v>9</v>
      </c>
      <c r="B6102">
        <v>9</v>
      </c>
      <c r="C6102"/>
      <c r="D6102" t="s">
        <v>31</v>
      </c>
      <c r="E6102" t="s">
        <v>35</v>
      </c>
      <c r="F6102" t="s">
        <v>38</v>
      </c>
      <c r="G6102" s="118">
        <v>0.98187500000000005</v>
      </c>
      <c r="H6102" s="118">
        <v>9.1435185185185185E-4</v>
      </c>
      <c r="I6102" s="118">
        <v>3.4722222222222224E-4</v>
      </c>
      <c r="J6102"/>
      <c r="K6102"/>
    </row>
    <row r="6103" spans="1:11" x14ac:dyDescent="0.25">
      <c r="A6103">
        <v>5</v>
      </c>
      <c r="B6103">
        <v>22</v>
      </c>
      <c r="C6103"/>
      <c r="D6103" t="s">
        <v>31</v>
      </c>
      <c r="E6103" t="s">
        <v>32</v>
      </c>
      <c r="F6103" t="s">
        <v>50</v>
      </c>
      <c r="G6103" s="118">
        <v>0.98192129629629632</v>
      </c>
      <c r="H6103" s="118">
        <v>3.4722222222222224E-4</v>
      </c>
      <c r="I6103" s="118">
        <v>1.261574074074074E-3</v>
      </c>
      <c r="J6103" s="118">
        <v>7.0717592592592594E-3</v>
      </c>
      <c r="K6103" s="118">
        <v>7.0717592592592594E-3</v>
      </c>
    </row>
    <row r="6104" spans="1:11" x14ac:dyDescent="0.25">
      <c r="A6104">
        <v>9</v>
      </c>
      <c r="B6104">
        <v>9</v>
      </c>
      <c r="C6104"/>
      <c r="D6104" t="s">
        <v>31</v>
      </c>
      <c r="E6104" t="s">
        <v>32</v>
      </c>
      <c r="F6104" t="s">
        <v>38</v>
      </c>
      <c r="G6104" s="118">
        <v>0.98222222222222222</v>
      </c>
      <c r="H6104" s="118">
        <v>3.4722222222222224E-4</v>
      </c>
      <c r="I6104" s="118">
        <v>1.2384259259259258E-3</v>
      </c>
      <c r="J6104" s="118">
        <v>7.0717592592592594E-3</v>
      </c>
      <c r="K6104" s="118">
        <v>7.0717592592592594E-3</v>
      </c>
    </row>
    <row r="6105" spans="1:11" x14ac:dyDescent="0.25">
      <c r="A6105">
        <v>4</v>
      </c>
      <c r="B6105">
        <v>21</v>
      </c>
      <c r="C6105"/>
      <c r="D6105" t="s">
        <v>31</v>
      </c>
      <c r="E6105" t="s">
        <v>35</v>
      </c>
      <c r="F6105" t="s">
        <v>92</v>
      </c>
      <c r="G6105" s="118">
        <v>0.98236111111111113</v>
      </c>
      <c r="H6105" s="118">
        <v>6.9444444444444447E-4</v>
      </c>
      <c r="I6105" s="118">
        <v>5.2083333333333333E-4</v>
      </c>
      <c r="J6105"/>
      <c r="K6105"/>
    </row>
    <row r="6106" spans="1:11" x14ac:dyDescent="0.25">
      <c r="A6106">
        <v>1</v>
      </c>
      <c r="B6106">
        <v>21</v>
      </c>
      <c r="C6106"/>
      <c r="D6106" t="s">
        <v>31</v>
      </c>
      <c r="E6106" t="s">
        <v>35</v>
      </c>
      <c r="F6106" t="s">
        <v>49</v>
      </c>
      <c r="G6106" s="118">
        <v>0.98252314814814812</v>
      </c>
      <c r="H6106" s="118">
        <v>9.2592592592592585E-4</v>
      </c>
      <c r="I6106" s="118">
        <v>3.4722222222222224E-4</v>
      </c>
      <c r="J6106"/>
      <c r="K6106"/>
    </row>
    <row r="6107" spans="1:11" x14ac:dyDescent="0.25">
      <c r="A6107">
        <v>2</v>
      </c>
      <c r="B6107">
        <v>22</v>
      </c>
      <c r="C6107"/>
      <c r="D6107" t="s">
        <v>31</v>
      </c>
      <c r="E6107" t="s">
        <v>35</v>
      </c>
      <c r="F6107" t="s">
        <v>46</v>
      </c>
      <c r="G6107" s="118">
        <v>0.9827893518518519</v>
      </c>
      <c r="H6107" s="118">
        <v>1.8055555555555557E-3</v>
      </c>
      <c r="I6107" s="118">
        <v>3.4722222222222224E-4</v>
      </c>
      <c r="J6107"/>
      <c r="K6107"/>
    </row>
    <row r="6108" spans="1:11" x14ac:dyDescent="0.25">
      <c r="A6108">
        <v>1</v>
      </c>
      <c r="B6108">
        <v>21</v>
      </c>
      <c r="C6108"/>
      <c r="D6108" t="s">
        <v>31</v>
      </c>
      <c r="E6108" t="s">
        <v>32</v>
      </c>
      <c r="F6108" t="s">
        <v>49</v>
      </c>
      <c r="G6108" s="118">
        <v>0.98287037037037039</v>
      </c>
      <c r="H6108" s="118">
        <v>3.4722222222222224E-4</v>
      </c>
      <c r="I6108" s="118">
        <v>1.3541666666666667E-3</v>
      </c>
      <c r="J6108" s="118">
        <v>7.0717592592592594E-3</v>
      </c>
      <c r="K6108" s="118">
        <v>7.0717592592592594E-3</v>
      </c>
    </row>
    <row r="6109" spans="1:11" x14ac:dyDescent="0.25">
      <c r="A6109">
        <v>4</v>
      </c>
      <c r="B6109">
        <v>22</v>
      </c>
      <c r="C6109"/>
      <c r="D6109" t="s">
        <v>31</v>
      </c>
      <c r="E6109" t="s">
        <v>32</v>
      </c>
      <c r="F6109" t="s">
        <v>92</v>
      </c>
      <c r="G6109" s="118">
        <v>0.98288194444444443</v>
      </c>
      <c r="H6109" s="118">
        <v>5.2083333333333333E-4</v>
      </c>
      <c r="I6109" s="118">
        <v>1.0069444444444444E-3</v>
      </c>
      <c r="J6109" s="118">
        <v>7.0717592592592594E-3</v>
      </c>
      <c r="K6109" s="118">
        <v>7.1296296296296307E-3</v>
      </c>
    </row>
    <row r="6110" spans="1:11" x14ac:dyDescent="0.25">
      <c r="A6110">
        <v>2</v>
      </c>
      <c r="B6110">
        <v>22</v>
      </c>
      <c r="C6110"/>
      <c r="D6110" t="s">
        <v>31</v>
      </c>
      <c r="E6110" t="s">
        <v>32</v>
      </c>
      <c r="F6110" t="s">
        <v>46</v>
      </c>
      <c r="G6110" s="118">
        <v>0.98313657407407407</v>
      </c>
      <c r="H6110" s="118">
        <v>3.4722222222222224E-4</v>
      </c>
      <c r="I6110" s="118">
        <v>9.1435185185185185E-4</v>
      </c>
      <c r="J6110" s="118">
        <v>7.0717592592592594E-3</v>
      </c>
      <c r="K6110" s="118">
        <v>7.0717592592592594E-3</v>
      </c>
    </row>
    <row r="6111" spans="1:11" x14ac:dyDescent="0.25">
      <c r="A6111">
        <v>5</v>
      </c>
      <c r="B6111">
        <v>22</v>
      </c>
      <c r="C6111"/>
      <c r="D6111" t="s">
        <v>31</v>
      </c>
      <c r="E6111" t="s">
        <v>35</v>
      </c>
      <c r="F6111" t="s">
        <v>56</v>
      </c>
      <c r="G6111" s="118">
        <v>0.98318287037037033</v>
      </c>
      <c r="H6111" s="118">
        <v>1.261574074074074E-3</v>
      </c>
      <c r="I6111" s="118">
        <v>3.4722222222222224E-4</v>
      </c>
      <c r="J6111"/>
      <c r="K6111"/>
    </row>
    <row r="6112" spans="1:11" x14ac:dyDescent="0.25">
      <c r="A6112">
        <v>9</v>
      </c>
      <c r="B6112">
        <v>9</v>
      </c>
      <c r="C6112"/>
      <c r="D6112" t="s">
        <v>31</v>
      </c>
      <c r="E6112" t="s">
        <v>35</v>
      </c>
      <c r="F6112" t="s">
        <v>45</v>
      </c>
      <c r="G6112" s="118">
        <v>0.98346064814814815</v>
      </c>
      <c r="H6112" s="118">
        <v>1.2384259259259258E-3</v>
      </c>
      <c r="I6112" s="118">
        <v>3.4722222222222224E-4</v>
      </c>
      <c r="J6112"/>
      <c r="K6112"/>
    </row>
    <row r="6113" spans="1:11" x14ac:dyDescent="0.25">
      <c r="A6113">
        <v>5</v>
      </c>
      <c r="B6113">
        <v>22</v>
      </c>
      <c r="C6113"/>
      <c r="D6113" t="s">
        <v>31</v>
      </c>
      <c r="E6113" t="s">
        <v>32</v>
      </c>
      <c r="F6113" t="s">
        <v>56</v>
      </c>
      <c r="G6113" s="118">
        <v>0.98353009259259261</v>
      </c>
      <c r="H6113" s="118">
        <v>3.4722222222222224E-4</v>
      </c>
      <c r="I6113" s="118">
        <v>9.6064814814814808E-4</v>
      </c>
      <c r="J6113" s="118">
        <v>7.0717592592592594E-3</v>
      </c>
      <c r="K6113" s="118">
        <v>7.0717592592592594E-3</v>
      </c>
    </row>
    <row r="6114" spans="1:11" x14ac:dyDescent="0.25">
      <c r="A6114">
        <v>9</v>
      </c>
      <c r="B6114">
        <v>9</v>
      </c>
      <c r="C6114"/>
      <c r="D6114" t="s">
        <v>31</v>
      </c>
      <c r="E6114" t="s">
        <v>32</v>
      </c>
      <c r="F6114" t="s">
        <v>45</v>
      </c>
      <c r="G6114" s="118">
        <v>0.98380787037037043</v>
      </c>
      <c r="H6114" s="118">
        <v>3.4722222222222224E-4</v>
      </c>
      <c r="I6114" s="118">
        <v>1.0416666666666667E-3</v>
      </c>
      <c r="J6114" s="118">
        <v>7.0717592592592594E-3</v>
      </c>
      <c r="K6114" s="118">
        <v>7.0717592592592594E-3</v>
      </c>
    </row>
    <row r="6115" spans="1:11" x14ac:dyDescent="0.25">
      <c r="A6115">
        <v>4</v>
      </c>
      <c r="B6115">
        <v>22</v>
      </c>
      <c r="C6115"/>
      <c r="D6115" t="s">
        <v>31</v>
      </c>
      <c r="E6115" t="s">
        <v>35</v>
      </c>
      <c r="F6115" t="s">
        <v>41</v>
      </c>
      <c r="G6115" s="118">
        <v>0.98388888888888892</v>
      </c>
      <c r="H6115" s="118">
        <v>1.0069444444444444E-3</v>
      </c>
      <c r="I6115" s="118">
        <v>3.4722222222222224E-4</v>
      </c>
      <c r="J6115"/>
      <c r="K6115"/>
    </row>
    <row r="6116" spans="1:11" x14ac:dyDescent="0.25">
      <c r="A6116">
        <v>2</v>
      </c>
      <c r="B6116">
        <v>22</v>
      </c>
      <c r="C6116"/>
      <c r="D6116" t="s">
        <v>31</v>
      </c>
      <c r="E6116" t="s">
        <v>35</v>
      </c>
      <c r="F6116" t="s">
        <v>51</v>
      </c>
      <c r="G6116" s="118">
        <v>0.98405092592592591</v>
      </c>
      <c r="H6116" s="118">
        <v>9.1435185185185185E-4</v>
      </c>
      <c r="I6116" s="118">
        <v>3.4722222222222224E-4</v>
      </c>
      <c r="J6116"/>
      <c r="K6116"/>
    </row>
    <row r="6117" spans="1:11" x14ac:dyDescent="0.25">
      <c r="A6117">
        <v>1</v>
      </c>
      <c r="B6117">
        <v>21</v>
      </c>
      <c r="C6117"/>
      <c r="D6117" t="s">
        <v>31</v>
      </c>
      <c r="E6117" t="s">
        <v>35</v>
      </c>
      <c r="F6117" t="s">
        <v>33</v>
      </c>
      <c r="G6117" s="118">
        <v>0.98422453703703694</v>
      </c>
      <c r="H6117" s="118">
        <v>1.3541666666666667E-3</v>
      </c>
      <c r="I6117" s="118">
        <v>5.2083333333333333E-4</v>
      </c>
      <c r="J6117"/>
      <c r="K6117"/>
    </row>
    <row r="6118" spans="1:11" x14ac:dyDescent="0.25">
      <c r="A6118">
        <v>4</v>
      </c>
      <c r="B6118">
        <v>22</v>
      </c>
      <c r="C6118"/>
      <c r="D6118" t="s">
        <v>31</v>
      </c>
      <c r="E6118" t="s">
        <v>32</v>
      </c>
      <c r="F6118" t="s">
        <v>41</v>
      </c>
      <c r="G6118" s="118">
        <v>0.98423611111111109</v>
      </c>
      <c r="H6118" s="118">
        <v>3.4722222222222224E-4</v>
      </c>
      <c r="I6118" s="118">
        <v>8.564814814814815E-4</v>
      </c>
      <c r="J6118" s="118">
        <v>7.0717592592592594E-3</v>
      </c>
      <c r="K6118" s="118">
        <v>7.1296296296296307E-3</v>
      </c>
    </row>
    <row r="6119" spans="1:11" x14ac:dyDescent="0.25">
      <c r="A6119">
        <v>2</v>
      </c>
      <c r="B6119">
        <v>22</v>
      </c>
      <c r="C6119"/>
      <c r="D6119" t="s">
        <v>31</v>
      </c>
      <c r="E6119" t="s">
        <v>32</v>
      </c>
      <c r="F6119" t="s">
        <v>51</v>
      </c>
      <c r="G6119" s="118">
        <v>0.98439814814814808</v>
      </c>
      <c r="H6119" s="118">
        <v>3.4722222222222224E-4</v>
      </c>
      <c r="I6119" s="118">
        <v>1.0069444444444444E-3</v>
      </c>
      <c r="J6119" s="118">
        <v>7.0717592592592594E-3</v>
      </c>
      <c r="K6119" s="118">
        <v>7.0717592592592594E-3</v>
      </c>
    </row>
    <row r="6120" spans="1:11" x14ac:dyDescent="0.25">
      <c r="A6120">
        <v>5</v>
      </c>
      <c r="B6120">
        <v>22</v>
      </c>
      <c r="C6120"/>
      <c r="D6120" t="s">
        <v>31</v>
      </c>
      <c r="E6120" t="s">
        <v>35</v>
      </c>
      <c r="F6120" t="s">
        <v>37</v>
      </c>
      <c r="G6120" s="118">
        <v>0.98449074074074072</v>
      </c>
      <c r="H6120" s="118">
        <v>9.6064814814814808E-4</v>
      </c>
      <c r="I6120" s="118">
        <v>3.4722222222222224E-4</v>
      </c>
      <c r="J6120"/>
      <c r="K6120"/>
    </row>
    <row r="6121" spans="1:11" x14ac:dyDescent="0.25">
      <c r="A6121">
        <v>1</v>
      </c>
      <c r="B6121">
        <v>21</v>
      </c>
      <c r="C6121"/>
      <c r="D6121" t="s">
        <v>31</v>
      </c>
      <c r="E6121" t="s">
        <v>32</v>
      </c>
      <c r="F6121" t="s">
        <v>33</v>
      </c>
      <c r="G6121" s="118">
        <v>0.98474537037037047</v>
      </c>
      <c r="H6121" s="118">
        <v>5.2083333333333333E-4</v>
      </c>
      <c r="I6121" s="118">
        <v>9.6064814814814808E-4</v>
      </c>
      <c r="J6121" s="118">
        <v>7.0717592592592594E-3</v>
      </c>
      <c r="K6121" s="118">
        <v>7.0717592592592594E-3</v>
      </c>
    </row>
    <row r="6122" spans="1:11" x14ac:dyDescent="0.25">
      <c r="A6122">
        <v>5</v>
      </c>
      <c r="B6122">
        <v>22</v>
      </c>
      <c r="C6122"/>
      <c r="D6122" t="s">
        <v>31</v>
      </c>
      <c r="E6122" t="s">
        <v>32</v>
      </c>
      <c r="F6122" t="s">
        <v>37</v>
      </c>
      <c r="G6122" s="118">
        <v>0.984837962962963</v>
      </c>
      <c r="H6122" s="118">
        <v>3.4722222222222224E-4</v>
      </c>
      <c r="I6122" s="118">
        <v>9.0277777777777784E-4</v>
      </c>
      <c r="J6122" s="118">
        <v>7.0717592592592594E-3</v>
      </c>
      <c r="K6122" s="118">
        <v>7.0717592592592594E-3</v>
      </c>
    </row>
    <row r="6123" spans="1:11" x14ac:dyDescent="0.25">
      <c r="A6123">
        <v>9</v>
      </c>
      <c r="B6123">
        <v>9</v>
      </c>
      <c r="C6123"/>
      <c r="D6123" t="s">
        <v>31</v>
      </c>
      <c r="E6123" t="s">
        <v>35</v>
      </c>
      <c r="F6123" t="s">
        <v>52</v>
      </c>
      <c r="G6123" s="118">
        <v>0.98484953703703704</v>
      </c>
      <c r="H6123" s="118">
        <v>1.0416666666666667E-3</v>
      </c>
      <c r="I6123" s="118">
        <v>3.4722222222222224E-4</v>
      </c>
      <c r="J6123"/>
      <c r="K6123"/>
    </row>
    <row r="6124" spans="1:11" x14ac:dyDescent="0.25">
      <c r="A6124">
        <v>4</v>
      </c>
      <c r="B6124">
        <v>22</v>
      </c>
      <c r="C6124"/>
      <c r="D6124" t="s">
        <v>31</v>
      </c>
      <c r="E6124" t="s">
        <v>35</v>
      </c>
      <c r="F6124" t="s">
        <v>47</v>
      </c>
      <c r="G6124" s="118">
        <v>0.98509259259259263</v>
      </c>
      <c r="H6124" s="118">
        <v>8.564814814814815E-4</v>
      </c>
      <c r="I6124" s="118">
        <v>5.2083333333333333E-4</v>
      </c>
      <c r="J6124"/>
      <c r="K6124"/>
    </row>
    <row r="6125" spans="1:11" x14ac:dyDescent="0.25">
      <c r="A6125">
        <v>9</v>
      </c>
      <c r="B6125">
        <v>9</v>
      </c>
      <c r="C6125"/>
      <c r="D6125" t="s">
        <v>31</v>
      </c>
      <c r="E6125" t="s">
        <v>32</v>
      </c>
      <c r="F6125" t="s">
        <v>52</v>
      </c>
      <c r="G6125" s="118">
        <v>0.9851967592592592</v>
      </c>
      <c r="H6125" s="118">
        <v>3.4722222222222224E-4</v>
      </c>
      <c r="I6125" s="118">
        <v>1.0532407407407407E-3</v>
      </c>
      <c r="J6125" s="118">
        <v>7.0717592592592594E-3</v>
      </c>
      <c r="K6125" s="118">
        <v>7.0717592592592594E-3</v>
      </c>
    </row>
    <row r="6126" spans="1:11" x14ac:dyDescent="0.25">
      <c r="A6126">
        <v>2</v>
      </c>
      <c r="B6126">
        <v>22</v>
      </c>
      <c r="C6126"/>
      <c r="D6126" t="s">
        <v>31</v>
      </c>
      <c r="E6126" t="s">
        <v>35</v>
      </c>
      <c r="F6126" t="s">
        <v>55</v>
      </c>
      <c r="G6126" s="118">
        <v>0.98540509259259268</v>
      </c>
      <c r="H6126" s="118">
        <v>1.0069444444444444E-3</v>
      </c>
      <c r="I6126" s="118">
        <v>4.6296296296296293E-4</v>
      </c>
      <c r="J6126"/>
      <c r="K6126"/>
    </row>
    <row r="6127" spans="1:11" x14ac:dyDescent="0.25">
      <c r="A6127">
        <v>4</v>
      </c>
      <c r="B6127">
        <v>22</v>
      </c>
      <c r="C6127"/>
      <c r="D6127" t="s">
        <v>31</v>
      </c>
      <c r="E6127" t="s">
        <v>32</v>
      </c>
      <c r="F6127" t="s">
        <v>47</v>
      </c>
      <c r="G6127" s="118">
        <v>0.98561342592592593</v>
      </c>
      <c r="H6127" s="118">
        <v>5.2083333333333333E-4</v>
      </c>
      <c r="I6127" s="118">
        <v>8.7962962962962962E-4</v>
      </c>
      <c r="J6127" s="118">
        <v>7.0717592592592594E-3</v>
      </c>
      <c r="K6127" s="118">
        <v>7.1296296296296307E-3</v>
      </c>
    </row>
    <row r="6128" spans="1:11" x14ac:dyDescent="0.25">
      <c r="A6128">
        <v>1</v>
      </c>
      <c r="B6128">
        <v>21</v>
      </c>
      <c r="C6128"/>
      <c r="D6128" t="s">
        <v>31</v>
      </c>
      <c r="E6128" t="s">
        <v>35</v>
      </c>
      <c r="F6128" t="s">
        <v>36</v>
      </c>
      <c r="G6128" s="118">
        <v>0.98570601851851858</v>
      </c>
      <c r="H6128" s="118">
        <v>9.6064814814814808E-4</v>
      </c>
      <c r="I6128" s="118">
        <v>3.4722222222222224E-4</v>
      </c>
      <c r="J6128"/>
      <c r="K6128"/>
    </row>
    <row r="6129" spans="1:11" x14ac:dyDescent="0.25">
      <c r="A6129">
        <v>5</v>
      </c>
      <c r="B6129">
        <v>22</v>
      </c>
      <c r="C6129"/>
      <c r="D6129" t="s">
        <v>31</v>
      </c>
      <c r="E6129" t="s">
        <v>35</v>
      </c>
      <c r="F6129" t="s">
        <v>42</v>
      </c>
      <c r="G6129" s="118">
        <v>0.9857407407407407</v>
      </c>
      <c r="H6129" s="118">
        <v>9.0277777777777784E-4</v>
      </c>
      <c r="I6129" s="118">
        <v>3.4722222222222224E-4</v>
      </c>
      <c r="J6129"/>
      <c r="K6129"/>
    </row>
    <row r="6130" spans="1:11" x14ac:dyDescent="0.25">
      <c r="A6130">
        <v>2</v>
      </c>
      <c r="B6130">
        <v>22</v>
      </c>
      <c r="C6130"/>
      <c r="D6130" t="s">
        <v>31</v>
      </c>
      <c r="E6130" t="s">
        <v>32</v>
      </c>
      <c r="F6130" t="s">
        <v>55</v>
      </c>
      <c r="G6130" s="118">
        <v>0.98586805555555557</v>
      </c>
      <c r="H6130" s="118">
        <v>4.6296296296296293E-4</v>
      </c>
      <c r="I6130" s="118">
        <v>4.3981481481481481E-4</v>
      </c>
      <c r="J6130" s="118">
        <v>7.0717592592592594E-3</v>
      </c>
      <c r="K6130" s="118">
        <v>7.0717592592592594E-3</v>
      </c>
    </row>
    <row r="6131" spans="1:11" x14ac:dyDescent="0.25">
      <c r="A6131">
        <v>1</v>
      </c>
      <c r="B6131">
        <v>21</v>
      </c>
      <c r="C6131"/>
      <c r="D6131" t="s">
        <v>31</v>
      </c>
      <c r="E6131" t="s">
        <v>32</v>
      </c>
      <c r="F6131" t="s">
        <v>36</v>
      </c>
      <c r="G6131" s="118">
        <v>0.98605324074074074</v>
      </c>
      <c r="H6131" s="118">
        <v>3.4722222222222224E-4</v>
      </c>
      <c r="I6131" s="118">
        <v>1.0995370370370371E-3</v>
      </c>
      <c r="J6131" s="118">
        <v>7.0717592592592594E-3</v>
      </c>
      <c r="K6131" s="118">
        <v>7.0717592592592594E-3</v>
      </c>
    </row>
    <row r="6132" spans="1:11" x14ac:dyDescent="0.25">
      <c r="A6132">
        <v>5</v>
      </c>
      <c r="B6132">
        <v>22</v>
      </c>
      <c r="C6132"/>
      <c r="D6132" t="s">
        <v>31</v>
      </c>
      <c r="E6132" t="s">
        <v>32</v>
      </c>
      <c r="F6132" t="s">
        <v>42</v>
      </c>
      <c r="G6132" s="118">
        <v>0.98608796296296297</v>
      </c>
      <c r="H6132" s="118">
        <v>3.4722222222222224E-4</v>
      </c>
      <c r="I6132" s="118">
        <v>9.1435185185185185E-4</v>
      </c>
      <c r="J6132" s="118">
        <v>7.0717592592592594E-3</v>
      </c>
      <c r="K6132" s="118">
        <v>7.0717592592592594E-3</v>
      </c>
    </row>
    <row r="6133" spans="1:11" x14ac:dyDescent="0.25">
      <c r="A6133">
        <v>9</v>
      </c>
      <c r="B6133">
        <v>9</v>
      </c>
      <c r="C6133"/>
      <c r="D6133" t="s">
        <v>31</v>
      </c>
      <c r="E6133" t="s">
        <v>35</v>
      </c>
      <c r="F6133" t="s">
        <v>57</v>
      </c>
      <c r="G6133" s="118">
        <v>0.98625000000000007</v>
      </c>
      <c r="H6133" s="118">
        <v>1.0532407407407407E-3</v>
      </c>
      <c r="I6133" s="118">
        <v>3.4722222222222224E-4</v>
      </c>
      <c r="J6133"/>
      <c r="K6133"/>
    </row>
    <row r="6134" spans="1:11" x14ac:dyDescent="0.25">
      <c r="A6134">
        <v>2</v>
      </c>
      <c r="B6134">
        <v>22</v>
      </c>
      <c r="C6134"/>
      <c r="D6134" t="s">
        <v>31</v>
      </c>
      <c r="E6134" t="s">
        <v>35</v>
      </c>
      <c r="F6134" t="s">
        <v>58</v>
      </c>
      <c r="G6134" s="118">
        <v>0.98630787037037038</v>
      </c>
      <c r="H6134" s="118">
        <v>4.3981481481481481E-4</v>
      </c>
      <c r="I6134" s="118">
        <v>5.7870370370370366E-5</v>
      </c>
      <c r="J6134"/>
      <c r="K6134"/>
    </row>
    <row r="6135" spans="1:11" x14ac:dyDescent="0.25">
      <c r="A6135">
        <v>2</v>
      </c>
      <c r="B6135">
        <v>22</v>
      </c>
      <c r="C6135"/>
      <c r="D6135" t="s">
        <v>31</v>
      </c>
      <c r="E6135" t="s">
        <v>32</v>
      </c>
      <c r="F6135" t="s">
        <v>58</v>
      </c>
      <c r="G6135" s="118">
        <v>0.98636574074074079</v>
      </c>
      <c r="H6135" s="118">
        <v>5.7870370370370366E-5</v>
      </c>
      <c r="I6135" s="118">
        <v>4.8611111111111104E-4</v>
      </c>
      <c r="J6135" s="118">
        <v>7.0717592592592594E-3</v>
      </c>
      <c r="K6135" s="118">
        <v>7.0717592592592594E-3</v>
      </c>
    </row>
    <row r="6136" spans="1:11" x14ac:dyDescent="0.25">
      <c r="A6136">
        <v>4</v>
      </c>
      <c r="B6136">
        <v>22</v>
      </c>
      <c r="C6136"/>
      <c r="D6136" t="s">
        <v>31</v>
      </c>
      <c r="E6136" t="s">
        <v>35</v>
      </c>
      <c r="F6136" t="s">
        <v>53</v>
      </c>
      <c r="G6136" s="118">
        <v>0.98649305555555555</v>
      </c>
      <c r="H6136" s="118">
        <v>8.7962962962962962E-4</v>
      </c>
      <c r="I6136" s="118">
        <v>3.4722222222222224E-4</v>
      </c>
      <c r="J6136"/>
      <c r="K6136"/>
    </row>
    <row r="6137" spans="1:11" x14ac:dyDescent="0.25">
      <c r="A6137">
        <v>9</v>
      </c>
      <c r="B6137">
        <v>9</v>
      </c>
      <c r="C6137"/>
      <c r="D6137" t="s">
        <v>31</v>
      </c>
      <c r="E6137" t="s">
        <v>32</v>
      </c>
      <c r="F6137" t="s">
        <v>57</v>
      </c>
      <c r="G6137" s="118">
        <v>0.98659722222222224</v>
      </c>
      <c r="H6137" s="118">
        <v>3.4722222222222224E-4</v>
      </c>
      <c r="I6137" s="118">
        <v>9.3750000000000007E-4</v>
      </c>
      <c r="J6137" s="118">
        <v>7.0717592592592594E-3</v>
      </c>
      <c r="K6137" s="118">
        <v>7.0717592592592594E-3</v>
      </c>
    </row>
    <row r="6138" spans="1:11" x14ac:dyDescent="0.25">
      <c r="A6138">
        <v>4</v>
      </c>
      <c r="B6138">
        <v>22</v>
      </c>
      <c r="C6138"/>
      <c r="D6138" t="s">
        <v>31</v>
      </c>
      <c r="E6138" t="s">
        <v>32</v>
      </c>
      <c r="F6138" t="s">
        <v>53</v>
      </c>
      <c r="G6138" s="118">
        <v>0.98684027777777772</v>
      </c>
      <c r="H6138" s="118">
        <v>3.4722222222222224E-4</v>
      </c>
      <c r="I6138" s="118">
        <v>8.449074074074075E-4</v>
      </c>
      <c r="J6138" s="118">
        <v>7.0717592592592594E-3</v>
      </c>
      <c r="K6138" s="118">
        <v>7.1296296296296307E-3</v>
      </c>
    </row>
    <row r="6139" spans="1:11" x14ac:dyDescent="0.25">
      <c r="A6139">
        <v>2</v>
      </c>
      <c r="B6139">
        <v>22</v>
      </c>
      <c r="C6139"/>
      <c r="D6139" t="s">
        <v>31</v>
      </c>
      <c r="E6139" t="s">
        <v>35</v>
      </c>
      <c r="F6139" t="s">
        <v>40</v>
      </c>
      <c r="G6139" s="118">
        <v>0.98685185185185187</v>
      </c>
      <c r="H6139" s="118">
        <v>4.8611111111111104E-4</v>
      </c>
      <c r="I6139" s="118">
        <v>4.6296296296296293E-4</v>
      </c>
      <c r="J6139"/>
      <c r="K6139"/>
    </row>
    <row r="6140" spans="1:11" x14ac:dyDescent="0.25">
      <c r="A6140">
        <v>5</v>
      </c>
      <c r="B6140">
        <v>22</v>
      </c>
      <c r="C6140"/>
      <c r="D6140" t="s">
        <v>31</v>
      </c>
      <c r="E6140" t="s">
        <v>35</v>
      </c>
      <c r="F6140" t="s">
        <v>48</v>
      </c>
      <c r="G6140" s="118">
        <v>0.98700231481481471</v>
      </c>
      <c r="H6140" s="118">
        <v>9.1435185185185185E-4</v>
      </c>
      <c r="I6140" s="118">
        <v>5.2083333333333333E-4</v>
      </c>
      <c r="J6140"/>
      <c r="K6140"/>
    </row>
    <row r="6141" spans="1:11" x14ac:dyDescent="0.25">
      <c r="A6141">
        <v>1</v>
      </c>
      <c r="B6141">
        <v>21</v>
      </c>
      <c r="C6141"/>
      <c r="D6141" t="s">
        <v>31</v>
      </c>
      <c r="E6141" t="s">
        <v>35</v>
      </c>
      <c r="F6141" t="s">
        <v>43</v>
      </c>
      <c r="G6141" s="118">
        <v>0.98715277777777777</v>
      </c>
      <c r="H6141" s="118">
        <v>1.0995370370370371E-3</v>
      </c>
      <c r="I6141" s="118">
        <v>3.4722222222222224E-4</v>
      </c>
      <c r="J6141"/>
      <c r="K6141"/>
    </row>
    <row r="6142" spans="1:11" x14ac:dyDescent="0.25">
      <c r="A6142">
        <v>2</v>
      </c>
      <c r="B6142">
        <v>22</v>
      </c>
      <c r="C6142"/>
      <c r="D6142" t="s">
        <v>31</v>
      </c>
      <c r="E6142" t="s">
        <v>32</v>
      </c>
      <c r="F6142" t="s">
        <v>40</v>
      </c>
      <c r="G6142" s="118">
        <v>0.98731481481481476</v>
      </c>
      <c r="H6142" s="118">
        <v>4.6296296296296293E-4</v>
      </c>
      <c r="I6142" s="118">
        <v>1.0069444444444444E-3</v>
      </c>
      <c r="J6142" s="118">
        <v>7.0717592592592594E-3</v>
      </c>
      <c r="K6142" s="118">
        <v>7.0717592592592594E-3</v>
      </c>
    </row>
    <row r="6143" spans="1:11" x14ac:dyDescent="0.25">
      <c r="A6143">
        <v>1</v>
      </c>
      <c r="B6143">
        <v>21</v>
      </c>
      <c r="C6143"/>
      <c r="D6143" t="s">
        <v>31</v>
      </c>
      <c r="E6143" t="s">
        <v>32</v>
      </c>
      <c r="F6143" t="s">
        <v>43</v>
      </c>
      <c r="G6143" s="118">
        <v>0.98749999999999993</v>
      </c>
      <c r="H6143" s="118">
        <v>3.4722222222222224E-4</v>
      </c>
      <c r="I6143" s="118">
        <v>1.1458333333333333E-3</v>
      </c>
      <c r="J6143" s="118">
        <v>7.0717592592592594E-3</v>
      </c>
      <c r="K6143" s="118">
        <v>7.0717592592592594E-3</v>
      </c>
    </row>
    <row r="6144" spans="1:11" x14ac:dyDescent="0.25">
      <c r="A6144">
        <v>5</v>
      </c>
      <c r="B6144">
        <v>22</v>
      </c>
      <c r="C6144"/>
      <c r="D6144" t="s">
        <v>31</v>
      </c>
      <c r="E6144" t="s">
        <v>32</v>
      </c>
      <c r="F6144" t="s">
        <v>48</v>
      </c>
      <c r="G6144" s="118">
        <v>0.98752314814814823</v>
      </c>
      <c r="H6144" s="118">
        <v>5.2083333333333333E-4</v>
      </c>
      <c r="I6144" s="118">
        <v>8.6805555555555551E-4</v>
      </c>
      <c r="J6144" s="118">
        <v>7.0717592592592594E-3</v>
      </c>
      <c r="K6144" s="118">
        <v>7.0717592592592594E-3</v>
      </c>
    </row>
    <row r="6145" spans="1:11" x14ac:dyDescent="0.25">
      <c r="A6145">
        <v>9</v>
      </c>
      <c r="B6145">
        <v>9</v>
      </c>
      <c r="C6145"/>
      <c r="D6145" t="s">
        <v>31</v>
      </c>
      <c r="E6145" t="s">
        <v>35</v>
      </c>
      <c r="F6145" t="s">
        <v>39</v>
      </c>
      <c r="G6145" s="118">
        <v>0.98753472222222216</v>
      </c>
      <c r="H6145" s="118">
        <v>9.3750000000000007E-4</v>
      </c>
      <c r="I6145" s="118">
        <v>5.2083333333333333E-4</v>
      </c>
      <c r="J6145"/>
      <c r="K6145"/>
    </row>
    <row r="6146" spans="1:11" x14ac:dyDescent="0.25">
      <c r="A6146">
        <v>4</v>
      </c>
      <c r="B6146">
        <v>22</v>
      </c>
      <c r="C6146"/>
      <c r="D6146" t="s">
        <v>31</v>
      </c>
      <c r="E6146" t="s">
        <v>35</v>
      </c>
      <c r="F6146" t="s">
        <v>34</v>
      </c>
      <c r="G6146" s="118">
        <v>0.98768518518518522</v>
      </c>
      <c r="H6146" s="118">
        <v>8.449074074074075E-4</v>
      </c>
      <c r="I6146" s="118">
        <v>3.4722222222222224E-4</v>
      </c>
      <c r="J6146"/>
      <c r="K6146"/>
    </row>
    <row r="6147" spans="1:11" x14ac:dyDescent="0.25">
      <c r="A6147">
        <v>4</v>
      </c>
      <c r="B6147">
        <v>22</v>
      </c>
      <c r="C6147"/>
      <c r="D6147" t="s">
        <v>31</v>
      </c>
      <c r="E6147" t="s">
        <v>32</v>
      </c>
      <c r="F6147" t="s">
        <v>34</v>
      </c>
      <c r="G6147" s="118">
        <v>0.98803240740740739</v>
      </c>
      <c r="H6147" s="118">
        <v>3.4722222222222224E-4</v>
      </c>
      <c r="I6147" s="118">
        <v>9.1435185185185185E-4</v>
      </c>
      <c r="J6147" s="118">
        <v>7.0717592592592594E-3</v>
      </c>
      <c r="K6147" s="118">
        <v>7.1296296296296307E-3</v>
      </c>
    </row>
    <row r="6148" spans="1:11" x14ac:dyDescent="0.25">
      <c r="A6148">
        <v>9</v>
      </c>
      <c r="B6148">
        <v>9</v>
      </c>
      <c r="C6148"/>
      <c r="D6148" t="s">
        <v>31</v>
      </c>
      <c r="E6148" t="s">
        <v>32</v>
      </c>
      <c r="F6148" t="s">
        <v>39</v>
      </c>
      <c r="G6148" s="118">
        <v>0.98805555555555558</v>
      </c>
      <c r="H6148" s="118">
        <v>5.2083333333333333E-4</v>
      </c>
      <c r="I6148" s="118">
        <v>1.8055555555555557E-3</v>
      </c>
      <c r="J6148" s="118">
        <v>7.0717592592592594E-3</v>
      </c>
      <c r="K6148" s="118">
        <v>7.0717592592592594E-3</v>
      </c>
    </row>
    <row r="6149" spans="1:11" x14ac:dyDescent="0.25">
      <c r="A6149">
        <v>2</v>
      </c>
      <c r="B6149">
        <v>22</v>
      </c>
      <c r="C6149"/>
      <c r="D6149" t="s">
        <v>31</v>
      </c>
      <c r="E6149" t="s">
        <v>35</v>
      </c>
      <c r="F6149" t="s">
        <v>44</v>
      </c>
      <c r="G6149" s="118">
        <v>0.98832175925925936</v>
      </c>
      <c r="H6149" s="118">
        <v>1.0069444444444444E-3</v>
      </c>
      <c r="I6149" s="118">
        <v>3.4722222222222224E-4</v>
      </c>
      <c r="J6149"/>
      <c r="K6149"/>
    </row>
    <row r="6150" spans="1:11" x14ac:dyDescent="0.25">
      <c r="A6150">
        <v>5</v>
      </c>
      <c r="B6150">
        <v>22</v>
      </c>
      <c r="C6150"/>
      <c r="D6150" t="s">
        <v>31</v>
      </c>
      <c r="E6150" t="s">
        <v>35</v>
      </c>
      <c r="F6150" t="s">
        <v>54</v>
      </c>
      <c r="G6150" s="118">
        <v>0.9883912037037037</v>
      </c>
      <c r="H6150" s="118">
        <v>8.6805555555555551E-4</v>
      </c>
      <c r="I6150" s="118">
        <v>3.4722222222222224E-4</v>
      </c>
      <c r="J6150"/>
      <c r="K6150"/>
    </row>
    <row r="6151" spans="1:11" x14ac:dyDescent="0.25">
      <c r="A6151">
        <v>1</v>
      </c>
      <c r="B6151">
        <v>21</v>
      </c>
      <c r="C6151"/>
      <c r="D6151" t="s">
        <v>31</v>
      </c>
      <c r="E6151" t="s">
        <v>35</v>
      </c>
      <c r="F6151" t="s">
        <v>50</v>
      </c>
      <c r="G6151" s="118">
        <v>0.98864583333333333</v>
      </c>
      <c r="H6151" s="118">
        <v>1.1458333333333333E-3</v>
      </c>
      <c r="I6151" s="118">
        <v>3.4722222222222224E-4</v>
      </c>
      <c r="J6151"/>
      <c r="K6151"/>
    </row>
    <row r="6152" spans="1:11" x14ac:dyDescent="0.25">
      <c r="A6152">
        <v>2</v>
      </c>
      <c r="B6152">
        <v>22</v>
      </c>
      <c r="C6152"/>
      <c r="D6152" t="s">
        <v>31</v>
      </c>
      <c r="E6152" t="s">
        <v>32</v>
      </c>
      <c r="F6152" t="s">
        <v>44</v>
      </c>
      <c r="G6152" s="118">
        <v>0.98866898148148152</v>
      </c>
      <c r="H6152" s="118">
        <v>3.4722222222222224E-4</v>
      </c>
      <c r="I6152" s="118">
        <v>9.2592592592592585E-4</v>
      </c>
      <c r="J6152" s="118">
        <v>7.0717592592592594E-3</v>
      </c>
      <c r="K6152" s="118">
        <v>7.0717592592592594E-3</v>
      </c>
    </row>
    <row r="6153" spans="1:11" x14ac:dyDescent="0.25">
      <c r="A6153">
        <v>5</v>
      </c>
      <c r="B6153">
        <v>22</v>
      </c>
      <c r="C6153"/>
      <c r="D6153" t="s">
        <v>31</v>
      </c>
      <c r="E6153" t="s">
        <v>32</v>
      </c>
      <c r="F6153" t="s">
        <v>54</v>
      </c>
      <c r="G6153" s="118">
        <v>0.98873842592592587</v>
      </c>
      <c r="H6153" s="118">
        <v>3.4722222222222224E-4</v>
      </c>
      <c r="I6153" s="118">
        <v>6.9444444444444447E-4</v>
      </c>
      <c r="J6153" s="118">
        <v>7.0717592592592594E-3</v>
      </c>
      <c r="K6153" s="118">
        <v>7.0717592592592594E-3</v>
      </c>
    </row>
    <row r="6154" spans="1:11" x14ac:dyDescent="0.25">
      <c r="A6154">
        <v>4</v>
      </c>
      <c r="B6154">
        <v>22</v>
      </c>
      <c r="C6154"/>
      <c r="D6154" t="s">
        <v>31</v>
      </c>
      <c r="E6154" t="s">
        <v>35</v>
      </c>
      <c r="F6154" t="s">
        <v>38</v>
      </c>
      <c r="G6154" s="118">
        <v>0.98894675925925923</v>
      </c>
      <c r="H6154" s="118">
        <v>9.1435185185185185E-4</v>
      </c>
      <c r="I6154" s="118">
        <v>3.4722222222222224E-4</v>
      </c>
      <c r="J6154"/>
      <c r="K6154"/>
    </row>
    <row r="6155" spans="1:11" x14ac:dyDescent="0.25">
      <c r="A6155">
        <v>1</v>
      </c>
      <c r="B6155">
        <v>21</v>
      </c>
      <c r="C6155"/>
      <c r="D6155" t="s">
        <v>31</v>
      </c>
      <c r="E6155" t="s">
        <v>32</v>
      </c>
      <c r="F6155" t="s">
        <v>50</v>
      </c>
      <c r="G6155" s="118">
        <v>0.9889930555555555</v>
      </c>
      <c r="H6155" s="118">
        <v>3.4722222222222224E-4</v>
      </c>
      <c r="I6155" s="118">
        <v>1.261574074074074E-3</v>
      </c>
      <c r="J6155" s="118">
        <v>7.0717592592592594E-3</v>
      </c>
      <c r="K6155" s="118">
        <v>7.0717592592592594E-3</v>
      </c>
    </row>
    <row r="6156" spans="1:11" x14ac:dyDescent="0.25">
      <c r="A6156">
        <v>4</v>
      </c>
      <c r="B6156">
        <v>22</v>
      </c>
      <c r="C6156"/>
      <c r="D6156" t="s">
        <v>31</v>
      </c>
      <c r="E6156" t="s">
        <v>32</v>
      </c>
      <c r="F6156" t="s">
        <v>38</v>
      </c>
      <c r="G6156" s="118">
        <v>0.98929398148148151</v>
      </c>
      <c r="H6156" s="118">
        <v>3.4722222222222224E-4</v>
      </c>
      <c r="I6156" s="118">
        <v>1.2384259259259258E-3</v>
      </c>
      <c r="J6156" s="118">
        <v>7.0717592592592594E-3</v>
      </c>
      <c r="K6156" s="118">
        <v>7.1296296296296307E-3</v>
      </c>
    </row>
    <row r="6157" spans="1:11" x14ac:dyDescent="0.25">
      <c r="A6157">
        <v>5</v>
      </c>
      <c r="B6157">
        <v>22</v>
      </c>
      <c r="C6157"/>
      <c r="D6157" t="s">
        <v>31</v>
      </c>
      <c r="E6157" t="s">
        <v>35</v>
      </c>
      <c r="F6157" t="s">
        <v>92</v>
      </c>
      <c r="G6157" s="118">
        <v>0.98943287037037031</v>
      </c>
      <c r="H6157" s="118">
        <v>6.9444444444444447E-4</v>
      </c>
      <c r="I6157" s="118">
        <v>5.7870370370370378E-4</v>
      </c>
      <c r="J6157"/>
      <c r="K6157"/>
    </row>
    <row r="6158" spans="1:11" x14ac:dyDescent="0.25">
      <c r="A6158">
        <v>2</v>
      </c>
      <c r="B6158">
        <v>22</v>
      </c>
      <c r="C6158"/>
      <c r="D6158" t="s">
        <v>31</v>
      </c>
      <c r="E6158" t="s">
        <v>35</v>
      </c>
      <c r="F6158" t="s">
        <v>49</v>
      </c>
      <c r="G6158" s="118">
        <v>0.98959490740740741</v>
      </c>
      <c r="H6158" s="118">
        <v>9.2592592592592585E-4</v>
      </c>
      <c r="I6158" s="118">
        <v>3.4722222222222224E-4</v>
      </c>
      <c r="J6158"/>
      <c r="K6158"/>
    </row>
    <row r="6159" spans="1:11" x14ac:dyDescent="0.25">
      <c r="A6159">
        <v>9</v>
      </c>
      <c r="B6159">
        <v>9</v>
      </c>
      <c r="C6159"/>
      <c r="D6159" t="s">
        <v>31</v>
      </c>
      <c r="E6159" t="s">
        <v>35</v>
      </c>
      <c r="F6159" t="s">
        <v>46</v>
      </c>
      <c r="G6159" s="118">
        <v>0.98986111111111119</v>
      </c>
      <c r="H6159" s="118">
        <v>1.8055555555555557E-3</v>
      </c>
      <c r="I6159" s="118">
        <v>3.4722222222222224E-4</v>
      </c>
      <c r="J6159"/>
      <c r="K6159"/>
    </row>
    <row r="6160" spans="1:11" x14ac:dyDescent="0.25">
      <c r="A6160">
        <v>2</v>
      </c>
      <c r="B6160">
        <v>22</v>
      </c>
      <c r="C6160"/>
      <c r="D6160" t="s">
        <v>31</v>
      </c>
      <c r="E6160" t="s">
        <v>32</v>
      </c>
      <c r="F6160" t="s">
        <v>49</v>
      </c>
      <c r="G6160" s="118">
        <v>0.98994212962962969</v>
      </c>
      <c r="H6160" s="118">
        <v>3.4722222222222224E-4</v>
      </c>
      <c r="I6160" s="118">
        <v>1.3541666666666667E-3</v>
      </c>
      <c r="J6160" s="118">
        <v>7.0717592592592594E-3</v>
      </c>
      <c r="K6160" s="118">
        <v>7.0717592592592594E-3</v>
      </c>
    </row>
    <row r="6161" spans="1:11" x14ac:dyDescent="0.25">
      <c r="A6161">
        <v>5</v>
      </c>
      <c r="B6161">
        <v>23</v>
      </c>
      <c r="C6161"/>
      <c r="D6161" t="s">
        <v>31</v>
      </c>
      <c r="E6161" t="s">
        <v>32</v>
      </c>
      <c r="F6161" t="s">
        <v>92</v>
      </c>
      <c r="G6161" s="118">
        <v>0.99001157407407403</v>
      </c>
      <c r="H6161" s="118">
        <v>5.7870370370370378E-4</v>
      </c>
      <c r="I6161" s="118">
        <v>1.0069444444444444E-3</v>
      </c>
      <c r="J6161" s="118">
        <v>7.1296296296296307E-3</v>
      </c>
      <c r="K6161" s="118">
        <v>0.01</v>
      </c>
    </row>
    <row r="6162" spans="1:11" x14ac:dyDescent="0.25">
      <c r="A6162">
        <v>9</v>
      </c>
      <c r="B6162">
        <v>9</v>
      </c>
      <c r="C6162"/>
      <c r="D6162" t="s">
        <v>31</v>
      </c>
      <c r="E6162" t="s">
        <v>32</v>
      </c>
      <c r="F6162" t="s">
        <v>46</v>
      </c>
      <c r="G6162" s="118">
        <v>0.99020833333333336</v>
      </c>
      <c r="H6162" s="118">
        <v>3.4722222222222224E-4</v>
      </c>
      <c r="I6162" s="118">
        <v>9.1435185185185185E-4</v>
      </c>
      <c r="J6162" s="118">
        <v>7.0717592592592594E-3</v>
      </c>
      <c r="K6162" s="118">
        <v>7.0717592592592594E-3</v>
      </c>
    </row>
    <row r="6163" spans="1:11" x14ac:dyDescent="0.25">
      <c r="A6163">
        <v>1</v>
      </c>
      <c r="B6163">
        <v>21</v>
      </c>
      <c r="C6163"/>
      <c r="D6163" t="s">
        <v>31</v>
      </c>
      <c r="E6163" t="s">
        <v>35</v>
      </c>
      <c r="F6163" t="s">
        <v>56</v>
      </c>
      <c r="G6163" s="118">
        <v>0.99025462962962962</v>
      </c>
      <c r="H6163" s="118">
        <v>1.261574074074074E-3</v>
      </c>
      <c r="I6163" s="118">
        <v>3.4722222222222224E-4</v>
      </c>
      <c r="J6163"/>
      <c r="K6163"/>
    </row>
    <row r="6164" spans="1:11" x14ac:dyDescent="0.25">
      <c r="A6164">
        <v>4</v>
      </c>
      <c r="B6164">
        <v>22</v>
      </c>
      <c r="C6164"/>
      <c r="D6164" t="s">
        <v>31</v>
      </c>
      <c r="E6164" t="s">
        <v>35</v>
      </c>
      <c r="F6164" t="s">
        <v>45</v>
      </c>
      <c r="G6164" s="118">
        <v>0.99053240740740733</v>
      </c>
      <c r="H6164" s="118">
        <v>1.2384259259259258E-3</v>
      </c>
      <c r="I6164" s="118">
        <v>3.4722222222222224E-4</v>
      </c>
      <c r="J6164"/>
      <c r="K6164"/>
    </row>
    <row r="6165" spans="1:11" x14ac:dyDescent="0.25">
      <c r="A6165">
        <v>1</v>
      </c>
      <c r="B6165">
        <v>21</v>
      </c>
      <c r="C6165"/>
      <c r="D6165" t="s">
        <v>31</v>
      </c>
      <c r="E6165" t="s">
        <v>32</v>
      </c>
      <c r="F6165" t="s">
        <v>56</v>
      </c>
      <c r="G6165" s="118">
        <v>0.9906018518518519</v>
      </c>
      <c r="H6165" s="118">
        <v>3.4722222222222224E-4</v>
      </c>
      <c r="I6165" s="118">
        <v>9.6064814814814808E-4</v>
      </c>
      <c r="J6165" s="118">
        <v>7.0717592592592594E-3</v>
      </c>
      <c r="K6165" s="118">
        <v>7.0717592592592594E-3</v>
      </c>
    </row>
    <row r="6166" spans="1:11" x14ac:dyDescent="0.25">
      <c r="A6166">
        <v>4</v>
      </c>
      <c r="B6166">
        <v>22</v>
      </c>
      <c r="C6166"/>
      <c r="D6166" t="s">
        <v>31</v>
      </c>
      <c r="E6166" t="s">
        <v>32</v>
      </c>
      <c r="F6166" t="s">
        <v>45</v>
      </c>
      <c r="G6166" s="118">
        <v>0.99087962962962972</v>
      </c>
      <c r="H6166" s="118">
        <v>3.4722222222222224E-4</v>
      </c>
      <c r="I6166" s="118">
        <v>1.0416666666666667E-3</v>
      </c>
      <c r="J6166" s="118">
        <v>7.0717592592592594E-3</v>
      </c>
      <c r="K6166" s="118">
        <v>7.1296296296296307E-3</v>
      </c>
    </row>
    <row r="6167" spans="1:11" x14ac:dyDescent="0.25">
      <c r="A6167">
        <v>5</v>
      </c>
      <c r="B6167">
        <v>23</v>
      </c>
      <c r="C6167"/>
      <c r="D6167" t="s">
        <v>31</v>
      </c>
      <c r="E6167" t="s">
        <v>35</v>
      </c>
      <c r="F6167" t="s">
        <v>41</v>
      </c>
      <c r="G6167" s="118">
        <v>0.99101851851851863</v>
      </c>
      <c r="H6167" s="118">
        <v>1.0069444444444444E-3</v>
      </c>
      <c r="I6167" s="118">
        <v>3.4722222222222224E-4</v>
      </c>
      <c r="J6167"/>
      <c r="K6167"/>
    </row>
    <row r="6168" spans="1:11" x14ac:dyDescent="0.25">
      <c r="A6168">
        <v>9</v>
      </c>
      <c r="B6168">
        <v>9</v>
      </c>
      <c r="C6168"/>
      <c r="D6168" t="s">
        <v>31</v>
      </c>
      <c r="E6168" t="s">
        <v>35</v>
      </c>
      <c r="F6168" t="s">
        <v>51</v>
      </c>
      <c r="G6168" s="118">
        <v>0.9911226851851852</v>
      </c>
      <c r="H6168" s="118">
        <v>9.1435185185185185E-4</v>
      </c>
      <c r="I6168" s="118">
        <v>3.4722222222222224E-4</v>
      </c>
      <c r="J6168"/>
      <c r="K6168"/>
    </row>
    <row r="6169" spans="1:11" x14ac:dyDescent="0.25">
      <c r="A6169">
        <v>2</v>
      </c>
      <c r="B6169">
        <v>22</v>
      </c>
      <c r="C6169"/>
      <c r="D6169" t="s">
        <v>31</v>
      </c>
      <c r="E6169" t="s">
        <v>35</v>
      </c>
      <c r="F6169" t="s">
        <v>33</v>
      </c>
      <c r="G6169" s="118">
        <v>0.99129629629629623</v>
      </c>
      <c r="H6169" s="118">
        <v>1.3541666666666667E-3</v>
      </c>
      <c r="I6169" s="118">
        <v>5.2083333333333333E-4</v>
      </c>
      <c r="J6169"/>
      <c r="K6169"/>
    </row>
    <row r="6170" spans="1:11" x14ac:dyDescent="0.25">
      <c r="A6170">
        <v>5</v>
      </c>
      <c r="B6170">
        <v>23</v>
      </c>
      <c r="C6170"/>
      <c r="D6170" t="s">
        <v>31</v>
      </c>
      <c r="E6170" t="s">
        <v>32</v>
      </c>
      <c r="F6170" t="s">
        <v>41</v>
      </c>
      <c r="G6170" s="118">
        <v>0.9913657407407408</v>
      </c>
      <c r="H6170" s="118">
        <v>3.4722222222222224E-4</v>
      </c>
      <c r="I6170" s="118">
        <v>8.564814814814815E-4</v>
      </c>
      <c r="J6170" s="118">
        <v>7.1296296296296307E-3</v>
      </c>
      <c r="K6170" s="118">
        <v>0.01</v>
      </c>
    </row>
    <row r="6171" spans="1:11" x14ac:dyDescent="0.25">
      <c r="A6171">
        <v>9</v>
      </c>
      <c r="B6171">
        <v>9</v>
      </c>
      <c r="C6171"/>
      <c r="D6171" t="s">
        <v>31</v>
      </c>
      <c r="E6171" t="s">
        <v>32</v>
      </c>
      <c r="F6171" t="s">
        <v>51</v>
      </c>
      <c r="G6171" s="118">
        <v>0.99146990740740737</v>
      </c>
      <c r="H6171" s="118">
        <v>3.4722222222222224E-4</v>
      </c>
      <c r="I6171" s="118">
        <v>1.0069444444444444E-3</v>
      </c>
      <c r="J6171" s="118">
        <v>7.0717592592592594E-3</v>
      </c>
      <c r="K6171" s="118">
        <v>7.0717592592592594E-3</v>
      </c>
    </row>
    <row r="6172" spans="1:11" x14ac:dyDescent="0.25">
      <c r="A6172">
        <v>1</v>
      </c>
      <c r="B6172">
        <v>21</v>
      </c>
      <c r="C6172"/>
      <c r="D6172" t="s">
        <v>31</v>
      </c>
      <c r="E6172" t="s">
        <v>35</v>
      </c>
      <c r="F6172" t="s">
        <v>37</v>
      </c>
      <c r="G6172" s="118">
        <v>0.99156250000000001</v>
      </c>
      <c r="H6172" s="118">
        <v>9.6064814814814808E-4</v>
      </c>
      <c r="I6172" s="118">
        <v>3.4722222222222224E-4</v>
      </c>
      <c r="J6172"/>
      <c r="K6172"/>
    </row>
    <row r="6173" spans="1:11" x14ac:dyDescent="0.25">
      <c r="A6173">
        <v>2</v>
      </c>
      <c r="B6173">
        <v>22</v>
      </c>
      <c r="C6173"/>
      <c r="D6173" t="s">
        <v>31</v>
      </c>
      <c r="E6173" t="s">
        <v>32</v>
      </c>
      <c r="F6173" t="s">
        <v>33</v>
      </c>
      <c r="G6173" s="118">
        <v>0.99181712962962953</v>
      </c>
      <c r="H6173" s="118">
        <v>5.2083333333333333E-4</v>
      </c>
      <c r="I6173" s="118">
        <v>9.6064814814814808E-4</v>
      </c>
      <c r="J6173" s="118">
        <v>7.0717592592592594E-3</v>
      </c>
      <c r="K6173" s="118">
        <v>7.0717592592592594E-3</v>
      </c>
    </row>
    <row r="6174" spans="1:11" x14ac:dyDescent="0.25">
      <c r="A6174">
        <v>1</v>
      </c>
      <c r="B6174">
        <v>21</v>
      </c>
      <c r="C6174"/>
      <c r="D6174" t="s">
        <v>31</v>
      </c>
      <c r="E6174" t="s">
        <v>32</v>
      </c>
      <c r="F6174" t="s">
        <v>37</v>
      </c>
      <c r="G6174" s="118">
        <v>0.99190972222222218</v>
      </c>
      <c r="H6174" s="118">
        <v>3.4722222222222224E-4</v>
      </c>
      <c r="I6174" s="118">
        <v>9.0277777777777784E-4</v>
      </c>
      <c r="J6174" s="118">
        <v>7.0717592592592594E-3</v>
      </c>
      <c r="K6174" s="118">
        <v>7.0717592592592594E-3</v>
      </c>
    </row>
    <row r="6175" spans="1:11" x14ac:dyDescent="0.25">
      <c r="A6175">
        <v>4</v>
      </c>
      <c r="B6175">
        <v>22</v>
      </c>
      <c r="C6175"/>
      <c r="D6175" t="s">
        <v>31</v>
      </c>
      <c r="E6175" t="s">
        <v>35</v>
      </c>
      <c r="F6175" t="s">
        <v>52</v>
      </c>
      <c r="G6175" s="118">
        <v>0.99192129629629633</v>
      </c>
      <c r="H6175" s="118">
        <v>1.0416666666666667E-3</v>
      </c>
      <c r="I6175" s="118">
        <v>3.4722222222222224E-4</v>
      </c>
      <c r="J6175"/>
      <c r="K6175"/>
    </row>
    <row r="6176" spans="1:11" x14ac:dyDescent="0.25">
      <c r="A6176">
        <v>5</v>
      </c>
      <c r="B6176">
        <v>23</v>
      </c>
      <c r="C6176"/>
      <c r="D6176" t="s">
        <v>31</v>
      </c>
      <c r="E6176" t="s">
        <v>35</v>
      </c>
      <c r="F6176" t="s">
        <v>47</v>
      </c>
      <c r="G6176" s="118">
        <v>0.99222222222222223</v>
      </c>
      <c r="H6176" s="118">
        <v>8.564814814814815E-4</v>
      </c>
      <c r="I6176" s="118">
        <v>5.2083333333333333E-4</v>
      </c>
      <c r="J6176"/>
      <c r="K6176"/>
    </row>
    <row r="6177" spans="1:11" x14ac:dyDescent="0.25">
      <c r="A6177">
        <v>4</v>
      </c>
      <c r="B6177">
        <v>22</v>
      </c>
      <c r="C6177"/>
      <c r="D6177" t="s">
        <v>31</v>
      </c>
      <c r="E6177" t="s">
        <v>32</v>
      </c>
      <c r="F6177" t="s">
        <v>52</v>
      </c>
      <c r="G6177" s="118">
        <v>0.99226851851851849</v>
      </c>
      <c r="H6177" s="118">
        <v>3.4722222222222224E-4</v>
      </c>
      <c r="I6177" s="118">
        <v>1.0532407407407407E-3</v>
      </c>
      <c r="J6177" s="118">
        <v>7.0717592592592594E-3</v>
      </c>
      <c r="K6177" s="118">
        <v>7.1296296296296307E-3</v>
      </c>
    </row>
    <row r="6178" spans="1:11" x14ac:dyDescent="0.25">
      <c r="A6178">
        <v>9</v>
      </c>
      <c r="B6178">
        <v>9</v>
      </c>
      <c r="C6178"/>
      <c r="D6178" t="s">
        <v>31</v>
      </c>
      <c r="E6178" t="s">
        <v>35</v>
      </c>
      <c r="F6178" t="s">
        <v>55</v>
      </c>
      <c r="G6178" s="118">
        <v>0.99247685185185175</v>
      </c>
      <c r="H6178" s="118">
        <v>1.0069444444444444E-3</v>
      </c>
      <c r="I6178" s="118">
        <v>4.6296296296296293E-4</v>
      </c>
      <c r="J6178"/>
      <c r="K6178"/>
    </row>
    <row r="6179" spans="1:11" x14ac:dyDescent="0.25">
      <c r="A6179">
        <v>5</v>
      </c>
      <c r="B6179">
        <v>23</v>
      </c>
      <c r="C6179"/>
      <c r="D6179" t="s">
        <v>31</v>
      </c>
      <c r="E6179" t="s">
        <v>32</v>
      </c>
      <c r="F6179" t="s">
        <v>47</v>
      </c>
      <c r="G6179" s="118">
        <v>0.99274305555555553</v>
      </c>
      <c r="H6179" s="118">
        <v>5.2083333333333333E-4</v>
      </c>
      <c r="I6179" s="118">
        <v>8.7962962962962962E-4</v>
      </c>
      <c r="J6179" s="118">
        <v>7.1296296296296307E-3</v>
      </c>
      <c r="K6179" s="118">
        <v>0.01</v>
      </c>
    </row>
    <row r="6180" spans="1:11" x14ac:dyDescent="0.25">
      <c r="A6180">
        <v>2</v>
      </c>
      <c r="B6180">
        <v>22</v>
      </c>
      <c r="C6180"/>
      <c r="D6180" t="s">
        <v>31</v>
      </c>
      <c r="E6180" t="s">
        <v>35</v>
      </c>
      <c r="F6180" t="s">
        <v>36</v>
      </c>
      <c r="G6180" s="118">
        <v>0.99277777777777787</v>
      </c>
      <c r="H6180" s="118">
        <v>9.6064814814814808E-4</v>
      </c>
      <c r="I6180" s="118">
        <v>3.4722222222222224E-4</v>
      </c>
      <c r="J6180"/>
      <c r="K6180"/>
    </row>
    <row r="6181" spans="1:11" x14ac:dyDescent="0.25">
      <c r="A6181">
        <v>1</v>
      </c>
      <c r="B6181">
        <v>21</v>
      </c>
      <c r="C6181"/>
      <c r="D6181" t="s">
        <v>31</v>
      </c>
      <c r="E6181" t="s">
        <v>35</v>
      </c>
      <c r="F6181" t="s">
        <v>42</v>
      </c>
      <c r="G6181" s="118">
        <v>0.99281249999999999</v>
      </c>
      <c r="H6181" s="118">
        <v>9.0277777777777784E-4</v>
      </c>
      <c r="I6181" s="118">
        <v>3.4722222222222224E-4</v>
      </c>
      <c r="J6181"/>
      <c r="K6181"/>
    </row>
    <row r="6182" spans="1:11" x14ac:dyDescent="0.25">
      <c r="A6182">
        <v>9</v>
      </c>
      <c r="B6182">
        <v>9</v>
      </c>
      <c r="C6182"/>
      <c r="D6182" t="s">
        <v>31</v>
      </c>
      <c r="E6182" t="s">
        <v>32</v>
      </c>
      <c r="F6182" t="s">
        <v>55</v>
      </c>
      <c r="G6182" s="118">
        <v>0.99293981481481486</v>
      </c>
      <c r="H6182" s="118">
        <v>4.6296296296296293E-4</v>
      </c>
      <c r="I6182" s="118">
        <v>4.3981481481481481E-4</v>
      </c>
      <c r="J6182" s="118">
        <v>7.0717592592592594E-3</v>
      </c>
      <c r="K6182" s="118">
        <v>7.0717592592592594E-3</v>
      </c>
    </row>
    <row r="6183" spans="1:11" x14ac:dyDescent="0.25">
      <c r="A6183">
        <v>2</v>
      </c>
      <c r="B6183">
        <v>22</v>
      </c>
      <c r="C6183"/>
      <c r="D6183" t="s">
        <v>31</v>
      </c>
      <c r="E6183" t="s">
        <v>32</v>
      </c>
      <c r="F6183" t="s">
        <v>36</v>
      </c>
      <c r="G6183" s="118">
        <v>0.99312500000000004</v>
      </c>
      <c r="H6183" s="118">
        <v>3.4722222222222224E-4</v>
      </c>
      <c r="I6183" s="118">
        <v>1.0995370370370371E-3</v>
      </c>
      <c r="J6183" s="118">
        <v>7.0717592592592594E-3</v>
      </c>
      <c r="K6183" s="118">
        <v>7.0717592592592594E-3</v>
      </c>
    </row>
    <row r="6184" spans="1:11" x14ac:dyDescent="0.25">
      <c r="A6184">
        <v>1</v>
      </c>
      <c r="B6184">
        <v>21</v>
      </c>
      <c r="C6184"/>
      <c r="D6184" t="s">
        <v>31</v>
      </c>
      <c r="E6184" t="s">
        <v>32</v>
      </c>
      <c r="F6184" t="s">
        <v>42</v>
      </c>
      <c r="G6184" s="118">
        <v>0.99315972222222226</v>
      </c>
      <c r="H6184" s="118">
        <v>3.4722222222222224E-4</v>
      </c>
      <c r="I6184" s="118">
        <v>9.1435185185185185E-4</v>
      </c>
      <c r="J6184" s="118">
        <v>7.0717592592592594E-3</v>
      </c>
      <c r="K6184" s="118">
        <v>7.0717592592592594E-3</v>
      </c>
    </row>
    <row r="6185" spans="1:11" x14ac:dyDescent="0.25">
      <c r="A6185">
        <v>4</v>
      </c>
      <c r="B6185">
        <v>22</v>
      </c>
      <c r="C6185"/>
      <c r="D6185" t="s">
        <v>31</v>
      </c>
      <c r="E6185" t="s">
        <v>35</v>
      </c>
      <c r="F6185" t="s">
        <v>57</v>
      </c>
      <c r="G6185" s="118">
        <v>0.99332175925925925</v>
      </c>
      <c r="H6185" s="118">
        <v>1.0532407407407407E-3</v>
      </c>
      <c r="I6185" s="118">
        <v>3.4722222222222224E-4</v>
      </c>
      <c r="J6185"/>
      <c r="K6185"/>
    </row>
    <row r="6186" spans="1:11" x14ac:dyDescent="0.25">
      <c r="A6186">
        <v>9</v>
      </c>
      <c r="B6186">
        <v>9</v>
      </c>
      <c r="C6186"/>
      <c r="D6186" t="s">
        <v>31</v>
      </c>
      <c r="E6186" t="s">
        <v>35</v>
      </c>
      <c r="F6186" t="s">
        <v>58</v>
      </c>
      <c r="G6186" s="118">
        <v>0.99337962962962967</v>
      </c>
      <c r="H6186" s="118">
        <v>4.3981481481481481E-4</v>
      </c>
      <c r="I6186" s="118">
        <v>5.7870370370370366E-5</v>
      </c>
      <c r="J6186"/>
      <c r="K6186"/>
    </row>
    <row r="6187" spans="1:11" x14ac:dyDescent="0.25">
      <c r="A6187">
        <v>9</v>
      </c>
      <c r="B6187">
        <v>9</v>
      </c>
      <c r="C6187"/>
      <c r="D6187" t="s">
        <v>31</v>
      </c>
      <c r="E6187" t="s">
        <v>32</v>
      </c>
      <c r="F6187" t="s">
        <v>58</v>
      </c>
      <c r="G6187" s="118">
        <v>0.99343750000000008</v>
      </c>
      <c r="H6187" s="118">
        <v>5.7870370370370366E-5</v>
      </c>
      <c r="I6187" s="118">
        <v>4.8611111111111104E-4</v>
      </c>
      <c r="J6187" s="118">
        <v>7.0717592592592594E-3</v>
      </c>
      <c r="K6187" s="118">
        <v>7.0717592592592594E-3</v>
      </c>
    </row>
    <row r="6188" spans="1:11" x14ac:dyDescent="0.25">
      <c r="A6188">
        <v>5</v>
      </c>
      <c r="B6188">
        <v>23</v>
      </c>
      <c r="C6188"/>
      <c r="D6188" t="s">
        <v>31</v>
      </c>
      <c r="E6188" t="s">
        <v>35</v>
      </c>
      <c r="F6188" t="s">
        <v>53</v>
      </c>
      <c r="G6188" s="118">
        <v>0.99362268518518526</v>
      </c>
      <c r="H6188" s="118">
        <v>8.7962962962962962E-4</v>
      </c>
      <c r="I6188" s="118">
        <v>3.4722222222222224E-4</v>
      </c>
      <c r="J6188"/>
      <c r="K6188"/>
    </row>
    <row r="6189" spans="1:11" x14ac:dyDescent="0.25">
      <c r="A6189">
        <v>4</v>
      </c>
      <c r="B6189">
        <v>22</v>
      </c>
      <c r="C6189"/>
      <c r="D6189" t="s">
        <v>31</v>
      </c>
      <c r="E6189" t="s">
        <v>32</v>
      </c>
      <c r="F6189" t="s">
        <v>57</v>
      </c>
      <c r="G6189" s="118">
        <v>0.99366898148148142</v>
      </c>
      <c r="H6189" s="118">
        <v>3.4722222222222224E-4</v>
      </c>
      <c r="I6189" s="118">
        <v>9.3750000000000007E-4</v>
      </c>
      <c r="J6189" s="118">
        <v>7.0717592592592594E-3</v>
      </c>
      <c r="K6189" s="118">
        <v>7.1296296296296307E-3</v>
      </c>
    </row>
    <row r="6190" spans="1:11" x14ac:dyDescent="0.25">
      <c r="A6190">
        <v>9</v>
      </c>
      <c r="B6190">
        <v>9</v>
      </c>
      <c r="C6190"/>
      <c r="D6190" t="s">
        <v>31</v>
      </c>
      <c r="E6190" t="s">
        <v>35</v>
      </c>
      <c r="F6190" t="s">
        <v>40</v>
      </c>
      <c r="G6190" s="118">
        <v>0.99392361111111116</v>
      </c>
      <c r="H6190" s="118">
        <v>4.8611111111111104E-4</v>
      </c>
      <c r="I6190" s="118">
        <v>4.6296296296296293E-4</v>
      </c>
      <c r="J6190"/>
      <c r="K6190"/>
    </row>
    <row r="6191" spans="1:11" x14ac:dyDescent="0.25">
      <c r="A6191">
        <v>5</v>
      </c>
      <c r="B6191">
        <v>23</v>
      </c>
      <c r="C6191"/>
      <c r="D6191" t="s">
        <v>31</v>
      </c>
      <c r="E6191" t="s">
        <v>32</v>
      </c>
      <c r="F6191" t="s">
        <v>53</v>
      </c>
      <c r="G6191" s="118">
        <v>0.99396990740740743</v>
      </c>
      <c r="H6191" s="118">
        <v>3.4722222222222224E-4</v>
      </c>
      <c r="I6191" s="118">
        <v>8.449074074074075E-4</v>
      </c>
      <c r="J6191" s="118">
        <v>7.1296296296296307E-3</v>
      </c>
      <c r="K6191" s="118">
        <v>0.01</v>
      </c>
    </row>
    <row r="6192" spans="1:11" x14ac:dyDescent="0.25">
      <c r="A6192">
        <v>1</v>
      </c>
      <c r="B6192">
        <v>21</v>
      </c>
      <c r="C6192"/>
      <c r="D6192" t="s">
        <v>31</v>
      </c>
      <c r="E6192" t="s">
        <v>35</v>
      </c>
      <c r="F6192" t="s">
        <v>48</v>
      </c>
      <c r="G6192" s="118">
        <v>0.994074074074074</v>
      </c>
      <c r="H6192" s="118">
        <v>9.1435185185185185E-4</v>
      </c>
      <c r="I6192" s="118">
        <v>5.2083333333333333E-4</v>
      </c>
      <c r="J6192"/>
      <c r="K6192"/>
    </row>
    <row r="6193" spans="1:11" x14ac:dyDescent="0.25">
      <c r="A6193">
        <v>2</v>
      </c>
      <c r="B6193">
        <v>22</v>
      </c>
      <c r="C6193"/>
      <c r="D6193" t="s">
        <v>31</v>
      </c>
      <c r="E6193" t="s">
        <v>35</v>
      </c>
      <c r="F6193" t="s">
        <v>43</v>
      </c>
      <c r="G6193" s="118">
        <v>0.99422453703703706</v>
      </c>
      <c r="H6193" s="118">
        <v>1.0995370370370371E-3</v>
      </c>
      <c r="I6193" s="118">
        <v>3.4722222222222224E-4</v>
      </c>
      <c r="J6193"/>
      <c r="K6193"/>
    </row>
    <row r="6194" spans="1:11" x14ac:dyDescent="0.25">
      <c r="A6194">
        <v>9</v>
      </c>
      <c r="B6194">
        <v>9</v>
      </c>
      <c r="C6194"/>
      <c r="D6194" t="s">
        <v>31</v>
      </c>
      <c r="E6194" t="s">
        <v>32</v>
      </c>
      <c r="F6194" t="s">
        <v>40</v>
      </c>
      <c r="G6194" s="118">
        <v>0.99438657407407405</v>
      </c>
      <c r="H6194" s="118">
        <v>4.6296296296296293E-4</v>
      </c>
      <c r="I6194" s="118">
        <v>1.0069444444444444E-3</v>
      </c>
      <c r="J6194" s="118">
        <v>7.0717592592592594E-3</v>
      </c>
      <c r="K6194" s="118">
        <v>7.0717592592592594E-3</v>
      </c>
    </row>
    <row r="6195" spans="1:11" x14ac:dyDescent="0.25">
      <c r="A6195">
        <v>2</v>
      </c>
      <c r="B6195">
        <v>22</v>
      </c>
      <c r="C6195"/>
      <c r="D6195" t="s">
        <v>31</v>
      </c>
      <c r="E6195" t="s">
        <v>32</v>
      </c>
      <c r="F6195" t="s">
        <v>43</v>
      </c>
      <c r="G6195" s="118">
        <v>0.99457175925925922</v>
      </c>
      <c r="H6195" s="118">
        <v>3.4722222222222224E-4</v>
      </c>
      <c r="I6195" s="118">
        <v>1.1458333333333333E-3</v>
      </c>
      <c r="J6195" s="118">
        <v>7.0717592592592594E-3</v>
      </c>
      <c r="K6195" s="118">
        <v>7.0717592592592594E-3</v>
      </c>
    </row>
    <row r="6196" spans="1:11" x14ac:dyDescent="0.25">
      <c r="A6196">
        <v>1</v>
      </c>
      <c r="B6196">
        <v>21</v>
      </c>
      <c r="C6196"/>
      <c r="D6196" t="s">
        <v>31</v>
      </c>
      <c r="E6196" t="s">
        <v>32</v>
      </c>
      <c r="F6196" t="s">
        <v>48</v>
      </c>
      <c r="G6196" s="118">
        <v>0.9945949074074073</v>
      </c>
      <c r="H6196" s="118">
        <v>5.2083333333333333E-4</v>
      </c>
      <c r="I6196" s="118">
        <v>8.6805555555555551E-4</v>
      </c>
      <c r="J6196" s="118">
        <v>7.0717592592592594E-3</v>
      </c>
      <c r="K6196" s="118">
        <v>7.0717592592592594E-3</v>
      </c>
    </row>
    <row r="6197" spans="1:11" x14ac:dyDescent="0.25">
      <c r="A6197">
        <v>4</v>
      </c>
      <c r="B6197">
        <v>22</v>
      </c>
      <c r="C6197"/>
      <c r="D6197" t="s">
        <v>31</v>
      </c>
      <c r="E6197" t="s">
        <v>35</v>
      </c>
      <c r="F6197" t="s">
        <v>39</v>
      </c>
      <c r="G6197" s="118">
        <v>0.99460648148148145</v>
      </c>
      <c r="H6197" s="118">
        <v>9.3750000000000007E-4</v>
      </c>
      <c r="I6197" s="118">
        <v>5.2083333333333333E-4</v>
      </c>
      <c r="J6197"/>
      <c r="K6197"/>
    </row>
    <row r="6198" spans="1:11" x14ac:dyDescent="0.25">
      <c r="A6198">
        <v>5</v>
      </c>
      <c r="B6198">
        <v>23</v>
      </c>
      <c r="C6198"/>
      <c r="D6198" t="s">
        <v>31</v>
      </c>
      <c r="E6198" t="s">
        <v>35</v>
      </c>
      <c r="F6198" t="s">
        <v>34</v>
      </c>
      <c r="G6198" s="118">
        <v>0.99481481481481471</v>
      </c>
      <c r="H6198" s="118">
        <v>8.449074074074075E-4</v>
      </c>
      <c r="I6198" s="118">
        <v>3.4722222222222224E-4</v>
      </c>
      <c r="J6198"/>
      <c r="K6198"/>
    </row>
    <row r="6199" spans="1:11" x14ac:dyDescent="0.25">
      <c r="A6199">
        <v>4</v>
      </c>
      <c r="B6199">
        <v>22</v>
      </c>
      <c r="C6199"/>
      <c r="D6199" t="s">
        <v>31</v>
      </c>
      <c r="E6199" t="s">
        <v>32</v>
      </c>
      <c r="F6199" t="s">
        <v>39</v>
      </c>
      <c r="G6199" s="118">
        <v>0.99512731481481476</v>
      </c>
      <c r="H6199" s="118">
        <v>5.2083333333333333E-4</v>
      </c>
      <c r="I6199" s="118">
        <v>1.8055555555555557E-3</v>
      </c>
      <c r="J6199" s="118">
        <v>7.0717592592592594E-3</v>
      </c>
      <c r="K6199" s="118">
        <v>7.1296296296296307E-3</v>
      </c>
    </row>
    <row r="6200" spans="1:11" x14ac:dyDescent="0.25">
      <c r="A6200">
        <v>5</v>
      </c>
      <c r="B6200">
        <v>23</v>
      </c>
      <c r="C6200"/>
      <c r="D6200" t="s">
        <v>31</v>
      </c>
      <c r="E6200" t="s">
        <v>32</v>
      </c>
      <c r="F6200" t="s">
        <v>34</v>
      </c>
      <c r="G6200" s="118">
        <v>0.99516203703703709</v>
      </c>
      <c r="H6200" s="118">
        <v>3.4722222222222224E-4</v>
      </c>
      <c r="I6200" s="118">
        <v>9.1435185185185185E-4</v>
      </c>
      <c r="J6200" s="118">
        <v>7.1296296296296307E-3</v>
      </c>
      <c r="K6200" s="118">
        <v>0.01</v>
      </c>
    </row>
    <row r="6201" spans="1:11" x14ac:dyDescent="0.25">
      <c r="A6201">
        <v>9</v>
      </c>
      <c r="B6201">
        <v>9</v>
      </c>
      <c r="C6201"/>
      <c r="D6201" t="s">
        <v>31</v>
      </c>
      <c r="E6201" t="s">
        <v>35</v>
      </c>
      <c r="F6201" t="s">
        <v>44</v>
      </c>
      <c r="G6201" s="118">
        <v>0.99539351851851843</v>
      </c>
      <c r="H6201" s="118">
        <v>1.0069444444444444E-3</v>
      </c>
      <c r="I6201" s="118">
        <v>3.4722222222222224E-4</v>
      </c>
      <c r="J6201"/>
      <c r="K6201"/>
    </row>
    <row r="6202" spans="1:11" x14ac:dyDescent="0.25">
      <c r="A6202">
        <v>1</v>
      </c>
      <c r="B6202">
        <v>21</v>
      </c>
      <c r="C6202"/>
      <c r="D6202" t="s">
        <v>31</v>
      </c>
      <c r="E6202" t="s">
        <v>35</v>
      </c>
      <c r="F6202" t="s">
        <v>54</v>
      </c>
      <c r="G6202" s="118">
        <v>0.99546296296296299</v>
      </c>
      <c r="H6202" s="118">
        <v>8.6805555555555551E-4</v>
      </c>
      <c r="I6202" s="118">
        <v>3.4722222222222224E-4</v>
      </c>
      <c r="J6202"/>
      <c r="K6202"/>
    </row>
    <row r="6203" spans="1:11" x14ac:dyDescent="0.25">
      <c r="A6203">
        <v>2</v>
      </c>
      <c r="B6203">
        <v>22</v>
      </c>
      <c r="C6203"/>
      <c r="D6203" t="s">
        <v>31</v>
      </c>
      <c r="E6203" t="s">
        <v>35</v>
      </c>
      <c r="F6203" t="s">
        <v>50</v>
      </c>
      <c r="G6203" s="118">
        <v>0.99571759259259263</v>
      </c>
      <c r="H6203" s="118">
        <v>1.1458333333333333E-3</v>
      </c>
      <c r="I6203" s="118">
        <v>3.4722222222222224E-4</v>
      </c>
      <c r="J6203"/>
      <c r="K6203"/>
    </row>
    <row r="6204" spans="1:11" x14ac:dyDescent="0.25">
      <c r="A6204">
        <v>9</v>
      </c>
      <c r="B6204">
        <v>9</v>
      </c>
      <c r="C6204"/>
      <c r="D6204" t="s">
        <v>31</v>
      </c>
      <c r="E6204" t="s">
        <v>32</v>
      </c>
      <c r="F6204" t="s">
        <v>44</v>
      </c>
      <c r="G6204" s="118">
        <v>0.9957407407407407</v>
      </c>
      <c r="H6204" s="118">
        <v>3.4722222222222224E-4</v>
      </c>
      <c r="I6204" s="118">
        <v>9.2592592592592585E-4</v>
      </c>
      <c r="J6204" s="118">
        <v>7.0717592592592594E-3</v>
      </c>
      <c r="K6204" s="118">
        <v>7.0717592592592594E-3</v>
      </c>
    </row>
    <row r="6205" spans="1:11" x14ac:dyDescent="0.25">
      <c r="A6205">
        <v>1</v>
      </c>
      <c r="B6205">
        <v>21</v>
      </c>
      <c r="C6205"/>
      <c r="D6205" t="s">
        <v>31</v>
      </c>
      <c r="E6205" t="s">
        <v>32</v>
      </c>
      <c r="F6205" t="s">
        <v>54</v>
      </c>
      <c r="G6205" s="118">
        <v>0.99581018518518516</v>
      </c>
      <c r="H6205" s="118">
        <v>3.4722222222222224E-4</v>
      </c>
      <c r="I6205" s="118">
        <v>7.0601851851851847E-4</v>
      </c>
      <c r="J6205" s="118">
        <v>7.0717592592592594E-3</v>
      </c>
      <c r="K6205" s="118">
        <v>7.0717592592592594E-3</v>
      </c>
    </row>
    <row r="6206" spans="1:11" x14ac:dyDescent="0.25">
      <c r="A6206">
        <v>2</v>
      </c>
      <c r="B6206">
        <v>22</v>
      </c>
      <c r="C6206"/>
      <c r="D6206" t="s">
        <v>31</v>
      </c>
      <c r="E6206" t="s">
        <v>32</v>
      </c>
      <c r="F6206" t="s">
        <v>50</v>
      </c>
      <c r="G6206" s="118">
        <v>0.99606481481481479</v>
      </c>
      <c r="H6206" s="118">
        <v>3.4722222222222224E-4</v>
      </c>
      <c r="I6206" s="118">
        <v>1.261574074074074E-3</v>
      </c>
      <c r="J6206" s="118">
        <v>7.0717592592592594E-3</v>
      </c>
      <c r="K6206" s="118">
        <v>7.0717592592592594E-3</v>
      </c>
    </row>
    <row r="6207" spans="1:11" x14ac:dyDescent="0.25">
      <c r="A6207">
        <v>5</v>
      </c>
      <c r="B6207">
        <v>23</v>
      </c>
      <c r="C6207"/>
      <c r="D6207" t="s">
        <v>31</v>
      </c>
      <c r="E6207" t="s">
        <v>35</v>
      </c>
      <c r="F6207" t="s">
        <v>38</v>
      </c>
      <c r="G6207" s="118">
        <v>0.99607638888888894</v>
      </c>
      <c r="H6207" s="118">
        <v>9.1435185185185185E-4</v>
      </c>
      <c r="I6207" s="118">
        <v>3.4722222222222224E-4</v>
      </c>
      <c r="J6207"/>
      <c r="K6207"/>
    </row>
    <row r="6208" spans="1:11" x14ac:dyDescent="0.25">
      <c r="A6208">
        <v>5</v>
      </c>
      <c r="B6208">
        <v>23</v>
      </c>
      <c r="C6208"/>
      <c r="D6208" t="s">
        <v>31</v>
      </c>
      <c r="E6208" t="s">
        <v>32</v>
      </c>
      <c r="F6208" t="s">
        <v>38</v>
      </c>
      <c r="G6208" s="118">
        <v>0.99642361111111111</v>
      </c>
      <c r="H6208" s="118">
        <v>3.4722222222222224E-4</v>
      </c>
      <c r="I6208" s="118">
        <v>1.2384259259259258E-3</v>
      </c>
      <c r="J6208" s="118">
        <v>7.1296296296296307E-3</v>
      </c>
      <c r="K6208" s="118">
        <v>0.01</v>
      </c>
    </row>
    <row r="6209" spans="1:11" x14ac:dyDescent="0.25">
      <c r="A6209">
        <v>1</v>
      </c>
      <c r="B6209">
        <v>21</v>
      </c>
      <c r="C6209"/>
      <c r="D6209" t="s">
        <v>31</v>
      </c>
      <c r="E6209" t="s">
        <v>35</v>
      </c>
      <c r="F6209" t="s">
        <v>92</v>
      </c>
      <c r="G6209" s="118">
        <v>0.99651620370370375</v>
      </c>
      <c r="H6209" s="118">
        <v>7.0601851851851847E-4</v>
      </c>
      <c r="I6209" s="118">
        <v>3.4953703703703705E-3</v>
      </c>
      <c r="J6209"/>
      <c r="K6209"/>
    </row>
    <row r="6210" spans="1:11" x14ac:dyDescent="0.25">
      <c r="A6210">
        <v>9</v>
      </c>
      <c r="B6210">
        <v>9</v>
      </c>
      <c r="C6210"/>
      <c r="D6210" t="s">
        <v>31</v>
      </c>
      <c r="E6210" t="s">
        <v>35</v>
      </c>
      <c r="F6210" t="s">
        <v>49</v>
      </c>
      <c r="G6210" s="118">
        <v>0.9966666666666667</v>
      </c>
      <c r="H6210" s="118">
        <v>9.2592592592592585E-4</v>
      </c>
      <c r="I6210" s="118">
        <v>3.4722222222222224E-4</v>
      </c>
      <c r="J6210"/>
      <c r="K6210"/>
    </row>
    <row r="6211" spans="1:11" x14ac:dyDescent="0.25">
      <c r="A6211">
        <v>4</v>
      </c>
      <c r="B6211">
        <v>22</v>
      </c>
      <c r="C6211"/>
      <c r="D6211" t="s">
        <v>31</v>
      </c>
      <c r="E6211" t="s">
        <v>35</v>
      </c>
      <c r="F6211" t="s">
        <v>46</v>
      </c>
      <c r="G6211" s="118">
        <v>0.99693287037037026</v>
      </c>
      <c r="H6211" s="118">
        <v>1.8055555555555557E-3</v>
      </c>
      <c r="I6211" s="118">
        <v>3.4722222222222224E-4</v>
      </c>
      <c r="J6211"/>
      <c r="K6211"/>
    </row>
    <row r="6212" spans="1:11" x14ac:dyDescent="0.25">
      <c r="A6212">
        <v>9</v>
      </c>
      <c r="B6212">
        <v>9</v>
      </c>
      <c r="C6212"/>
      <c r="D6212" t="s">
        <v>31</v>
      </c>
      <c r="E6212" t="s">
        <v>32</v>
      </c>
      <c r="F6212" t="s">
        <v>49</v>
      </c>
      <c r="G6212" s="118">
        <v>0.99701388888888898</v>
      </c>
      <c r="H6212" s="118">
        <v>3.4722222222222224E-4</v>
      </c>
      <c r="I6212" s="118">
        <v>1.3541666666666667E-3</v>
      </c>
      <c r="J6212" s="118">
        <v>7.0717592592592594E-3</v>
      </c>
      <c r="K6212" s="118">
        <v>7.0717592592592594E-3</v>
      </c>
    </row>
    <row r="6213" spans="1:11" x14ac:dyDescent="0.25">
      <c r="A6213">
        <v>4</v>
      </c>
      <c r="B6213">
        <v>22</v>
      </c>
      <c r="C6213"/>
      <c r="D6213" t="s">
        <v>31</v>
      </c>
      <c r="E6213" t="s">
        <v>32</v>
      </c>
      <c r="F6213" t="s">
        <v>46</v>
      </c>
      <c r="G6213" s="118">
        <v>0.99728009259259265</v>
      </c>
      <c r="H6213" s="118">
        <v>3.4722222222222224E-4</v>
      </c>
      <c r="I6213" s="118">
        <v>9.1435185185185185E-4</v>
      </c>
      <c r="J6213" s="118">
        <v>7.0717592592592594E-3</v>
      </c>
      <c r="K6213" s="118">
        <v>7.1296296296296307E-3</v>
      </c>
    </row>
    <row r="6214" spans="1:11" x14ac:dyDescent="0.25">
      <c r="A6214">
        <v>2</v>
      </c>
      <c r="B6214">
        <v>22</v>
      </c>
      <c r="C6214"/>
      <c r="D6214" t="s">
        <v>31</v>
      </c>
      <c r="E6214" t="s">
        <v>35</v>
      </c>
      <c r="F6214" t="s">
        <v>56</v>
      </c>
      <c r="G6214" s="118">
        <v>0.99732638888888892</v>
      </c>
      <c r="H6214" s="118">
        <v>1.261574074074074E-3</v>
      </c>
      <c r="I6214" s="118">
        <v>3.4722222222222224E-4</v>
      </c>
      <c r="J6214"/>
      <c r="K6214"/>
    </row>
    <row r="6215" spans="1:11" x14ac:dyDescent="0.25">
      <c r="A6215">
        <v>5</v>
      </c>
      <c r="B6215">
        <v>23</v>
      </c>
      <c r="C6215"/>
      <c r="D6215" t="s">
        <v>31</v>
      </c>
      <c r="E6215" t="s">
        <v>35</v>
      </c>
      <c r="F6215" t="s">
        <v>45</v>
      </c>
      <c r="G6215" s="118">
        <v>0.99766203703703704</v>
      </c>
      <c r="H6215" s="118">
        <v>1.2384259259259258E-3</v>
      </c>
      <c r="I6215" s="118">
        <v>3.4722222222222224E-4</v>
      </c>
      <c r="J6215"/>
      <c r="K6215"/>
    </row>
    <row r="6216" spans="1:11" x14ac:dyDescent="0.25">
      <c r="A6216">
        <v>2</v>
      </c>
      <c r="B6216">
        <v>22</v>
      </c>
      <c r="C6216"/>
      <c r="D6216" t="s">
        <v>31</v>
      </c>
      <c r="E6216" t="s">
        <v>32</v>
      </c>
      <c r="F6216" t="s">
        <v>56</v>
      </c>
      <c r="G6216" s="118">
        <v>0.99767361111111119</v>
      </c>
      <c r="H6216" s="118">
        <v>3.4722222222222224E-4</v>
      </c>
      <c r="I6216" s="118">
        <v>9.6064814814814808E-4</v>
      </c>
      <c r="J6216" s="118">
        <v>7.0717592592592594E-3</v>
      </c>
      <c r="K6216" s="118">
        <v>7.0717592592592594E-3</v>
      </c>
    </row>
    <row r="6217" spans="1:11" x14ac:dyDescent="0.25">
      <c r="A6217">
        <v>5</v>
      </c>
      <c r="B6217">
        <v>23</v>
      </c>
      <c r="C6217"/>
      <c r="D6217" t="s">
        <v>31</v>
      </c>
      <c r="E6217" t="s">
        <v>32</v>
      </c>
      <c r="F6217" t="s">
        <v>45</v>
      </c>
      <c r="G6217" s="118">
        <v>0.99800925925925921</v>
      </c>
      <c r="H6217" s="118">
        <v>3.4722222222222224E-4</v>
      </c>
      <c r="I6217" s="118">
        <v>1.0416666666666667E-3</v>
      </c>
      <c r="J6217" s="118">
        <v>7.1296296296296307E-3</v>
      </c>
      <c r="K6217" s="118">
        <v>0.01</v>
      </c>
    </row>
    <row r="6218" spans="1:11" x14ac:dyDescent="0.25">
      <c r="A6218">
        <v>4</v>
      </c>
      <c r="B6218">
        <v>22</v>
      </c>
      <c r="C6218"/>
      <c r="D6218" t="s">
        <v>31</v>
      </c>
      <c r="E6218" t="s">
        <v>35</v>
      </c>
      <c r="F6218" t="s">
        <v>51</v>
      </c>
      <c r="G6218" s="118">
        <v>0.9981944444444445</v>
      </c>
      <c r="H6218" s="118">
        <v>9.1435185185185185E-4</v>
      </c>
      <c r="I6218" s="118">
        <v>3.4722222222222224E-4</v>
      </c>
      <c r="J6218"/>
      <c r="K6218"/>
    </row>
    <row r="6219" spans="1:11" x14ac:dyDescent="0.25">
      <c r="A6219">
        <v>9</v>
      </c>
      <c r="B6219">
        <v>9</v>
      </c>
      <c r="C6219"/>
      <c r="D6219" t="s">
        <v>31</v>
      </c>
      <c r="E6219" t="s">
        <v>35</v>
      </c>
      <c r="F6219" t="s">
        <v>33</v>
      </c>
      <c r="G6219" s="118">
        <v>0.99836805555555552</v>
      </c>
      <c r="H6219" s="118">
        <v>1.3541666666666667E-3</v>
      </c>
      <c r="I6219" s="118">
        <v>5.2083333333333333E-4</v>
      </c>
      <c r="J6219"/>
      <c r="K6219"/>
    </row>
    <row r="6220" spans="1:11" x14ac:dyDescent="0.25">
      <c r="A6220">
        <v>4</v>
      </c>
      <c r="B6220">
        <v>22</v>
      </c>
      <c r="C6220"/>
      <c r="D6220" t="s">
        <v>31</v>
      </c>
      <c r="E6220" t="s">
        <v>32</v>
      </c>
      <c r="F6220" t="s">
        <v>51</v>
      </c>
      <c r="G6220" s="118">
        <v>0.99854166666666666</v>
      </c>
      <c r="H6220" s="118">
        <v>3.4722222222222224E-4</v>
      </c>
      <c r="I6220" s="118">
        <v>1.0069444444444444E-3</v>
      </c>
      <c r="J6220" s="118">
        <v>7.0717592592592594E-3</v>
      </c>
      <c r="K6220" s="118">
        <v>7.1296296296296307E-3</v>
      </c>
    </row>
    <row r="6221" spans="1:11" x14ac:dyDescent="0.25">
      <c r="A6221">
        <v>2</v>
      </c>
      <c r="B6221">
        <v>22</v>
      </c>
      <c r="C6221"/>
      <c r="D6221" t="s">
        <v>31</v>
      </c>
      <c r="E6221" t="s">
        <v>35</v>
      </c>
      <c r="F6221" t="s">
        <v>37</v>
      </c>
      <c r="G6221" s="118">
        <v>0.9986342592592593</v>
      </c>
      <c r="H6221" s="118">
        <v>9.6064814814814808E-4</v>
      </c>
      <c r="I6221" s="118">
        <v>3.4722222222222224E-4</v>
      </c>
      <c r="J6221"/>
      <c r="K6221"/>
    </row>
    <row r="6222" spans="1:11" x14ac:dyDescent="0.25">
      <c r="A6222">
        <v>9</v>
      </c>
      <c r="B6222">
        <v>9</v>
      </c>
      <c r="C6222"/>
      <c r="D6222" t="s">
        <v>31</v>
      </c>
      <c r="E6222" t="s">
        <v>32</v>
      </c>
      <c r="F6222" t="s">
        <v>33</v>
      </c>
      <c r="G6222" s="118">
        <v>0.99888888888888883</v>
      </c>
      <c r="H6222" s="118">
        <v>5.2083333333333333E-4</v>
      </c>
      <c r="I6222" s="118">
        <v>9.6064814814814808E-4</v>
      </c>
      <c r="J6222" s="118">
        <v>7.0717592592592594E-3</v>
      </c>
      <c r="K6222" s="118">
        <v>7.0717592592592594E-3</v>
      </c>
    </row>
    <row r="6223" spans="1:11" x14ac:dyDescent="0.25">
      <c r="A6223">
        <v>2</v>
      </c>
      <c r="B6223">
        <v>22</v>
      </c>
      <c r="C6223"/>
      <c r="D6223" t="s">
        <v>31</v>
      </c>
      <c r="E6223" t="s">
        <v>32</v>
      </c>
      <c r="F6223" t="s">
        <v>37</v>
      </c>
      <c r="G6223" s="118">
        <v>0.99898148148148147</v>
      </c>
      <c r="H6223" s="118">
        <v>3.4722222222222224E-4</v>
      </c>
      <c r="I6223" s="118">
        <v>9.0277777777777784E-4</v>
      </c>
      <c r="J6223" s="118">
        <v>7.0717592592592594E-3</v>
      </c>
      <c r="K6223" s="118">
        <v>7.0717592592592594E-3</v>
      </c>
    </row>
    <row r="6224" spans="1:11" x14ac:dyDescent="0.25">
      <c r="A6224">
        <v>5</v>
      </c>
      <c r="B6224">
        <v>23</v>
      </c>
      <c r="C6224"/>
      <c r="D6224" t="s">
        <v>31</v>
      </c>
      <c r="E6224" t="s">
        <v>35</v>
      </c>
      <c r="F6224" t="s">
        <v>52</v>
      </c>
      <c r="G6224" s="118">
        <v>0.99905092592592604</v>
      </c>
      <c r="H6224" s="118">
        <v>1.0416666666666667E-3</v>
      </c>
      <c r="I6224" s="118">
        <v>3.4722222222222224E-4</v>
      </c>
      <c r="J6224"/>
      <c r="K6224"/>
    </row>
    <row r="6225" spans="1:11" x14ac:dyDescent="0.25">
      <c r="A6225">
        <v>5</v>
      </c>
      <c r="B6225">
        <v>23</v>
      </c>
      <c r="C6225"/>
      <c r="D6225" t="s">
        <v>31</v>
      </c>
      <c r="E6225" t="s">
        <v>32</v>
      </c>
      <c r="F6225" t="s">
        <v>52</v>
      </c>
      <c r="G6225" s="118">
        <v>0.9993981481481482</v>
      </c>
      <c r="H6225" s="118">
        <v>3.4722222222222224E-4</v>
      </c>
      <c r="I6225" s="118">
        <v>1.0532407407407407E-3</v>
      </c>
      <c r="J6225" s="118">
        <v>7.1296296296296307E-3</v>
      </c>
      <c r="K6225" s="118">
        <v>0.01</v>
      </c>
    </row>
    <row r="6226" spans="1:11" x14ac:dyDescent="0.25">
      <c r="A6226">
        <v>4</v>
      </c>
      <c r="B6226">
        <v>22</v>
      </c>
      <c r="C6226"/>
      <c r="D6226" t="s">
        <v>31</v>
      </c>
      <c r="E6226" t="s">
        <v>35</v>
      </c>
      <c r="F6226" t="s">
        <v>55</v>
      </c>
      <c r="G6226" s="118">
        <v>0.99954861111111104</v>
      </c>
      <c r="H6226" s="118">
        <v>1.0069444444444444E-3</v>
      </c>
      <c r="I6226" s="118">
        <v>4.6296296296296293E-4</v>
      </c>
      <c r="J6226"/>
      <c r="K6226"/>
    </row>
    <row r="6227" spans="1:11" x14ac:dyDescent="0.25">
      <c r="A6227">
        <v>9</v>
      </c>
      <c r="B6227">
        <v>9</v>
      </c>
      <c r="C6227"/>
      <c r="D6227" t="s">
        <v>31</v>
      </c>
      <c r="E6227" t="s">
        <v>35</v>
      </c>
      <c r="F6227" t="s">
        <v>36</v>
      </c>
      <c r="G6227" s="118">
        <v>0.99984953703703694</v>
      </c>
      <c r="H6227" s="118">
        <v>9.6064814814814808E-4</v>
      </c>
      <c r="I6227" s="118">
        <v>3.4722222222222224E-4</v>
      </c>
      <c r="J6227"/>
      <c r="K6227"/>
    </row>
    <row r="6228" spans="1:11" x14ac:dyDescent="0.25">
      <c r="A6228">
        <v>2</v>
      </c>
      <c r="B6228">
        <v>22</v>
      </c>
      <c r="C6228"/>
      <c r="D6228" t="s">
        <v>31</v>
      </c>
      <c r="E6228" t="s">
        <v>35</v>
      </c>
      <c r="F6228" t="s">
        <v>42</v>
      </c>
      <c r="G6228" s="118">
        <v>0.99988425925925928</v>
      </c>
      <c r="H6228" s="118">
        <v>9.0277777777777784E-4</v>
      </c>
      <c r="I6228" s="118">
        <v>3.4722222222222224E-4</v>
      </c>
      <c r="J6228"/>
      <c r="K6228"/>
    </row>
    <row r="6229" spans="1:11" x14ac:dyDescent="0.25">
      <c r="A6229">
        <v>1</v>
      </c>
      <c r="B6229">
        <v>22</v>
      </c>
      <c r="C6229"/>
      <c r="D6229" t="s">
        <v>31</v>
      </c>
      <c r="E6229" t="s">
        <v>32</v>
      </c>
      <c r="F6229" t="s">
        <v>92</v>
      </c>
      <c r="G6229" s="118">
        <v>1.1574074074074073E-5</v>
      </c>
      <c r="H6229" s="118">
        <v>3.4953703703703705E-3</v>
      </c>
      <c r="I6229" s="118">
        <v>1.0069444444444444E-3</v>
      </c>
      <c r="J6229" s="118">
        <v>0.01</v>
      </c>
      <c r="K6229"/>
    </row>
    <row r="6230" spans="1:11" x14ac:dyDescent="0.25">
      <c r="A6230">
        <v>4</v>
      </c>
      <c r="B6230">
        <v>22</v>
      </c>
      <c r="C6230"/>
      <c r="D6230" t="s">
        <v>31</v>
      </c>
      <c r="E6230" t="s">
        <v>32</v>
      </c>
      <c r="F6230" t="s">
        <v>55</v>
      </c>
      <c r="G6230" s="118">
        <v>1.1574074074074073E-5</v>
      </c>
      <c r="H6230" s="118">
        <v>4.6296296296296293E-4</v>
      </c>
      <c r="I6230" s="118">
        <v>4.3981481481481481E-4</v>
      </c>
      <c r="J6230" s="118">
        <v>7.0717592592592594E-3</v>
      </c>
      <c r="K6230"/>
    </row>
    <row r="6231" spans="1:11" x14ac:dyDescent="0.25">
      <c r="A6231">
        <v>9</v>
      </c>
      <c r="B6231">
        <v>9</v>
      </c>
      <c r="C6231"/>
      <c r="D6231" t="s">
        <v>31</v>
      </c>
      <c r="E6231" t="s">
        <v>32</v>
      </c>
      <c r="F6231" t="s">
        <v>36</v>
      </c>
      <c r="G6231" s="118">
        <v>1.9675925925925926E-4</v>
      </c>
      <c r="H6231" s="118">
        <v>3.4722222222222224E-4</v>
      </c>
      <c r="I6231" s="118">
        <v>1.0995370370370371E-3</v>
      </c>
      <c r="J6231" s="118">
        <v>7.0717592592592594E-3</v>
      </c>
      <c r="K6231" s="118">
        <v>7.0717592592592594E-3</v>
      </c>
    </row>
    <row r="6232" spans="1:11" x14ac:dyDescent="0.25">
      <c r="A6232">
        <v>2</v>
      </c>
      <c r="B6232">
        <v>22</v>
      </c>
      <c r="C6232"/>
      <c r="D6232" t="s">
        <v>31</v>
      </c>
      <c r="E6232" t="s">
        <v>32</v>
      </c>
      <c r="F6232" t="s">
        <v>42</v>
      </c>
      <c r="G6232" s="118">
        <v>2.3148148148148146E-4</v>
      </c>
      <c r="H6232" s="118">
        <v>3.4722222222222224E-4</v>
      </c>
      <c r="I6232" s="118">
        <v>9.1435185185185185E-4</v>
      </c>
      <c r="J6232" s="118">
        <v>7.0717592592592594E-3</v>
      </c>
      <c r="K6232" s="118">
        <v>7.0717592592592594E-3</v>
      </c>
    </row>
    <row r="6233" spans="1:11" x14ac:dyDescent="0.25">
      <c r="A6233">
        <v>4</v>
      </c>
      <c r="B6233">
        <v>22</v>
      </c>
      <c r="C6233"/>
      <c r="D6233" t="s">
        <v>31</v>
      </c>
      <c r="E6233" t="s">
        <v>35</v>
      </c>
      <c r="F6233" t="s">
        <v>58</v>
      </c>
      <c r="G6233" s="118">
        <v>4.5138888888888892E-4</v>
      </c>
      <c r="H6233" s="118">
        <v>4.3981481481481481E-4</v>
      </c>
      <c r="I6233" s="118">
        <v>5.7870370370370366E-5</v>
      </c>
      <c r="J6233"/>
      <c r="K6233"/>
    </row>
    <row r="6234" spans="1:11" x14ac:dyDescent="0.25">
      <c r="A6234">
        <v>5</v>
      </c>
      <c r="B6234">
        <v>23</v>
      </c>
      <c r="C6234"/>
      <c r="D6234" t="s">
        <v>31</v>
      </c>
      <c r="E6234" t="s">
        <v>35</v>
      </c>
      <c r="F6234" t="s">
        <v>57</v>
      </c>
      <c r="G6234" s="118">
        <v>4.5138888888888892E-4</v>
      </c>
      <c r="H6234" s="118">
        <v>1.0532407407407407E-3</v>
      </c>
      <c r="I6234" s="118">
        <v>3.4722222222222224E-4</v>
      </c>
      <c r="J6234"/>
      <c r="K6234"/>
    </row>
    <row r="6235" spans="1:11" x14ac:dyDescent="0.25">
      <c r="A6235">
        <v>4</v>
      </c>
      <c r="B6235">
        <v>22</v>
      </c>
      <c r="C6235"/>
      <c r="D6235" t="s">
        <v>31</v>
      </c>
      <c r="E6235" t="s">
        <v>32</v>
      </c>
      <c r="F6235" t="s">
        <v>58</v>
      </c>
      <c r="G6235" s="118">
        <v>5.0925925925925921E-4</v>
      </c>
      <c r="H6235" s="118">
        <v>5.7870370370370366E-5</v>
      </c>
      <c r="I6235" s="118">
        <v>4.8611111111111104E-4</v>
      </c>
      <c r="J6235" s="118">
        <v>7.0717592592592594E-3</v>
      </c>
      <c r="K6235"/>
    </row>
    <row r="6236" spans="1:11" x14ac:dyDescent="0.25">
      <c r="A6236">
        <v>5</v>
      </c>
      <c r="B6236">
        <v>23</v>
      </c>
      <c r="C6236"/>
      <c r="D6236" t="s">
        <v>31</v>
      </c>
      <c r="E6236" t="s">
        <v>32</v>
      </c>
      <c r="F6236" t="s">
        <v>57</v>
      </c>
      <c r="G6236" s="118">
        <v>7.9861111111111105E-4</v>
      </c>
      <c r="H6236" s="118">
        <v>3.4722222222222224E-4</v>
      </c>
      <c r="I6236" s="118">
        <v>9.3750000000000007E-4</v>
      </c>
      <c r="J6236" s="118">
        <v>7.1296296296296307E-3</v>
      </c>
      <c r="K6236" s="118">
        <v>0.01</v>
      </c>
    </row>
    <row r="6237" spans="1:11" x14ac:dyDescent="0.25">
      <c r="A6237">
        <v>4</v>
      </c>
      <c r="B6237">
        <v>22</v>
      </c>
      <c r="C6237"/>
      <c r="D6237" t="s">
        <v>31</v>
      </c>
      <c r="E6237" t="s">
        <v>35</v>
      </c>
      <c r="F6237" t="s">
        <v>40</v>
      </c>
      <c r="G6237" s="118">
        <v>9.9537037037037042E-4</v>
      </c>
      <c r="H6237" s="118">
        <v>4.8611111111111104E-4</v>
      </c>
      <c r="I6237" s="118">
        <v>4.6296296296296293E-4</v>
      </c>
      <c r="J6237"/>
      <c r="K6237"/>
    </row>
    <row r="6238" spans="1:11" x14ac:dyDescent="0.25">
      <c r="A6238">
        <v>1</v>
      </c>
      <c r="B6238">
        <v>22</v>
      </c>
      <c r="C6238"/>
      <c r="D6238" t="s">
        <v>31</v>
      </c>
      <c r="E6238" t="s">
        <v>35</v>
      </c>
      <c r="F6238" t="s">
        <v>41</v>
      </c>
      <c r="G6238" s="118">
        <v>1.0185185185185186E-3</v>
      </c>
      <c r="H6238" s="118">
        <v>1.0069444444444444E-3</v>
      </c>
      <c r="I6238" s="118">
        <v>3.4722222222222224E-4</v>
      </c>
      <c r="J6238"/>
      <c r="K6238"/>
    </row>
    <row r="6239" spans="1:11" x14ac:dyDescent="0.25">
      <c r="A6239">
        <v>2</v>
      </c>
      <c r="B6239">
        <v>22</v>
      </c>
      <c r="C6239"/>
      <c r="D6239" t="s">
        <v>31</v>
      </c>
      <c r="E6239" t="s">
        <v>35</v>
      </c>
      <c r="F6239" t="s">
        <v>48</v>
      </c>
      <c r="G6239" s="118">
        <v>1.1458333333333333E-3</v>
      </c>
      <c r="H6239" s="118">
        <v>9.1435185185185185E-4</v>
      </c>
      <c r="I6239" s="118">
        <v>5.2083333333333333E-4</v>
      </c>
      <c r="J6239"/>
      <c r="K6239"/>
    </row>
    <row r="6240" spans="1:11" x14ac:dyDescent="0.25">
      <c r="A6240">
        <v>9</v>
      </c>
      <c r="B6240">
        <v>9</v>
      </c>
      <c r="C6240"/>
      <c r="D6240" t="s">
        <v>31</v>
      </c>
      <c r="E6240" t="s">
        <v>35</v>
      </c>
      <c r="F6240" t="s">
        <v>43</v>
      </c>
      <c r="G6240" s="118">
        <v>1.2962962962962963E-3</v>
      </c>
      <c r="H6240" s="118">
        <v>1.0995370370370371E-3</v>
      </c>
      <c r="I6240" s="118">
        <v>3.4722222222222224E-4</v>
      </c>
      <c r="J6240"/>
      <c r="K6240"/>
    </row>
    <row r="6241" spans="1:11" x14ac:dyDescent="0.25">
      <c r="A6241">
        <v>1</v>
      </c>
      <c r="B6241">
        <v>22</v>
      </c>
      <c r="C6241"/>
      <c r="D6241" t="s">
        <v>31</v>
      </c>
      <c r="E6241" t="s">
        <v>32</v>
      </c>
      <c r="F6241" t="s">
        <v>41</v>
      </c>
      <c r="G6241" s="118">
        <v>1.3657407407407409E-3</v>
      </c>
      <c r="H6241" s="118">
        <v>3.4722222222222224E-4</v>
      </c>
      <c r="I6241" s="118">
        <v>8.564814814814815E-4</v>
      </c>
      <c r="J6241" s="118">
        <v>0.01</v>
      </c>
      <c r="K6241"/>
    </row>
    <row r="6242" spans="1:11" x14ac:dyDescent="0.25">
      <c r="A6242">
        <v>4</v>
      </c>
      <c r="B6242">
        <v>22</v>
      </c>
      <c r="C6242"/>
      <c r="D6242" t="s">
        <v>31</v>
      </c>
      <c r="E6242" t="s">
        <v>32</v>
      </c>
      <c r="F6242" t="s">
        <v>40</v>
      </c>
      <c r="G6242" s="118">
        <v>1.4583333333333334E-3</v>
      </c>
      <c r="H6242" s="118">
        <v>4.6296296296296293E-4</v>
      </c>
      <c r="I6242" s="118">
        <v>1.0069444444444444E-3</v>
      </c>
      <c r="J6242" s="118">
        <v>7.0717592592592594E-3</v>
      </c>
      <c r="K6242"/>
    </row>
    <row r="6243" spans="1:11" x14ac:dyDescent="0.25">
      <c r="A6243">
        <v>9</v>
      </c>
      <c r="B6243">
        <v>9</v>
      </c>
      <c r="C6243"/>
      <c r="D6243" t="s">
        <v>31</v>
      </c>
      <c r="E6243" t="s">
        <v>32</v>
      </c>
      <c r="F6243" t="s">
        <v>43</v>
      </c>
      <c r="G6243" s="118">
        <v>1.6435185185185183E-3</v>
      </c>
      <c r="H6243" s="118">
        <v>3.4722222222222224E-4</v>
      </c>
      <c r="I6243" s="118">
        <v>1.1458333333333333E-3</v>
      </c>
      <c r="J6243" s="118">
        <v>7.0717592592592594E-3</v>
      </c>
      <c r="K6243" s="118">
        <v>7.0717592592592594E-3</v>
      </c>
    </row>
    <row r="6244" spans="1:11" x14ac:dyDescent="0.25">
      <c r="A6244">
        <v>2</v>
      </c>
      <c r="B6244">
        <v>22</v>
      </c>
      <c r="C6244"/>
      <c r="D6244" t="s">
        <v>31</v>
      </c>
      <c r="E6244" t="s">
        <v>32</v>
      </c>
      <c r="F6244" t="s">
        <v>48</v>
      </c>
      <c r="G6244" s="118">
        <v>1.6666666666666668E-3</v>
      </c>
      <c r="H6244" s="118">
        <v>5.2083333333333333E-4</v>
      </c>
      <c r="I6244" s="118">
        <v>8.6805555555555551E-4</v>
      </c>
      <c r="J6244" s="118">
        <v>7.0717592592592594E-3</v>
      </c>
      <c r="K6244" s="118">
        <v>7.0717592592592594E-3</v>
      </c>
    </row>
    <row r="6245" spans="1:11" x14ac:dyDescent="0.25">
      <c r="A6245">
        <v>5</v>
      </c>
      <c r="B6245">
        <v>23</v>
      </c>
      <c r="C6245"/>
      <c r="D6245" t="s">
        <v>31</v>
      </c>
      <c r="E6245" t="s">
        <v>35</v>
      </c>
      <c r="F6245" t="s">
        <v>39</v>
      </c>
      <c r="G6245" s="118">
        <v>1.736111111111111E-3</v>
      </c>
      <c r="H6245" s="118">
        <v>9.3750000000000007E-4</v>
      </c>
      <c r="I6245" s="118">
        <v>5.2083333333333333E-4</v>
      </c>
      <c r="J6245"/>
      <c r="K6245"/>
    </row>
    <row r="6246" spans="1:11" x14ac:dyDescent="0.25">
      <c r="A6246">
        <v>1</v>
      </c>
      <c r="B6246">
        <v>22</v>
      </c>
      <c r="C6246"/>
      <c r="D6246" t="s">
        <v>31</v>
      </c>
      <c r="E6246" t="s">
        <v>35</v>
      </c>
      <c r="F6246" t="s">
        <v>47</v>
      </c>
      <c r="G6246" s="118">
        <v>2.2222222222222222E-3</v>
      </c>
      <c r="H6246" s="118">
        <v>8.564814814814815E-4</v>
      </c>
      <c r="I6246" s="118">
        <v>5.2083333333333333E-4</v>
      </c>
      <c r="J6246"/>
      <c r="K6246"/>
    </row>
    <row r="6247" spans="1:11" x14ac:dyDescent="0.25">
      <c r="A6247">
        <v>5</v>
      </c>
      <c r="B6247">
        <v>23</v>
      </c>
      <c r="C6247"/>
      <c r="D6247" t="s">
        <v>31</v>
      </c>
      <c r="E6247" t="s">
        <v>32</v>
      </c>
      <c r="F6247" t="s">
        <v>39</v>
      </c>
      <c r="G6247" s="118">
        <v>2.2569444444444447E-3</v>
      </c>
      <c r="H6247" s="118">
        <v>5.2083333333333333E-4</v>
      </c>
      <c r="I6247" s="118">
        <v>1.8055555555555557E-3</v>
      </c>
      <c r="J6247" s="118">
        <v>7.1296296296296307E-3</v>
      </c>
      <c r="K6247" s="118">
        <v>0.01</v>
      </c>
    </row>
    <row r="6248" spans="1:11" x14ac:dyDescent="0.25">
      <c r="A6248">
        <v>4</v>
      </c>
      <c r="B6248">
        <v>22</v>
      </c>
      <c r="C6248"/>
      <c r="D6248" t="s">
        <v>31</v>
      </c>
      <c r="E6248" t="s">
        <v>35</v>
      </c>
      <c r="F6248" t="s">
        <v>44</v>
      </c>
      <c r="G6248" s="118">
        <v>2.4652777777777776E-3</v>
      </c>
      <c r="H6248" s="118">
        <v>1.0069444444444444E-3</v>
      </c>
      <c r="I6248" s="118">
        <v>3.4722222222222224E-4</v>
      </c>
      <c r="J6248"/>
      <c r="K6248"/>
    </row>
    <row r="6249" spans="1:11" x14ac:dyDescent="0.25">
      <c r="A6249">
        <v>2</v>
      </c>
      <c r="B6249">
        <v>22</v>
      </c>
      <c r="C6249"/>
      <c r="D6249" t="s">
        <v>31</v>
      </c>
      <c r="E6249" t="s">
        <v>35</v>
      </c>
      <c r="F6249" t="s">
        <v>54</v>
      </c>
      <c r="G6249" s="118">
        <v>2.5347222222222221E-3</v>
      </c>
      <c r="H6249" s="118">
        <v>8.6805555555555551E-4</v>
      </c>
      <c r="I6249" s="118">
        <v>3.4722222222222224E-4</v>
      </c>
      <c r="J6249"/>
      <c r="K6249"/>
    </row>
    <row r="6250" spans="1:11" x14ac:dyDescent="0.25">
      <c r="A6250">
        <v>1</v>
      </c>
      <c r="B6250">
        <v>22</v>
      </c>
      <c r="C6250"/>
      <c r="D6250" t="s">
        <v>31</v>
      </c>
      <c r="E6250" t="s">
        <v>32</v>
      </c>
      <c r="F6250" t="s">
        <v>47</v>
      </c>
      <c r="G6250" s="118">
        <v>2.7430555555555559E-3</v>
      </c>
      <c r="H6250" s="118">
        <v>5.2083333333333333E-4</v>
      </c>
      <c r="I6250" s="118">
        <v>8.7962962962962962E-4</v>
      </c>
      <c r="J6250" s="118">
        <v>0.01</v>
      </c>
      <c r="K6250"/>
    </row>
    <row r="6251" spans="1:11" x14ac:dyDescent="0.25">
      <c r="A6251">
        <v>9</v>
      </c>
      <c r="B6251">
        <v>9</v>
      </c>
      <c r="C6251"/>
      <c r="D6251" t="s">
        <v>31</v>
      </c>
      <c r="E6251" t="s">
        <v>35</v>
      </c>
      <c r="F6251" t="s">
        <v>50</v>
      </c>
      <c r="G6251" s="118">
        <v>2.7893518518518519E-3</v>
      </c>
      <c r="H6251" s="118">
        <v>1.1458333333333333E-3</v>
      </c>
      <c r="I6251" s="118">
        <v>3.4722222222222224E-4</v>
      </c>
      <c r="J6251"/>
      <c r="K6251"/>
    </row>
    <row r="6252" spans="1:11" x14ac:dyDescent="0.25">
      <c r="A6252">
        <v>4</v>
      </c>
      <c r="B6252">
        <v>22</v>
      </c>
      <c r="C6252"/>
      <c r="D6252" t="s">
        <v>31</v>
      </c>
      <c r="E6252" t="s">
        <v>32</v>
      </c>
      <c r="F6252" t="s">
        <v>44</v>
      </c>
      <c r="G6252" s="118">
        <v>2.8124999999999995E-3</v>
      </c>
      <c r="H6252" s="118">
        <v>3.4722222222222224E-4</v>
      </c>
      <c r="I6252" s="118">
        <v>9.2592592592592585E-4</v>
      </c>
      <c r="J6252" s="118">
        <v>7.0717592592592594E-3</v>
      </c>
      <c r="K6252"/>
    </row>
    <row r="6253" spans="1:11" x14ac:dyDescent="0.25">
      <c r="A6253">
        <v>2</v>
      </c>
      <c r="B6253">
        <v>22</v>
      </c>
      <c r="C6253"/>
      <c r="D6253" t="s">
        <v>31</v>
      </c>
      <c r="E6253" t="s">
        <v>32</v>
      </c>
      <c r="F6253" t="s">
        <v>54</v>
      </c>
      <c r="G6253" s="118">
        <v>2.8819444444444444E-3</v>
      </c>
      <c r="H6253" s="118">
        <v>3.4722222222222224E-4</v>
      </c>
      <c r="I6253" s="118">
        <v>6.9444444444444447E-4</v>
      </c>
      <c r="J6253" s="118">
        <v>7.0717592592592594E-3</v>
      </c>
      <c r="K6253" s="118">
        <v>7.0717592592592594E-3</v>
      </c>
    </row>
    <row r="6254" spans="1:11" x14ac:dyDescent="0.25">
      <c r="A6254">
        <v>9</v>
      </c>
      <c r="B6254">
        <v>9</v>
      </c>
      <c r="C6254"/>
      <c r="D6254" t="s">
        <v>31</v>
      </c>
      <c r="E6254" t="s">
        <v>32</v>
      </c>
      <c r="F6254" t="s">
        <v>50</v>
      </c>
      <c r="G6254" s="118">
        <v>3.1365740740740742E-3</v>
      </c>
      <c r="H6254" s="118">
        <v>3.4722222222222224E-4</v>
      </c>
      <c r="I6254" s="118">
        <v>1.261574074074074E-3</v>
      </c>
      <c r="J6254" s="118">
        <v>7.0717592592592594E-3</v>
      </c>
      <c r="K6254" s="118">
        <v>7.0717592592592594E-3</v>
      </c>
    </row>
    <row r="6255" spans="1:11" x14ac:dyDescent="0.25">
      <c r="A6255">
        <v>2</v>
      </c>
      <c r="B6255">
        <v>22</v>
      </c>
      <c r="C6255"/>
      <c r="D6255" t="s">
        <v>31</v>
      </c>
      <c r="E6255" t="s">
        <v>35</v>
      </c>
      <c r="F6255" t="s">
        <v>92</v>
      </c>
      <c r="G6255" s="118">
        <v>3.5763888888888894E-3</v>
      </c>
      <c r="H6255" s="118">
        <v>6.9444444444444447E-4</v>
      </c>
      <c r="I6255"/>
      <c r="J6255"/>
      <c r="K6255"/>
    </row>
    <row r="6256" spans="1:11" x14ac:dyDescent="0.25">
      <c r="A6256">
        <v>1</v>
      </c>
      <c r="B6256">
        <v>22</v>
      </c>
      <c r="C6256"/>
      <c r="D6256" t="s">
        <v>31</v>
      </c>
      <c r="E6256" t="s">
        <v>35</v>
      </c>
      <c r="F6256" t="s">
        <v>53</v>
      </c>
      <c r="G6256" s="118">
        <v>3.6226851851851854E-3</v>
      </c>
      <c r="H6256" s="118">
        <v>8.7962962962962962E-4</v>
      </c>
      <c r="I6256" s="118">
        <v>3.4722222222222224E-4</v>
      </c>
      <c r="J6256"/>
      <c r="K6256"/>
    </row>
    <row r="6257" spans="1:11" x14ac:dyDescent="0.25">
      <c r="A6257">
        <v>4</v>
      </c>
      <c r="B6257">
        <v>22</v>
      </c>
      <c r="C6257"/>
      <c r="D6257" t="s">
        <v>31</v>
      </c>
      <c r="E6257" t="s">
        <v>35</v>
      </c>
      <c r="F6257" t="s">
        <v>49</v>
      </c>
      <c r="G6257" s="118">
        <v>3.7384259259259263E-3</v>
      </c>
      <c r="H6257" s="118">
        <v>9.2592592592592585E-4</v>
      </c>
      <c r="I6257" s="118">
        <v>3.4722222222222224E-4</v>
      </c>
      <c r="J6257"/>
      <c r="K6257"/>
    </row>
    <row r="6258" spans="1:11" x14ac:dyDescent="0.25">
      <c r="A6258">
        <v>1</v>
      </c>
      <c r="B6258">
        <v>22</v>
      </c>
      <c r="C6258"/>
      <c r="D6258" t="s">
        <v>31</v>
      </c>
      <c r="E6258" t="s">
        <v>32</v>
      </c>
      <c r="F6258" t="s">
        <v>53</v>
      </c>
      <c r="G6258" s="118">
        <v>3.9699074074074072E-3</v>
      </c>
      <c r="H6258" s="118">
        <v>3.4722222222222224E-4</v>
      </c>
      <c r="I6258" s="118">
        <v>8.449074074074075E-4</v>
      </c>
      <c r="J6258" s="118">
        <v>0.01</v>
      </c>
      <c r="K6258"/>
    </row>
    <row r="6259" spans="1:11" x14ac:dyDescent="0.25">
      <c r="A6259">
        <v>5</v>
      </c>
      <c r="B6259">
        <v>23</v>
      </c>
      <c r="C6259"/>
      <c r="D6259" t="s">
        <v>31</v>
      </c>
      <c r="E6259" t="s">
        <v>35</v>
      </c>
      <c r="F6259" t="s">
        <v>46</v>
      </c>
      <c r="G6259" s="118">
        <v>4.0624999999999993E-3</v>
      </c>
      <c r="H6259" s="118">
        <v>1.8055555555555557E-3</v>
      </c>
      <c r="I6259" s="118">
        <v>3.4722222222222224E-4</v>
      </c>
      <c r="J6259"/>
      <c r="K6259"/>
    </row>
    <row r="6260" spans="1:11" x14ac:dyDescent="0.25">
      <c r="A6260">
        <v>4</v>
      </c>
      <c r="B6260">
        <v>22</v>
      </c>
      <c r="C6260"/>
      <c r="D6260" t="s">
        <v>31</v>
      </c>
      <c r="E6260" t="s">
        <v>32</v>
      </c>
      <c r="F6260" t="s">
        <v>49</v>
      </c>
      <c r="G6260" s="118">
        <v>4.0856481481481481E-3</v>
      </c>
      <c r="H6260" s="118">
        <v>3.4722222222222224E-4</v>
      </c>
      <c r="I6260" s="118">
        <v>1.3541666666666667E-3</v>
      </c>
      <c r="J6260" s="118">
        <v>7.0717592592592594E-3</v>
      </c>
      <c r="K6260"/>
    </row>
    <row r="6261" spans="1:11" x14ac:dyDescent="0.25">
      <c r="A6261">
        <v>9</v>
      </c>
      <c r="B6261">
        <v>9</v>
      </c>
      <c r="C6261"/>
      <c r="D6261" t="s">
        <v>31</v>
      </c>
      <c r="E6261" t="s">
        <v>35</v>
      </c>
      <c r="F6261" t="s">
        <v>56</v>
      </c>
      <c r="G6261" s="118">
        <v>4.3981481481481484E-3</v>
      </c>
      <c r="H6261" s="118">
        <v>1.261574074074074E-3</v>
      </c>
      <c r="I6261" s="118">
        <v>3.4722222222222224E-4</v>
      </c>
      <c r="J6261"/>
      <c r="K6261"/>
    </row>
    <row r="6262" spans="1:11" x14ac:dyDescent="0.25">
      <c r="A6262">
        <v>5</v>
      </c>
      <c r="B6262">
        <v>23</v>
      </c>
      <c r="C6262"/>
      <c r="D6262" t="s">
        <v>31</v>
      </c>
      <c r="E6262" t="s">
        <v>32</v>
      </c>
      <c r="F6262" t="s">
        <v>46</v>
      </c>
      <c r="G6262" s="118">
        <v>4.409722222222222E-3</v>
      </c>
      <c r="H6262" s="118">
        <v>3.4722222222222224E-4</v>
      </c>
      <c r="I6262" s="118">
        <v>9.1435185185185185E-4</v>
      </c>
      <c r="J6262" s="118">
        <v>7.1296296296296307E-3</v>
      </c>
      <c r="K6262" s="118">
        <v>0.01</v>
      </c>
    </row>
    <row r="6263" spans="1:11" x14ac:dyDescent="0.25">
      <c r="A6263">
        <v>9</v>
      </c>
      <c r="B6263">
        <v>9</v>
      </c>
      <c r="C6263"/>
      <c r="D6263" t="s">
        <v>31</v>
      </c>
      <c r="E6263" t="s">
        <v>32</v>
      </c>
      <c r="F6263" t="s">
        <v>56</v>
      </c>
      <c r="G6263" s="118">
        <v>4.7453703703703703E-3</v>
      </c>
      <c r="H6263" s="118">
        <v>3.4722222222222224E-4</v>
      </c>
      <c r="I6263" s="118">
        <v>9.6064814814814808E-4</v>
      </c>
      <c r="J6263" s="118">
        <v>7.0717592592592594E-3</v>
      </c>
      <c r="K6263" s="118">
        <v>7.0717592592592594E-3</v>
      </c>
    </row>
    <row r="6264" spans="1:11" x14ac:dyDescent="0.25">
      <c r="A6264">
        <v>1</v>
      </c>
      <c r="B6264">
        <v>22</v>
      </c>
      <c r="C6264"/>
      <c r="D6264" t="s">
        <v>31</v>
      </c>
      <c r="E6264" t="s">
        <v>35</v>
      </c>
      <c r="F6264" t="s">
        <v>34</v>
      </c>
      <c r="G6264" s="118">
        <v>4.8148148148148152E-3</v>
      </c>
      <c r="H6264" s="118">
        <v>8.449074074074075E-4</v>
      </c>
      <c r="I6264" s="118">
        <v>3.4722222222222224E-4</v>
      </c>
      <c r="J6264"/>
      <c r="K6264"/>
    </row>
    <row r="6265" spans="1:11" x14ac:dyDescent="0.25">
      <c r="A6265">
        <v>1</v>
      </c>
      <c r="B6265">
        <v>22</v>
      </c>
      <c r="C6265"/>
      <c r="D6265" t="s">
        <v>31</v>
      </c>
      <c r="E6265" t="s">
        <v>32</v>
      </c>
      <c r="F6265" t="s">
        <v>34</v>
      </c>
      <c r="G6265" s="118">
        <v>5.162037037037037E-3</v>
      </c>
      <c r="H6265" s="118">
        <v>3.4722222222222224E-4</v>
      </c>
      <c r="I6265" s="118">
        <v>9.1435185185185185E-4</v>
      </c>
      <c r="J6265" s="118">
        <v>0.01</v>
      </c>
      <c r="K6265"/>
    </row>
    <row r="6266" spans="1:11" x14ac:dyDescent="0.25">
      <c r="A6266">
        <v>5</v>
      </c>
      <c r="B6266">
        <v>23</v>
      </c>
      <c r="C6266"/>
      <c r="D6266" t="s">
        <v>31</v>
      </c>
      <c r="E6266" t="s">
        <v>35</v>
      </c>
      <c r="F6266" t="s">
        <v>51</v>
      </c>
      <c r="G6266" s="118">
        <v>5.3240740740740748E-3</v>
      </c>
      <c r="H6266" s="118">
        <v>9.1435185185185185E-4</v>
      </c>
      <c r="I6266" s="118">
        <v>3.4722222222222224E-4</v>
      </c>
      <c r="J6266"/>
      <c r="K6266"/>
    </row>
    <row r="6267" spans="1:11" x14ac:dyDescent="0.25">
      <c r="A6267">
        <v>4</v>
      </c>
      <c r="B6267">
        <v>22</v>
      </c>
      <c r="C6267"/>
      <c r="D6267" t="s">
        <v>31</v>
      </c>
      <c r="E6267" t="s">
        <v>35</v>
      </c>
      <c r="F6267" t="s">
        <v>33</v>
      </c>
      <c r="G6267" s="118">
        <v>5.4398148148148149E-3</v>
      </c>
      <c r="H6267" s="118">
        <v>1.3541666666666667E-3</v>
      </c>
      <c r="I6267" s="118">
        <v>5.2083333333333333E-4</v>
      </c>
      <c r="J6267"/>
      <c r="K6267"/>
    </row>
    <row r="6268" spans="1:11" x14ac:dyDescent="0.25">
      <c r="A6268">
        <v>5</v>
      </c>
      <c r="B6268">
        <v>23</v>
      </c>
      <c r="C6268"/>
      <c r="D6268" t="s">
        <v>31</v>
      </c>
      <c r="E6268" t="s">
        <v>32</v>
      </c>
      <c r="F6268" t="s">
        <v>51</v>
      </c>
      <c r="G6268" s="118">
        <v>5.6712962962962958E-3</v>
      </c>
      <c r="H6268" s="118">
        <v>3.4722222222222224E-4</v>
      </c>
      <c r="I6268" s="118">
        <v>1.0069444444444444E-3</v>
      </c>
      <c r="J6268" s="118">
        <v>7.1296296296296307E-3</v>
      </c>
      <c r="K6268" s="118">
        <v>0.01</v>
      </c>
    </row>
    <row r="6269" spans="1:11" x14ac:dyDescent="0.25">
      <c r="A6269">
        <v>9</v>
      </c>
      <c r="B6269">
        <v>9</v>
      </c>
      <c r="C6269"/>
      <c r="D6269" t="s">
        <v>31</v>
      </c>
      <c r="E6269" t="s">
        <v>35</v>
      </c>
      <c r="F6269" t="s">
        <v>37</v>
      </c>
      <c r="G6269" s="118">
        <v>5.7060185185185191E-3</v>
      </c>
      <c r="H6269" s="118">
        <v>9.6064814814814808E-4</v>
      </c>
      <c r="I6269" s="118">
        <v>3.4722222222222224E-4</v>
      </c>
      <c r="J6269"/>
      <c r="K6269"/>
    </row>
    <row r="6270" spans="1:11" x14ac:dyDescent="0.25">
      <c r="A6270">
        <v>4</v>
      </c>
      <c r="B6270">
        <v>22</v>
      </c>
      <c r="C6270"/>
      <c r="D6270" t="s">
        <v>31</v>
      </c>
      <c r="E6270" t="s">
        <v>32</v>
      </c>
      <c r="F6270" t="s">
        <v>33</v>
      </c>
      <c r="G6270" s="118">
        <v>5.9606481481481489E-3</v>
      </c>
      <c r="H6270" s="118">
        <v>5.2083333333333333E-4</v>
      </c>
      <c r="I6270" s="118">
        <v>9.6064814814814808E-4</v>
      </c>
      <c r="J6270" s="118">
        <v>7.0717592592592594E-3</v>
      </c>
      <c r="K6270"/>
    </row>
    <row r="6271" spans="1:11" x14ac:dyDescent="0.25">
      <c r="A6271">
        <v>9</v>
      </c>
      <c r="B6271">
        <v>9</v>
      </c>
      <c r="C6271"/>
      <c r="D6271" t="s">
        <v>31</v>
      </c>
      <c r="E6271" t="s">
        <v>32</v>
      </c>
      <c r="F6271" t="s">
        <v>37</v>
      </c>
      <c r="G6271" s="118">
        <v>6.053240740740741E-3</v>
      </c>
      <c r="H6271" s="118">
        <v>3.4722222222222224E-4</v>
      </c>
      <c r="I6271" s="118">
        <v>9.0277777777777784E-4</v>
      </c>
      <c r="J6271" s="118">
        <v>7.0717592592592594E-3</v>
      </c>
      <c r="K6271" s="118">
        <v>7.0717592592592594E-3</v>
      </c>
    </row>
    <row r="6272" spans="1:11" x14ac:dyDescent="0.25">
      <c r="A6272">
        <v>1</v>
      </c>
      <c r="B6272">
        <v>22</v>
      </c>
      <c r="C6272"/>
      <c r="D6272" t="s">
        <v>31</v>
      </c>
      <c r="E6272" t="s">
        <v>35</v>
      </c>
      <c r="F6272" t="s">
        <v>38</v>
      </c>
      <c r="G6272" s="118">
        <v>6.076388888888889E-3</v>
      </c>
      <c r="H6272" s="118">
        <v>9.1435185185185185E-4</v>
      </c>
      <c r="I6272" s="118">
        <v>3.4722222222222224E-4</v>
      </c>
      <c r="J6272"/>
      <c r="K6272"/>
    </row>
    <row r="6273" spans="1:11" x14ac:dyDescent="0.25">
      <c r="A6273">
        <v>1</v>
      </c>
      <c r="B6273">
        <v>22</v>
      </c>
      <c r="C6273"/>
      <c r="D6273" t="s">
        <v>31</v>
      </c>
      <c r="E6273" t="s">
        <v>32</v>
      </c>
      <c r="F6273" t="s">
        <v>38</v>
      </c>
      <c r="G6273" s="118">
        <v>6.4236111111111117E-3</v>
      </c>
      <c r="H6273" s="118">
        <v>3.4722222222222224E-4</v>
      </c>
      <c r="I6273" s="118">
        <v>1.2384259259259258E-3</v>
      </c>
      <c r="J6273" s="118">
        <v>0.01</v>
      </c>
      <c r="K6273"/>
    </row>
    <row r="6274" spans="1:11" x14ac:dyDescent="0.25">
      <c r="A6274">
        <v>5</v>
      </c>
      <c r="B6274">
        <v>23</v>
      </c>
      <c r="C6274"/>
      <c r="D6274" t="s">
        <v>31</v>
      </c>
      <c r="E6274" t="s">
        <v>35</v>
      </c>
      <c r="F6274" t="s">
        <v>55</v>
      </c>
      <c r="G6274" s="118">
        <v>6.6782407407407415E-3</v>
      </c>
      <c r="H6274" s="118">
        <v>1.0069444444444444E-3</v>
      </c>
      <c r="I6274"/>
      <c r="J6274"/>
      <c r="K6274"/>
    </row>
    <row r="6275" spans="1:11" x14ac:dyDescent="0.25">
      <c r="A6275">
        <v>4</v>
      </c>
      <c r="B6275">
        <v>22</v>
      </c>
      <c r="C6275"/>
      <c r="D6275" t="s">
        <v>31</v>
      </c>
      <c r="E6275" t="s">
        <v>35</v>
      </c>
      <c r="F6275" t="s">
        <v>36</v>
      </c>
      <c r="G6275" s="118">
        <v>6.9212962962962969E-3</v>
      </c>
      <c r="H6275" s="118">
        <v>9.6064814814814808E-4</v>
      </c>
      <c r="I6275" s="118">
        <v>3.4722222222222224E-4</v>
      </c>
      <c r="J6275"/>
      <c r="K6275"/>
    </row>
    <row r="6276" spans="1:11" x14ac:dyDescent="0.25">
      <c r="A6276">
        <v>9</v>
      </c>
      <c r="B6276">
        <v>9</v>
      </c>
      <c r="C6276"/>
      <c r="D6276" t="s">
        <v>31</v>
      </c>
      <c r="E6276" t="s">
        <v>35</v>
      </c>
      <c r="F6276" t="s">
        <v>42</v>
      </c>
      <c r="G6276" s="118">
        <v>6.9560185185185185E-3</v>
      </c>
      <c r="H6276" s="118">
        <v>9.0277777777777784E-4</v>
      </c>
      <c r="I6276" s="118">
        <v>3.4722222222222224E-4</v>
      </c>
      <c r="J6276"/>
      <c r="K6276"/>
    </row>
    <row r="6277" spans="1:11" x14ac:dyDescent="0.25">
      <c r="A6277">
        <v>4</v>
      </c>
      <c r="B6277">
        <v>22</v>
      </c>
      <c r="C6277"/>
      <c r="D6277" t="s">
        <v>31</v>
      </c>
      <c r="E6277" t="s">
        <v>32</v>
      </c>
      <c r="F6277" t="s">
        <v>36</v>
      </c>
      <c r="G6277" s="118">
        <v>7.2685185185185188E-3</v>
      </c>
      <c r="H6277" s="118">
        <v>3.4722222222222224E-4</v>
      </c>
      <c r="I6277" s="118">
        <v>1.0995370370370371E-3</v>
      </c>
      <c r="J6277" s="118">
        <v>7.0717592592592594E-3</v>
      </c>
      <c r="K6277"/>
    </row>
    <row r="6278" spans="1:11" x14ac:dyDescent="0.25">
      <c r="A6278">
        <v>9</v>
      </c>
      <c r="B6278">
        <v>9</v>
      </c>
      <c r="C6278"/>
      <c r="D6278" t="s">
        <v>31</v>
      </c>
      <c r="E6278" t="s">
        <v>32</v>
      </c>
      <c r="F6278" t="s">
        <v>42</v>
      </c>
      <c r="G6278" s="118">
        <v>7.3032407407407412E-3</v>
      </c>
      <c r="H6278" s="118">
        <v>3.4722222222222224E-4</v>
      </c>
      <c r="I6278" s="118">
        <v>9.1435185185185185E-4</v>
      </c>
      <c r="J6278" s="118">
        <v>7.0717592592592594E-3</v>
      </c>
      <c r="K6278" s="118">
        <v>7.0717592592592594E-3</v>
      </c>
    </row>
    <row r="6279" spans="1:11" x14ac:dyDescent="0.25">
      <c r="A6279">
        <v>1</v>
      </c>
      <c r="B6279">
        <v>22</v>
      </c>
      <c r="C6279"/>
      <c r="D6279" t="s">
        <v>31</v>
      </c>
      <c r="E6279" t="s">
        <v>35</v>
      </c>
      <c r="F6279" t="s">
        <v>45</v>
      </c>
      <c r="G6279" s="118">
        <v>7.6620370370370366E-3</v>
      </c>
      <c r="H6279" s="118">
        <v>1.2384259259259258E-3</v>
      </c>
      <c r="I6279" s="118">
        <v>3.4722222222222224E-4</v>
      </c>
      <c r="J6279"/>
      <c r="K6279"/>
    </row>
    <row r="6280" spans="1:11" x14ac:dyDescent="0.25">
      <c r="A6280">
        <v>1</v>
      </c>
      <c r="B6280">
        <v>22</v>
      </c>
      <c r="C6280"/>
      <c r="D6280" t="s">
        <v>31</v>
      </c>
      <c r="E6280" t="s">
        <v>32</v>
      </c>
      <c r="F6280" t="s">
        <v>45</v>
      </c>
      <c r="G6280" s="118">
        <v>8.0092592592592594E-3</v>
      </c>
      <c r="H6280" s="118">
        <v>3.4722222222222224E-4</v>
      </c>
      <c r="I6280" s="118">
        <v>1.0416666666666667E-3</v>
      </c>
      <c r="J6280" s="118">
        <v>0.01</v>
      </c>
      <c r="K6280"/>
    </row>
    <row r="6281" spans="1:11" x14ac:dyDescent="0.25">
      <c r="A6281">
        <v>9</v>
      </c>
      <c r="B6281">
        <v>9</v>
      </c>
      <c r="C6281"/>
      <c r="D6281" t="s">
        <v>31</v>
      </c>
      <c r="E6281" t="s">
        <v>35</v>
      </c>
      <c r="F6281" t="s">
        <v>48</v>
      </c>
      <c r="G6281" s="118">
        <v>8.217592592592594E-3</v>
      </c>
      <c r="H6281" s="118">
        <v>9.1435185185185185E-4</v>
      </c>
      <c r="I6281" s="118">
        <v>5.2083333333333333E-4</v>
      </c>
      <c r="J6281"/>
      <c r="K6281"/>
    </row>
    <row r="6282" spans="1:11" x14ac:dyDescent="0.25">
      <c r="A6282">
        <v>4</v>
      </c>
      <c r="B6282">
        <v>22</v>
      </c>
      <c r="C6282"/>
      <c r="D6282" t="s">
        <v>31</v>
      </c>
      <c r="E6282" t="s">
        <v>35</v>
      </c>
      <c r="F6282" t="s">
        <v>43</v>
      </c>
      <c r="G6282" s="118">
        <v>8.3680555555555557E-3</v>
      </c>
      <c r="H6282" s="118">
        <v>1.0995370370370371E-3</v>
      </c>
      <c r="I6282" s="118">
        <v>3.4722222222222224E-4</v>
      </c>
      <c r="J6282"/>
      <c r="K6282"/>
    </row>
    <row r="6283" spans="1:11" x14ac:dyDescent="0.25">
      <c r="A6283">
        <v>4</v>
      </c>
      <c r="B6283">
        <v>22</v>
      </c>
      <c r="C6283"/>
      <c r="D6283" t="s">
        <v>31</v>
      </c>
      <c r="E6283" t="s">
        <v>32</v>
      </c>
      <c r="F6283" t="s">
        <v>43</v>
      </c>
      <c r="G6283" s="118">
        <v>8.7152777777777784E-3</v>
      </c>
      <c r="H6283" s="118">
        <v>3.4722222222222224E-4</v>
      </c>
      <c r="I6283" s="118">
        <v>1.1458333333333333E-3</v>
      </c>
      <c r="J6283" s="118">
        <v>7.0717592592592594E-3</v>
      </c>
      <c r="K6283"/>
    </row>
    <row r="6284" spans="1:11" x14ac:dyDescent="0.25">
      <c r="A6284">
        <v>9</v>
      </c>
      <c r="B6284">
        <v>9</v>
      </c>
      <c r="C6284"/>
      <c r="D6284" t="s">
        <v>31</v>
      </c>
      <c r="E6284" t="s">
        <v>32</v>
      </c>
      <c r="F6284" t="s">
        <v>48</v>
      </c>
      <c r="G6284" s="118">
        <v>8.7384259259259255E-3</v>
      </c>
      <c r="H6284" s="118">
        <v>5.2083333333333333E-4</v>
      </c>
      <c r="I6284" s="118">
        <v>8.6805555555555551E-4</v>
      </c>
      <c r="J6284" s="118">
        <v>7.0717592592592594E-3</v>
      </c>
      <c r="K6284" s="118">
        <v>7.0717592592592594E-3</v>
      </c>
    </row>
    <row r="6285" spans="1:11" x14ac:dyDescent="0.25">
      <c r="A6285">
        <v>1</v>
      </c>
      <c r="B6285">
        <v>22</v>
      </c>
      <c r="C6285"/>
      <c r="D6285" t="s">
        <v>31</v>
      </c>
      <c r="E6285" t="s">
        <v>35</v>
      </c>
      <c r="F6285" t="s">
        <v>52</v>
      </c>
      <c r="G6285" s="118">
        <v>9.0509259259259258E-3</v>
      </c>
      <c r="H6285" s="118">
        <v>1.0416666666666667E-3</v>
      </c>
      <c r="I6285" s="118">
        <v>3.4722222222222224E-4</v>
      </c>
      <c r="J6285"/>
      <c r="K6285"/>
    </row>
    <row r="6286" spans="1:11" x14ac:dyDescent="0.25">
      <c r="A6286">
        <v>1</v>
      </c>
      <c r="B6286">
        <v>22</v>
      </c>
      <c r="C6286"/>
      <c r="D6286" t="s">
        <v>31</v>
      </c>
      <c r="E6286" t="s">
        <v>32</v>
      </c>
      <c r="F6286" t="s">
        <v>52</v>
      </c>
      <c r="G6286" s="118">
        <v>9.3981481481481485E-3</v>
      </c>
      <c r="H6286" s="118">
        <v>3.4722222222222224E-4</v>
      </c>
      <c r="I6286" s="118">
        <v>1.0532407407407407E-3</v>
      </c>
      <c r="J6286" s="118">
        <v>0.01</v>
      </c>
      <c r="K6286"/>
    </row>
    <row r="6287" spans="1:11" x14ac:dyDescent="0.25">
      <c r="A6287">
        <v>9</v>
      </c>
      <c r="B6287">
        <v>9</v>
      </c>
      <c r="C6287"/>
      <c r="D6287" t="s">
        <v>31</v>
      </c>
      <c r="E6287" t="s">
        <v>35</v>
      </c>
      <c r="F6287" t="s">
        <v>54</v>
      </c>
      <c r="G6287" s="118">
        <v>9.6064814814814815E-3</v>
      </c>
      <c r="H6287" s="118">
        <v>8.6805555555555551E-4</v>
      </c>
      <c r="I6287" s="118">
        <v>3.4722222222222224E-4</v>
      </c>
      <c r="J6287"/>
      <c r="K6287"/>
    </row>
    <row r="6288" spans="1:11" x14ac:dyDescent="0.25">
      <c r="A6288">
        <v>4</v>
      </c>
      <c r="B6288">
        <v>22</v>
      </c>
      <c r="C6288"/>
      <c r="D6288" t="s">
        <v>31</v>
      </c>
      <c r="E6288" t="s">
        <v>35</v>
      </c>
      <c r="F6288" t="s">
        <v>50</v>
      </c>
      <c r="G6288" s="118">
        <v>9.8611111111111104E-3</v>
      </c>
      <c r="H6288" s="118">
        <v>1.1458333333333333E-3</v>
      </c>
      <c r="I6288" s="118">
        <v>3.4722222222222224E-4</v>
      </c>
      <c r="J6288"/>
      <c r="K6288"/>
    </row>
    <row r="6289" spans="1:11" x14ac:dyDescent="0.25">
      <c r="A6289">
        <v>9</v>
      </c>
      <c r="B6289">
        <v>9</v>
      </c>
      <c r="C6289"/>
      <c r="D6289" t="s">
        <v>31</v>
      </c>
      <c r="E6289" t="s">
        <v>32</v>
      </c>
      <c r="F6289" t="s">
        <v>54</v>
      </c>
      <c r="G6289" s="118">
        <v>9.9537037037037042E-3</v>
      </c>
      <c r="H6289" s="118">
        <v>3.4722222222222224E-4</v>
      </c>
      <c r="I6289" s="118">
        <v>6.9444444444444447E-4</v>
      </c>
      <c r="J6289" s="118">
        <v>7.0717592592592594E-3</v>
      </c>
      <c r="K6289" s="118">
        <v>7.0717592592592594E-3</v>
      </c>
    </row>
    <row r="6290" spans="1:11" x14ac:dyDescent="0.25">
      <c r="A6290">
        <v>4</v>
      </c>
      <c r="B6290">
        <v>22</v>
      </c>
      <c r="C6290"/>
      <c r="D6290" t="s">
        <v>31</v>
      </c>
      <c r="E6290" t="s">
        <v>32</v>
      </c>
      <c r="F6290" t="s">
        <v>50</v>
      </c>
      <c r="G6290" s="118">
        <v>1.0208333333333333E-2</v>
      </c>
      <c r="H6290" s="118">
        <v>3.4722222222222224E-4</v>
      </c>
      <c r="I6290" s="118">
        <v>1.261574074074074E-3</v>
      </c>
      <c r="J6290" s="118">
        <v>7.0717592592592594E-3</v>
      </c>
      <c r="K6290"/>
    </row>
    <row r="6291" spans="1:11" x14ac:dyDescent="0.25">
      <c r="A6291">
        <v>1</v>
      </c>
      <c r="B6291">
        <v>22</v>
      </c>
      <c r="C6291"/>
      <c r="D6291" t="s">
        <v>31</v>
      </c>
      <c r="E6291" t="s">
        <v>35</v>
      </c>
      <c r="F6291" t="s">
        <v>57</v>
      </c>
      <c r="G6291" s="118">
        <v>1.045138888888889E-2</v>
      </c>
      <c r="H6291" s="118">
        <v>1.0532407407407407E-3</v>
      </c>
      <c r="I6291" s="118">
        <v>3.4722222222222224E-4</v>
      </c>
      <c r="J6291"/>
      <c r="K6291"/>
    </row>
    <row r="6292" spans="1:11" x14ac:dyDescent="0.25">
      <c r="A6292">
        <v>9</v>
      </c>
      <c r="B6292">
        <v>9</v>
      </c>
      <c r="C6292"/>
      <c r="D6292" t="s">
        <v>31</v>
      </c>
      <c r="E6292" t="s">
        <v>35</v>
      </c>
      <c r="F6292" t="s">
        <v>92</v>
      </c>
      <c r="G6292" s="118">
        <v>1.064814814814815E-2</v>
      </c>
      <c r="H6292" s="118">
        <v>6.9444444444444447E-4</v>
      </c>
      <c r="I6292"/>
      <c r="J6292"/>
      <c r="K6292"/>
    </row>
    <row r="6293" spans="1:11" x14ac:dyDescent="0.25">
      <c r="A6293">
        <v>1</v>
      </c>
      <c r="B6293">
        <v>22</v>
      </c>
      <c r="C6293"/>
      <c r="D6293" t="s">
        <v>31</v>
      </c>
      <c r="E6293" t="s">
        <v>32</v>
      </c>
      <c r="F6293" t="s">
        <v>57</v>
      </c>
      <c r="G6293" s="118">
        <v>1.0798611111111111E-2</v>
      </c>
      <c r="H6293" s="118">
        <v>3.4722222222222224E-4</v>
      </c>
      <c r="I6293" s="118">
        <v>9.3750000000000007E-4</v>
      </c>
      <c r="J6293" s="118">
        <v>0.01</v>
      </c>
      <c r="K6293"/>
    </row>
    <row r="6294" spans="1:11" x14ac:dyDescent="0.25">
      <c r="A6294">
        <v>4</v>
      </c>
      <c r="B6294">
        <v>22</v>
      </c>
      <c r="C6294"/>
      <c r="D6294" t="s">
        <v>31</v>
      </c>
      <c r="E6294" t="s">
        <v>35</v>
      </c>
      <c r="F6294" t="s">
        <v>56</v>
      </c>
      <c r="G6294" s="118">
        <v>1.1469907407407408E-2</v>
      </c>
      <c r="H6294" s="118">
        <v>1.261574074074074E-3</v>
      </c>
      <c r="I6294" s="118">
        <v>3.4722222222222224E-4</v>
      </c>
      <c r="J6294"/>
      <c r="K6294"/>
    </row>
    <row r="6295" spans="1:11" x14ac:dyDescent="0.25">
      <c r="A6295">
        <v>1</v>
      </c>
      <c r="B6295">
        <v>22</v>
      </c>
      <c r="C6295"/>
      <c r="D6295" t="s">
        <v>31</v>
      </c>
      <c r="E6295" t="s">
        <v>35</v>
      </c>
      <c r="F6295" t="s">
        <v>39</v>
      </c>
      <c r="G6295" s="118">
        <v>1.1736111111111109E-2</v>
      </c>
      <c r="H6295" s="118">
        <v>9.3750000000000007E-4</v>
      </c>
      <c r="I6295" s="118">
        <v>5.2083333333333333E-4</v>
      </c>
      <c r="J6295"/>
      <c r="K6295"/>
    </row>
    <row r="6296" spans="1:11" x14ac:dyDescent="0.25">
      <c r="A6296">
        <v>4</v>
      </c>
      <c r="B6296">
        <v>22</v>
      </c>
      <c r="C6296"/>
      <c r="D6296" t="s">
        <v>31</v>
      </c>
      <c r="E6296" t="s">
        <v>32</v>
      </c>
      <c r="F6296" t="s">
        <v>56</v>
      </c>
      <c r="G6296" s="118">
        <v>1.1817129629629629E-2</v>
      </c>
      <c r="H6296" s="118">
        <v>3.4722222222222224E-4</v>
      </c>
      <c r="I6296" s="118">
        <v>9.6064814814814808E-4</v>
      </c>
      <c r="J6296" s="118">
        <v>7.0717592592592594E-3</v>
      </c>
      <c r="K6296"/>
    </row>
    <row r="6297" spans="1:11" x14ac:dyDescent="0.25">
      <c r="A6297">
        <v>1</v>
      </c>
      <c r="B6297">
        <v>22</v>
      </c>
      <c r="C6297"/>
      <c r="D6297" t="s">
        <v>31</v>
      </c>
      <c r="E6297" t="s">
        <v>32</v>
      </c>
      <c r="F6297" t="s">
        <v>39</v>
      </c>
      <c r="G6297" s="118">
        <v>1.2256944444444444E-2</v>
      </c>
      <c r="H6297" s="118">
        <v>5.2083333333333333E-4</v>
      </c>
      <c r="I6297" s="118">
        <v>1.8055555555555557E-3</v>
      </c>
      <c r="J6297" s="118">
        <v>0.01</v>
      </c>
      <c r="K6297"/>
    </row>
    <row r="6298" spans="1:11" x14ac:dyDescent="0.25">
      <c r="A6298">
        <v>4</v>
      </c>
      <c r="B6298">
        <v>22</v>
      </c>
      <c r="C6298"/>
      <c r="D6298" t="s">
        <v>31</v>
      </c>
      <c r="E6298" t="s">
        <v>35</v>
      </c>
      <c r="F6298" t="s">
        <v>37</v>
      </c>
      <c r="G6298" s="118">
        <v>1.2777777777777777E-2</v>
      </c>
      <c r="H6298" s="118">
        <v>9.6064814814814808E-4</v>
      </c>
      <c r="I6298" s="118">
        <v>3.4722222222222224E-4</v>
      </c>
      <c r="J6298"/>
      <c r="K6298"/>
    </row>
    <row r="6299" spans="1:11" x14ac:dyDescent="0.25">
      <c r="A6299">
        <v>4</v>
      </c>
      <c r="B6299">
        <v>22</v>
      </c>
      <c r="C6299"/>
      <c r="D6299" t="s">
        <v>31</v>
      </c>
      <c r="E6299" t="s">
        <v>32</v>
      </c>
      <c r="F6299" t="s">
        <v>37</v>
      </c>
      <c r="G6299" s="118">
        <v>1.3125E-2</v>
      </c>
      <c r="H6299" s="118">
        <v>3.4722222222222224E-4</v>
      </c>
      <c r="I6299" s="118">
        <v>9.0277777777777784E-4</v>
      </c>
      <c r="J6299" s="118">
        <v>7.0717592592592594E-3</v>
      </c>
      <c r="K6299"/>
    </row>
    <row r="6300" spans="1:11" x14ac:dyDescent="0.25">
      <c r="A6300">
        <v>4</v>
      </c>
      <c r="B6300">
        <v>22</v>
      </c>
      <c r="C6300"/>
      <c r="D6300" t="s">
        <v>31</v>
      </c>
      <c r="E6300" t="s">
        <v>35</v>
      </c>
      <c r="F6300" t="s">
        <v>42</v>
      </c>
      <c r="G6300" s="118">
        <v>1.4027777777777778E-2</v>
      </c>
      <c r="H6300" s="118">
        <v>9.0277777777777784E-4</v>
      </c>
      <c r="I6300" s="118">
        <v>3.4722222222222224E-4</v>
      </c>
      <c r="J6300"/>
      <c r="K6300"/>
    </row>
    <row r="6301" spans="1:11" x14ac:dyDescent="0.25">
      <c r="A6301">
        <v>1</v>
      </c>
      <c r="B6301">
        <v>22</v>
      </c>
      <c r="C6301"/>
      <c r="D6301" t="s">
        <v>31</v>
      </c>
      <c r="E6301" t="s">
        <v>35</v>
      </c>
      <c r="F6301" t="s">
        <v>46</v>
      </c>
      <c r="G6301" s="118">
        <v>1.40625E-2</v>
      </c>
      <c r="H6301" s="118">
        <v>1.8055555555555557E-3</v>
      </c>
      <c r="I6301" s="118">
        <v>3.4722222222222224E-4</v>
      </c>
      <c r="J6301"/>
      <c r="K6301"/>
    </row>
    <row r="6302" spans="1:11" x14ac:dyDescent="0.25">
      <c r="A6302">
        <v>4</v>
      </c>
      <c r="B6302">
        <v>22</v>
      </c>
      <c r="C6302"/>
      <c r="D6302" t="s">
        <v>31</v>
      </c>
      <c r="E6302" t="s">
        <v>32</v>
      </c>
      <c r="F6302" t="s">
        <v>42</v>
      </c>
      <c r="G6302" s="118">
        <v>1.4374999999999999E-2</v>
      </c>
      <c r="H6302" s="118">
        <v>3.4722222222222224E-4</v>
      </c>
      <c r="I6302" s="118">
        <v>9.1435185185185185E-4</v>
      </c>
      <c r="J6302" s="118">
        <v>7.0717592592592594E-3</v>
      </c>
      <c r="K6302"/>
    </row>
    <row r="6303" spans="1:11" x14ac:dyDescent="0.25">
      <c r="A6303">
        <v>1</v>
      </c>
      <c r="B6303">
        <v>22</v>
      </c>
      <c r="C6303"/>
      <c r="D6303" t="s">
        <v>31</v>
      </c>
      <c r="E6303" t="s">
        <v>32</v>
      </c>
      <c r="F6303" t="s">
        <v>46</v>
      </c>
      <c r="G6303" s="118">
        <v>1.4409722222222221E-2</v>
      </c>
      <c r="H6303" s="118">
        <v>3.4722222222222224E-4</v>
      </c>
      <c r="I6303" s="118">
        <v>9.1435185185185185E-4</v>
      </c>
      <c r="J6303" s="118">
        <v>0.01</v>
      </c>
      <c r="K6303"/>
    </row>
    <row r="6304" spans="1:11" x14ac:dyDescent="0.25">
      <c r="A6304">
        <v>4</v>
      </c>
      <c r="B6304">
        <v>22</v>
      </c>
      <c r="C6304"/>
      <c r="D6304" t="s">
        <v>31</v>
      </c>
      <c r="E6304" t="s">
        <v>35</v>
      </c>
      <c r="F6304" t="s">
        <v>48</v>
      </c>
      <c r="G6304" s="118">
        <v>1.5289351851851851E-2</v>
      </c>
      <c r="H6304" s="118">
        <v>9.1435185185185185E-4</v>
      </c>
      <c r="I6304" s="118">
        <v>5.2083333333333333E-4</v>
      </c>
      <c r="J6304"/>
      <c r="K6304"/>
    </row>
    <row r="6305" spans="1:11" x14ac:dyDescent="0.25">
      <c r="A6305">
        <v>1</v>
      </c>
      <c r="B6305">
        <v>22</v>
      </c>
      <c r="C6305"/>
      <c r="D6305" t="s">
        <v>31</v>
      </c>
      <c r="E6305" t="s">
        <v>35</v>
      </c>
      <c r="F6305" t="s">
        <v>51</v>
      </c>
      <c r="G6305" s="118">
        <v>1.5324074074074073E-2</v>
      </c>
      <c r="H6305" s="118">
        <v>9.1435185185185185E-4</v>
      </c>
      <c r="I6305" s="118">
        <v>3.4722222222222224E-4</v>
      </c>
      <c r="J6305"/>
      <c r="K6305"/>
    </row>
    <row r="6306" spans="1:11" x14ac:dyDescent="0.25">
      <c r="A6306">
        <v>1</v>
      </c>
      <c r="B6306">
        <v>22</v>
      </c>
      <c r="C6306"/>
      <c r="D6306" t="s">
        <v>31</v>
      </c>
      <c r="E6306" t="s">
        <v>32</v>
      </c>
      <c r="F6306" t="s">
        <v>51</v>
      </c>
      <c r="G6306" s="118">
        <v>1.5671296296296298E-2</v>
      </c>
      <c r="H6306" s="118">
        <v>3.4722222222222224E-4</v>
      </c>
      <c r="I6306" s="118">
        <v>1.0069444444444444E-3</v>
      </c>
      <c r="J6306" s="118">
        <v>0.01</v>
      </c>
      <c r="K6306"/>
    </row>
    <row r="6307" spans="1:11" x14ac:dyDescent="0.25">
      <c r="A6307">
        <v>4</v>
      </c>
      <c r="B6307">
        <v>22</v>
      </c>
      <c r="C6307"/>
      <c r="D6307" t="s">
        <v>31</v>
      </c>
      <c r="E6307" t="s">
        <v>32</v>
      </c>
      <c r="F6307" t="s">
        <v>48</v>
      </c>
      <c r="G6307" s="118">
        <v>1.5810185185185184E-2</v>
      </c>
      <c r="H6307" s="118">
        <v>5.2083333333333333E-4</v>
      </c>
      <c r="I6307" s="118">
        <v>8.6805555555555551E-4</v>
      </c>
      <c r="J6307" s="118">
        <v>7.0717592592592594E-3</v>
      </c>
      <c r="K6307"/>
    </row>
    <row r="6308" spans="1:11" x14ac:dyDescent="0.25">
      <c r="A6308">
        <v>1</v>
      </c>
      <c r="B6308">
        <v>22</v>
      </c>
      <c r="C6308"/>
      <c r="D6308" t="s">
        <v>31</v>
      </c>
      <c r="E6308" t="s">
        <v>35</v>
      </c>
      <c r="F6308" t="s">
        <v>55</v>
      </c>
      <c r="G6308" s="118">
        <v>1.667824074074074E-2</v>
      </c>
      <c r="H6308" s="118">
        <v>1.0069444444444444E-3</v>
      </c>
      <c r="I6308"/>
      <c r="J6308"/>
      <c r="K6308"/>
    </row>
    <row r="6309" spans="1:11" x14ac:dyDescent="0.25">
      <c r="A6309">
        <v>4</v>
      </c>
      <c r="B6309">
        <v>22</v>
      </c>
      <c r="C6309"/>
      <c r="D6309" t="s">
        <v>31</v>
      </c>
      <c r="E6309" t="s">
        <v>35</v>
      </c>
      <c r="F6309" t="s">
        <v>54</v>
      </c>
      <c r="G6309" s="118">
        <v>1.667824074074074E-2</v>
      </c>
      <c r="H6309" s="118">
        <v>8.6805555555555551E-4</v>
      </c>
      <c r="I6309" s="118">
        <v>3.4722222222222224E-4</v>
      </c>
      <c r="J6309"/>
      <c r="K6309"/>
    </row>
    <row r="6310" spans="1:11" x14ac:dyDescent="0.25">
      <c r="A6310">
        <v>4</v>
      </c>
      <c r="B6310">
        <v>22</v>
      </c>
      <c r="C6310"/>
      <c r="D6310" t="s">
        <v>31</v>
      </c>
      <c r="E6310" t="s">
        <v>32</v>
      </c>
      <c r="F6310" t="s">
        <v>54</v>
      </c>
      <c r="G6310" s="118">
        <v>1.7025462962962961E-2</v>
      </c>
      <c r="H6310" s="118">
        <v>3.4722222222222224E-4</v>
      </c>
      <c r="I6310" s="118">
        <v>6.9444444444444447E-4</v>
      </c>
      <c r="J6310" s="118">
        <v>7.0717592592592594E-3</v>
      </c>
      <c r="K6310"/>
    </row>
    <row r="6311" spans="1:11" x14ac:dyDescent="0.25">
      <c r="A6311">
        <v>4</v>
      </c>
      <c r="B6311">
        <v>22</v>
      </c>
      <c r="C6311"/>
      <c r="D6311" t="s">
        <v>31</v>
      </c>
      <c r="E6311" t="s">
        <v>35</v>
      </c>
      <c r="F6311" t="s">
        <v>92</v>
      </c>
      <c r="G6311" s="118">
        <v>1.7719907407407406E-2</v>
      </c>
      <c r="H6311" s="118">
        <v>6.9444444444444447E-4</v>
      </c>
      <c r="I6311"/>
      <c r="J6311"/>
      <c r="K6311"/>
    </row>
    <row r="6312" spans="1:11" x14ac:dyDescent="0.25">
      <c r="G6312" s="225"/>
      <c r="H6312" s="225"/>
      <c r="I6312" s="225"/>
      <c r="J6312" s="225"/>
      <c r="K6312" s="225"/>
    </row>
    <row r="6313" spans="1:11" x14ac:dyDescent="0.25">
      <c r="G6313" s="225"/>
      <c r="H6313" s="225"/>
      <c r="I6313" s="225"/>
    </row>
    <row r="6314" spans="1:11" x14ac:dyDescent="0.25">
      <c r="G6314" s="225"/>
      <c r="H6314" s="225"/>
      <c r="I6314" s="225"/>
      <c r="J6314" s="225"/>
      <c r="K6314" s="225"/>
    </row>
    <row r="6315" spans="1:11" x14ac:dyDescent="0.25">
      <c r="G6315" s="225"/>
      <c r="H6315" s="225"/>
      <c r="I6315" s="225"/>
    </row>
    <row r="6316" spans="1:11" x14ac:dyDescent="0.25">
      <c r="G6316" s="225"/>
      <c r="H6316" s="225"/>
      <c r="I6316" s="225"/>
    </row>
    <row r="6317" spans="1:11" x14ac:dyDescent="0.25">
      <c r="G6317" s="225"/>
      <c r="H6317" s="225"/>
      <c r="I6317" s="225"/>
    </row>
    <row r="6318" spans="1:11" x14ac:dyDescent="0.25">
      <c r="G6318" s="225"/>
      <c r="H6318" s="225"/>
      <c r="I6318" s="225"/>
      <c r="J6318" s="225"/>
    </row>
    <row r="6319" spans="1:11" x14ac:dyDescent="0.25">
      <c r="G6319" s="225"/>
      <c r="H6319" s="225"/>
      <c r="I6319" s="225"/>
      <c r="J6319" s="225"/>
    </row>
    <row r="6320" spans="1:11" x14ac:dyDescent="0.25">
      <c r="G6320" s="225"/>
      <c r="H6320" s="225"/>
      <c r="I6320" s="225"/>
    </row>
    <row r="6321" spans="7:11" x14ac:dyDescent="0.25">
      <c r="G6321" s="225"/>
      <c r="H6321" s="225"/>
      <c r="I6321" s="225"/>
      <c r="J6321" s="225"/>
      <c r="K6321" s="225"/>
    </row>
    <row r="6322" spans="7:11" x14ac:dyDescent="0.25">
      <c r="G6322" s="225"/>
      <c r="H6322" s="225"/>
      <c r="I6322" s="225"/>
      <c r="J6322" s="225"/>
      <c r="K6322" s="225"/>
    </row>
    <row r="6323" spans="7:11" x14ac:dyDescent="0.25">
      <c r="G6323" s="225"/>
      <c r="H6323" s="225"/>
      <c r="I6323" s="225"/>
    </row>
    <row r="6324" spans="7:11" x14ac:dyDescent="0.25">
      <c r="G6324" s="225"/>
      <c r="H6324" s="225"/>
      <c r="I6324" s="225"/>
    </row>
    <row r="6325" spans="7:11" x14ac:dyDescent="0.25">
      <c r="G6325" s="225"/>
      <c r="H6325" s="225"/>
      <c r="I6325" s="225"/>
      <c r="J6325" s="225"/>
      <c r="K6325" s="225"/>
    </row>
    <row r="6326" spans="7:11" x14ac:dyDescent="0.25">
      <c r="G6326" s="225"/>
      <c r="H6326" s="225"/>
      <c r="I6326" s="225"/>
    </row>
    <row r="6327" spans="7:11" x14ac:dyDescent="0.25">
      <c r="G6327" s="225"/>
      <c r="H6327" s="225"/>
      <c r="I6327" s="225"/>
    </row>
    <row r="6328" spans="7:11" x14ac:dyDescent="0.25">
      <c r="G6328" s="225"/>
      <c r="H6328" s="225"/>
      <c r="I6328" s="225"/>
      <c r="J6328" s="225"/>
    </row>
    <row r="6329" spans="7:11" x14ac:dyDescent="0.25">
      <c r="G6329" s="225"/>
      <c r="H6329" s="225"/>
      <c r="I6329" s="225"/>
    </row>
    <row r="6330" spans="7:11" x14ac:dyDescent="0.25">
      <c r="G6330" s="225"/>
      <c r="H6330" s="225"/>
      <c r="I6330" s="225"/>
      <c r="J6330" s="225"/>
      <c r="K6330" s="225"/>
    </row>
    <row r="6331" spans="7:11" x14ac:dyDescent="0.25">
      <c r="G6331" s="225"/>
      <c r="H6331" s="225"/>
      <c r="I6331" s="225"/>
      <c r="J6331" s="225"/>
      <c r="K6331" s="225"/>
    </row>
    <row r="6332" spans="7:11" x14ac:dyDescent="0.25">
      <c r="G6332" s="225"/>
      <c r="H6332" s="225"/>
      <c r="I6332" s="225"/>
      <c r="J6332" s="225"/>
    </row>
    <row r="6333" spans="7:11" x14ac:dyDescent="0.25">
      <c r="G6333" s="225"/>
      <c r="H6333" s="225"/>
      <c r="I6333" s="225"/>
    </row>
    <row r="6334" spans="7:11" x14ac:dyDescent="0.25">
      <c r="G6334" s="225"/>
      <c r="H6334" s="225"/>
      <c r="I6334" s="225"/>
    </row>
    <row r="6335" spans="7:11" x14ac:dyDescent="0.25">
      <c r="G6335" s="225"/>
      <c r="H6335" s="225"/>
      <c r="I6335" s="225"/>
      <c r="J6335" s="225"/>
      <c r="K6335" s="225"/>
    </row>
    <row r="6336" spans="7:11" x14ac:dyDescent="0.25">
      <c r="G6336" s="225"/>
      <c r="H6336" s="225"/>
    </row>
    <row r="6337" spans="7:11" x14ac:dyDescent="0.25">
      <c r="G6337" s="225"/>
      <c r="H6337" s="225"/>
      <c r="I6337" s="225"/>
    </row>
    <row r="6338" spans="7:11" x14ac:dyDescent="0.25">
      <c r="G6338" s="225"/>
      <c r="H6338" s="225"/>
      <c r="I6338" s="225"/>
      <c r="J6338" s="225"/>
    </row>
    <row r="6339" spans="7:11" x14ac:dyDescent="0.25">
      <c r="G6339" s="225"/>
      <c r="H6339" s="225"/>
      <c r="I6339" s="225"/>
    </row>
    <row r="6340" spans="7:11" x14ac:dyDescent="0.25">
      <c r="G6340" s="225"/>
      <c r="H6340" s="225"/>
      <c r="I6340" s="225"/>
      <c r="J6340" s="225"/>
      <c r="K6340" s="225"/>
    </row>
    <row r="6341" spans="7:11" x14ac:dyDescent="0.25">
      <c r="G6341" s="225"/>
      <c r="H6341" s="225"/>
      <c r="I6341" s="225"/>
      <c r="J6341" s="225"/>
    </row>
    <row r="6342" spans="7:11" x14ac:dyDescent="0.25">
      <c r="G6342" s="225"/>
      <c r="H6342" s="225"/>
      <c r="I6342" s="225"/>
    </row>
    <row r="6343" spans="7:11" x14ac:dyDescent="0.25">
      <c r="G6343" s="225"/>
      <c r="H6343" s="225"/>
      <c r="I6343" s="225"/>
    </row>
    <row r="6344" spans="7:11" x14ac:dyDescent="0.25">
      <c r="G6344" s="225"/>
      <c r="H6344" s="225"/>
      <c r="I6344" s="225"/>
      <c r="J6344" s="225"/>
      <c r="K6344" s="225"/>
    </row>
    <row r="6345" spans="7:11" x14ac:dyDescent="0.25">
      <c r="G6345" s="225"/>
      <c r="H6345" s="225"/>
      <c r="I6345" s="225"/>
    </row>
    <row r="6346" spans="7:11" x14ac:dyDescent="0.25">
      <c r="G6346" s="225"/>
      <c r="H6346" s="225"/>
      <c r="I6346" s="225"/>
      <c r="J6346" s="225"/>
    </row>
    <row r="6347" spans="7:11" x14ac:dyDescent="0.25">
      <c r="G6347" s="225"/>
      <c r="H6347" s="225"/>
      <c r="I6347" s="225"/>
    </row>
    <row r="6348" spans="7:11" x14ac:dyDescent="0.25">
      <c r="G6348" s="225"/>
      <c r="H6348" s="225"/>
      <c r="I6348" s="225"/>
      <c r="J6348" s="225"/>
      <c r="K6348" s="225"/>
    </row>
    <row r="6349" spans="7:11" x14ac:dyDescent="0.25">
      <c r="G6349" s="225"/>
      <c r="H6349" s="225"/>
      <c r="I6349" s="225"/>
      <c r="J6349" s="225"/>
    </row>
    <row r="6350" spans="7:11" x14ac:dyDescent="0.25">
      <c r="G6350" s="225"/>
      <c r="H6350" s="225"/>
      <c r="I6350" s="225"/>
    </row>
    <row r="6351" spans="7:11" x14ac:dyDescent="0.25">
      <c r="G6351" s="225"/>
      <c r="H6351" s="225"/>
      <c r="I6351" s="225"/>
    </row>
    <row r="6352" spans="7:11" x14ac:dyDescent="0.25">
      <c r="G6352" s="225"/>
      <c r="H6352" s="225"/>
      <c r="I6352" s="225"/>
    </row>
    <row r="6353" spans="7:11" x14ac:dyDescent="0.25">
      <c r="G6353" s="225"/>
      <c r="H6353" s="225"/>
      <c r="I6353" s="225"/>
      <c r="J6353" s="225"/>
    </row>
    <row r="6354" spans="7:11" x14ac:dyDescent="0.25">
      <c r="G6354" s="225"/>
      <c r="H6354" s="225"/>
      <c r="I6354" s="225"/>
      <c r="J6354" s="225"/>
      <c r="K6354" s="225"/>
    </row>
    <row r="6355" spans="7:11" x14ac:dyDescent="0.25">
      <c r="G6355" s="225"/>
      <c r="H6355" s="225"/>
      <c r="I6355" s="225"/>
      <c r="J6355" s="225"/>
      <c r="K6355" s="225"/>
    </row>
    <row r="6356" spans="7:11" x14ac:dyDescent="0.25">
      <c r="G6356" s="225"/>
      <c r="H6356" s="225"/>
      <c r="I6356" s="225"/>
    </row>
    <row r="6357" spans="7:11" x14ac:dyDescent="0.25">
      <c r="G6357" s="225"/>
      <c r="H6357" s="225"/>
      <c r="I6357" s="225"/>
      <c r="J6357" s="225"/>
    </row>
    <row r="6358" spans="7:11" x14ac:dyDescent="0.25">
      <c r="G6358" s="225"/>
      <c r="H6358" s="225"/>
      <c r="I6358" s="225"/>
    </row>
    <row r="6359" spans="7:11" x14ac:dyDescent="0.25">
      <c r="G6359" s="225"/>
      <c r="H6359" s="225"/>
      <c r="I6359" s="225"/>
      <c r="J6359" s="225"/>
    </row>
    <row r="6360" spans="7:11" x14ac:dyDescent="0.25">
      <c r="G6360" s="225"/>
      <c r="H6360" s="225"/>
    </row>
    <row r="6361" spans="7:11" x14ac:dyDescent="0.25">
      <c r="G6361" s="225"/>
      <c r="H6361" s="225"/>
      <c r="I6361" s="225"/>
    </row>
    <row r="6362" spans="7:11" x14ac:dyDescent="0.25">
      <c r="G6362" s="225"/>
      <c r="H6362" s="225"/>
      <c r="I6362" s="225"/>
    </row>
    <row r="6363" spans="7:11" x14ac:dyDescent="0.25">
      <c r="G6363" s="225"/>
      <c r="H6363" s="225"/>
      <c r="I6363" s="225"/>
      <c r="J6363" s="225"/>
      <c r="K6363" s="225"/>
    </row>
    <row r="6364" spans="7:11" x14ac:dyDescent="0.25">
      <c r="G6364" s="225"/>
      <c r="H6364" s="225"/>
      <c r="I6364" s="225"/>
      <c r="J6364" s="225"/>
    </row>
    <row r="6365" spans="7:11" x14ac:dyDescent="0.25">
      <c r="G6365" s="225"/>
      <c r="H6365" s="225"/>
      <c r="I6365" s="225"/>
    </row>
    <row r="6366" spans="7:11" x14ac:dyDescent="0.25">
      <c r="G6366" s="225"/>
      <c r="H6366" s="225"/>
      <c r="I6366" s="225"/>
      <c r="J6366" s="225"/>
    </row>
    <row r="6367" spans="7:11" x14ac:dyDescent="0.25">
      <c r="G6367" s="225"/>
      <c r="H6367" s="225"/>
      <c r="I6367" s="225"/>
    </row>
    <row r="6368" spans="7:11" x14ac:dyDescent="0.25">
      <c r="G6368" s="225"/>
      <c r="H6368" s="225"/>
      <c r="I6368" s="225"/>
    </row>
    <row r="6369" spans="7:11" x14ac:dyDescent="0.25">
      <c r="G6369" s="225"/>
      <c r="H6369" s="225"/>
      <c r="I6369" s="225"/>
      <c r="J6369" s="225"/>
      <c r="K6369" s="225"/>
    </row>
    <row r="6370" spans="7:11" x14ac:dyDescent="0.25">
      <c r="G6370" s="225"/>
      <c r="H6370" s="225"/>
      <c r="I6370" s="225"/>
      <c r="J6370" s="225"/>
    </row>
    <row r="6371" spans="7:11" x14ac:dyDescent="0.25">
      <c r="G6371" s="225"/>
      <c r="H6371" s="225"/>
      <c r="I6371" s="225"/>
    </row>
    <row r="6372" spans="7:11" x14ac:dyDescent="0.25">
      <c r="G6372" s="225"/>
      <c r="H6372" s="225"/>
      <c r="I6372" s="225"/>
      <c r="J6372" s="225"/>
    </row>
    <row r="6373" spans="7:11" x14ac:dyDescent="0.25">
      <c r="G6373" s="225"/>
      <c r="H6373" s="225"/>
    </row>
    <row r="6374" spans="7:11" x14ac:dyDescent="0.25">
      <c r="G6374" s="225"/>
      <c r="H6374" s="225"/>
      <c r="I6374" s="225"/>
    </row>
    <row r="6375" spans="7:11" x14ac:dyDescent="0.25">
      <c r="G6375" s="225"/>
      <c r="H6375" s="225"/>
      <c r="I6375" s="225"/>
      <c r="J6375" s="225"/>
    </row>
    <row r="6376" spans="7:11" x14ac:dyDescent="0.25">
      <c r="G6376" s="225"/>
      <c r="H6376" s="225"/>
      <c r="I6376" s="225"/>
    </row>
    <row r="6377" spans="7:11" x14ac:dyDescent="0.25">
      <c r="G6377" s="225"/>
      <c r="H6377" s="225"/>
      <c r="I6377" s="225"/>
      <c r="J6377" s="225"/>
    </row>
    <row r="6378" spans="7:11" x14ac:dyDescent="0.25">
      <c r="G6378" s="225"/>
      <c r="H6378" s="225"/>
      <c r="I6378" s="225"/>
    </row>
    <row r="6379" spans="7:11" x14ac:dyDescent="0.25">
      <c r="G6379" s="225"/>
      <c r="H6379" s="225"/>
      <c r="I6379" s="225"/>
      <c r="J6379" s="225"/>
    </row>
    <row r="6380" spans="7:11" x14ac:dyDescent="0.25">
      <c r="G6380" s="225"/>
      <c r="H6380" s="225"/>
      <c r="I6380" s="225"/>
    </row>
    <row r="6381" spans="7:11" x14ac:dyDescent="0.25">
      <c r="G6381" s="225"/>
      <c r="H6381" s="225"/>
      <c r="I6381" s="225"/>
    </row>
    <row r="6382" spans="7:11" x14ac:dyDescent="0.25">
      <c r="G6382" s="225"/>
      <c r="H6382" s="225"/>
      <c r="I6382" s="225"/>
      <c r="J6382" s="225"/>
    </row>
    <row r="6383" spans="7:11" x14ac:dyDescent="0.25">
      <c r="G6383" s="225"/>
      <c r="H6383" s="225"/>
      <c r="I6383" s="225"/>
      <c r="J6383" s="225"/>
    </row>
    <row r="6384" spans="7:11" x14ac:dyDescent="0.25">
      <c r="G6384" s="225"/>
      <c r="H6384" s="225"/>
    </row>
    <row r="6385" spans="7:10" x14ac:dyDescent="0.25">
      <c r="G6385" s="225"/>
      <c r="H6385" s="225"/>
      <c r="I6385" s="225"/>
    </row>
    <row r="6386" spans="7:10" x14ac:dyDescent="0.25">
      <c r="G6386" s="225"/>
      <c r="H6386" s="225"/>
      <c r="I6386" s="225"/>
      <c r="J6386" s="225"/>
    </row>
    <row r="6387" spans="7:10" x14ac:dyDescent="0.25">
      <c r="G6387" s="225"/>
      <c r="H6387" s="225"/>
      <c r="I6387" s="225"/>
    </row>
    <row r="6388" spans="7:10" x14ac:dyDescent="0.25">
      <c r="G6388" s="225"/>
      <c r="H6388" s="225"/>
      <c r="I6388" s="225"/>
      <c r="J6388" s="225"/>
    </row>
    <row r="6389" spans="7:10" x14ac:dyDescent="0.25">
      <c r="G6389" s="225"/>
      <c r="H6389" s="225"/>
    </row>
  </sheetData>
  <autoFilter ref="A1:K631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5</vt:i4>
      </vt:variant>
    </vt:vector>
  </HeadingPairs>
  <TitlesOfParts>
    <vt:vector size="10" baseType="lpstr">
      <vt:lpstr>ANAHAT</vt:lpstr>
      <vt:lpstr>SABAH 7+2</vt:lpstr>
      <vt:lpstr>AKŞAM 6+4</vt:lpstr>
      <vt:lpstr>SIRALI</vt:lpstr>
      <vt:lpstr>HAFTAICI 2000</vt:lpstr>
      <vt:lpstr>CEK_BILGILER</vt:lpstr>
      <vt:lpstr>USK_BILGILER</vt:lpstr>
      <vt:lpstr>'AKŞAM 6+4'!Yazdırma_Alanı</vt:lpstr>
      <vt:lpstr>ANAHAT!Yazdırma_Alanı</vt:lpstr>
      <vt:lpstr>'SABAH 7+2'!Yazdırma_Alanı</vt:lpstr>
    </vt:vector>
  </TitlesOfParts>
  <Manager>onur.ercelen@metro.istanbul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hasanburkay.baddal@metro.istanbul</dc:creator>
  <cp:lastModifiedBy>Erol ZEYNELABİDİN</cp:lastModifiedBy>
  <cp:lastPrinted>2025-12-02T11:58:17Z</cp:lastPrinted>
  <dcterms:created xsi:type="dcterms:W3CDTF">2020-03-13T00:18:34Z</dcterms:created>
  <dcterms:modified xsi:type="dcterms:W3CDTF">2025-12-16T15:21:55Z</dcterms:modified>
</cp:coreProperties>
</file>